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codeName="ThisWorkbook" defaultThemeVersion="124226"/>
  <mc:AlternateContent xmlns:mc="http://schemas.openxmlformats.org/markup-compatibility/2006">
    <mc:Choice Requires="x15">
      <x15ac:absPath xmlns:x15ac="http://schemas.microsoft.com/office/spreadsheetml/2010/11/ac" url="D:\Jeux\Arkham Horror LCG\arkham-horror-master\"/>
    </mc:Choice>
  </mc:AlternateContent>
  <bookViews>
    <workbookView xWindow="45" yWindow="-105" windowWidth="20445" windowHeight="823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Data'!$A$1:$BG$5</definedName>
    <definedName name="GameGUID">Sets!$A$2</definedName>
    <definedName name="GameVersion">Sets!$C$2</definedName>
    <definedName name="_xlnm.Print_Titles" localSheetId="2">FAQ!$4:$4</definedName>
    <definedName name="SymbolTable">Tables!$C$1:$D$11</definedName>
    <definedName name="UseSymbols">FAQ!$B$2</definedName>
    <definedName name="YesNo">Tables!$A$1:$A$2</definedName>
    <definedName name="_xlnm.Print_Area" localSheetId="2">FAQ!$A$4:$C$1812</definedName>
  </definedNames>
  <calcPr calcId="171027"/>
</workbook>
</file>

<file path=xl/calcChain.xml><?xml version="1.0" encoding="utf-8"?>
<calcChain xmlns="http://schemas.openxmlformats.org/spreadsheetml/2006/main">
  <c r="G6" i="2" l="1"/>
  <c r="H6" i="2"/>
  <c r="J6" i="2"/>
  <c r="I6" i="2" s="1"/>
  <c r="K6" i="2"/>
  <c r="L6" i="2"/>
  <c r="N6" i="2"/>
  <c r="O6" i="2"/>
  <c r="P6" i="2"/>
  <c r="Q6" i="2"/>
  <c r="R6" i="2"/>
  <c r="S6" i="2"/>
  <c r="T6" i="2"/>
  <c r="V6" i="2"/>
  <c r="W6" i="2"/>
  <c r="X6" i="2"/>
  <c r="Y6" i="2"/>
  <c r="Z6" i="2"/>
  <c r="AA6" i="2"/>
  <c r="G7" i="2"/>
  <c r="H7" i="2"/>
  <c r="J7" i="2"/>
  <c r="I7" i="2" s="1"/>
  <c r="K7" i="2"/>
  <c r="L7" i="2"/>
  <c r="N7" i="2"/>
  <c r="O7" i="2"/>
  <c r="P7" i="2"/>
  <c r="Q7" i="2"/>
  <c r="R7" i="2"/>
  <c r="S7" i="2"/>
  <c r="T7" i="2"/>
  <c r="V7" i="2"/>
  <c r="W7" i="2"/>
  <c r="X7" i="2"/>
  <c r="Y7" i="2"/>
  <c r="Z7" i="2"/>
  <c r="AA7" i="2"/>
  <c r="G8" i="2"/>
  <c r="H8" i="2"/>
  <c r="J8" i="2"/>
  <c r="I8" i="2" s="1"/>
  <c r="K8" i="2"/>
  <c r="L8" i="2"/>
  <c r="N8" i="2"/>
  <c r="O8" i="2"/>
  <c r="P8" i="2"/>
  <c r="Q8" i="2"/>
  <c r="R8" i="2"/>
  <c r="S8" i="2"/>
  <c r="T8" i="2"/>
  <c r="V8" i="2"/>
  <c r="W8" i="2"/>
  <c r="X8" i="2"/>
  <c r="Y8" i="2"/>
  <c r="Z8" i="2"/>
  <c r="AA8" i="2"/>
  <c r="G9" i="2"/>
  <c r="H9" i="2"/>
  <c r="J9" i="2"/>
  <c r="I9" i="2" s="1"/>
  <c r="K9" i="2"/>
  <c r="L9" i="2"/>
  <c r="N9" i="2"/>
  <c r="O9" i="2"/>
  <c r="P9" i="2"/>
  <c r="Q9" i="2"/>
  <c r="R9" i="2"/>
  <c r="S9" i="2"/>
  <c r="T9" i="2"/>
  <c r="V9" i="2"/>
  <c r="W9" i="2"/>
  <c r="X9" i="2"/>
  <c r="Y9" i="2"/>
  <c r="Z9" i="2"/>
  <c r="AA9"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H5"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<sst xmlns="http://schemas.openxmlformats.org/spreadsheetml/2006/main" count="9253" uniqueCount="5893">
  <si>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</si>
  <si>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</si>
  <si>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</si>
  <si>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</si>
  <si>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</si>
  <si>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</si>
  <si>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</si>
  <si>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</si>
  <si>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</si>
  <si>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</si>
  <si>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</si>
  <si>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</si>
  <si>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</si>
  <si>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</si>
  <si>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</si>
  <si>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</si>
  <si>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</si>
  <si>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</si>
  <si>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</si>
  <si>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</si>
  <si>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</si>
  <si>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</si>
  <si>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</si>
  <si>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</si>
  <si>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</si>
  <si>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</si>
  <si>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</si>
  <si>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</si>
  <si>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</si>
  <si>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</si>
  <si>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</si>
  <si>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</si>
  <si>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</si>
  <si>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</si>
  <si>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</si>
  <si>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</si>
  <si>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</si>
  <si>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</si>
  <si>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</si>
  <si>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</si>
  <si>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</si>
  <si>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</si>
  <si>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</si>
  <si>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</si>
  <si>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</si>
  <si>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</si>
  <si>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</si>
  <si>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</si>
  <si>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</si>
  <si>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</si>
  <si>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</si>
  <si>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</si>
  <si>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</si>
  <si>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</si>
  <si>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</si>
  <si>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</si>
  <si>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</si>
  <si>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</si>
  <si>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</si>
  <si>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</si>
  <si>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</si>
  <si>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</si>
  <si>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</si>
  <si>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</si>
  <si>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</si>
  <si>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</si>
  <si>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</si>
  <si>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</si>
  <si>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</si>
  <si>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</si>
  <si>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</si>
  <si>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</si>
  <si>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</si>
  <si>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</si>
  <si>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</si>
  <si>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</si>
  <si>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</si>
  <si>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</si>
  <si>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</si>
  <si>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</si>
  <si>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</si>
  <si>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</si>
  <si>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</si>
  <si>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</si>
  <si>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</si>
  <si>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</si>
  <si>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</si>
  <si>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</si>
  <si>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</si>
  <si>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</si>
  <si>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</si>
  <si>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</si>
  <si>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</si>
  <si>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</si>
  <si>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</si>
  <si>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</si>
  <si>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</si>
  <si>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</si>
  <si>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</si>
  <si>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</si>
  <si>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</si>
  <si>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</si>
  <si>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</si>
  <si>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</si>
  <si>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</si>
  <si>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</si>
  <si>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</si>
  <si>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</si>
  <si>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</si>
  <si>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</si>
  <si>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</si>
  <si>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</si>
  <si>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</si>
  <si>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</si>
  <si>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</si>
  <si>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</si>
  <si>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</si>
  <si>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</si>
  <si>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</si>
  <si>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</si>
  <si>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</si>
  <si>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</si>
  <si>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</si>
  <si>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</si>
  <si>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</si>
  <si>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</si>
  <si>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</si>
  <si>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</si>
  <si>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</si>
  <si>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</si>
  <si>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</si>
  <si>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</si>
  <si>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</si>
  <si>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</si>
  <si>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</si>
  <si>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</si>
  <si>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</si>
  <si>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</si>
  <si>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</si>
  <si>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</si>
  <si>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</si>
  <si>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</si>
  <si>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</si>
  <si>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</si>
  <si>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</si>
  <si>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</si>
  <si>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</si>
  <si>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</si>
  <si>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</si>
  <si>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</si>
  <si>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</si>
  <si>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</si>
  <si>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</si>
  <si>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</si>
  <si>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</si>
  <si>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</si>
  <si>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</si>
  <si>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</si>
  <si>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</si>
  <si>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</si>
  <si>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</si>
  <si>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</si>
  <si>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</si>
  <si>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</si>
  <si>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</si>
  <si>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</si>
  <si>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</si>
  <si>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</si>
  <si>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</si>
  <si>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</si>
  <si>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</si>
  <si>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</si>
  <si>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</si>
  <si>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</si>
  <si>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</si>
  <si>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</si>
  <si>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</si>
  <si>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</si>
  <si>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</si>
  <si>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</si>
  <si>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</si>
  <si>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</si>
  <si>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</si>
  <si>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</si>
  <si>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</si>
  <si>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</si>
  <si>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</si>
  <si>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</si>
  <si>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</si>
  <si>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</si>
  <si>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</si>
  <si>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</si>
  <si>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</si>
  <si>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</si>
  <si>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</si>
  <si>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</si>
  <si>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</si>
  <si>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</si>
  <si>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</si>
  <si>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</si>
  <si>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</si>
  <si>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</si>
  <si>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</si>
  <si>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</si>
  <si>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</si>
  <si>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</si>
  <si>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</si>
  <si>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</si>
  <si>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</si>
  <si>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</si>
  <si>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</si>
  <si>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</si>
  <si>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</si>
  <si>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</si>
  <si>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</si>
  <si>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</si>
  <si>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</si>
  <si>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</si>
  <si>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</si>
  <si>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</si>
  <si>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</si>
  <si>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</si>
  <si>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</si>
  <si>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</si>
  <si>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</si>
  <si>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</si>
  <si>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</si>
  <si>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</si>
  <si>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</si>
  <si>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</si>
  <si>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</si>
  <si>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</si>
  <si>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</si>
  <si>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</si>
  <si>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</si>
  <si>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</si>
  <si>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</si>
  <si>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</si>
  <si>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</si>
  <si>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</si>
  <si>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</si>
  <si>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</si>
  <si>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</si>
  <si>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</si>
  <si>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</si>
  <si>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</si>
  <si>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</si>
  <si>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</si>
  <si>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</si>
  <si>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</si>
  <si>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</si>
  <si>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</si>
  <si>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</si>
  <si>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</si>
  <si>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</si>
  <si>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</si>
  <si>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</si>
  <si>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</si>
  <si>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</si>
  <si>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</si>
  <si>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</si>
  <si>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</si>
  <si>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</si>
  <si>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</si>
  <si>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</si>
  <si>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</si>
  <si>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</si>
  <si>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</si>
  <si>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</si>
  <si>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</si>
  <si>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</si>
  <si>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</si>
  <si>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</si>
  <si>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</si>
  <si>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</si>
  <si>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</si>
  <si>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</si>
  <si>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</si>
  <si>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</si>
  <si>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</si>
  <si>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</si>
  <si>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</si>
  <si>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</si>
  <si>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</si>
  <si>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</si>
  <si>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</si>
  <si>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</si>
  <si>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</si>
  <si>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</si>
  <si>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</si>
  <si>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</si>
  <si>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</si>
  <si>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</si>
  <si>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</si>
  <si>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</si>
  <si>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</si>
  <si>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</si>
  <si>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</si>
  <si>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</si>
  <si>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</si>
  <si>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</si>
  <si>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</si>
  <si>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</si>
  <si>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</si>
  <si>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</si>
  <si>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</si>
  <si>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</si>
  <si>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</si>
  <si>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</si>
  <si>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</si>
  <si>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</si>
  <si>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</si>
  <si>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</si>
  <si>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</si>
  <si>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</si>
  <si>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</si>
  <si>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</si>
  <si>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</si>
  <si>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</si>
  <si>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</si>
  <si>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</si>
  <si>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</si>
  <si>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</si>
  <si>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</si>
  <si>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</si>
  <si>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</si>
  <si>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</si>
  <si>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</si>
  <si>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</si>
  <si>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</si>
  <si>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</si>
  <si>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</si>
  <si>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</si>
  <si>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</si>
  <si>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</si>
  <si>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</si>
  <si>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</si>
  <si>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</si>
  <si>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</si>
  <si>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</si>
  <si>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</si>
  <si>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</si>
  <si>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</si>
  <si>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</si>
  <si>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</si>
  <si>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</si>
  <si>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</si>
  <si>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</si>
  <si>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</si>
  <si>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</si>
  <si>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</si>
  <si>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</si>
  <si>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</si>
  <si>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</si>
  <si>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</si>
  <si>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</si>
  <si>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</si>
  <si>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</si>
  <si>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</si>
  <si>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</si>
  <si>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</si>
  <si>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</si>
  <si>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</si>
  <si>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</si>
  <si>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</si>
  <si>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</si>
  <si>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</si>
  <si>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</si>
  <si>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</si>
  <si>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</si>
  <si>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</si>
  <si>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</si>
  <si>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</si>
  <si>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</si>
  <si>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</si>
  <si>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</si>
  <si>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</si>
  <si>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</si>
  <si>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</si>
  <si>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</si>
  <si>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</si>
  <si>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</si>
  <si>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</si>
  <si>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</si>
  <si>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</si>
  <si>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</si>
  <si>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</si>
  <si>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</si>
  <si>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</si>
  <si>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</si>
  <si>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</si>
  <si>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</si>
  <si>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</si>
  <si>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</si>
  <si>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</si>
  <si>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</si>
  <si>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</si>
  <si>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</si>
  <si>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</si>
  <si>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</si>
  <si>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</si>
  <si>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</si>
  <si>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</si>
  <si>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</si>
  <si>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</si>
  <si>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</si>
  <si>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</si>
  <si>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</si>
  <si>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</si>
  <si>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</si>
  <si>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</si>
  <si>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</si>
  <si>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</si>
  <si>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</si>
  <si>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</si>
  <si>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</si>
  <si>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</si>
  <si>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</si>
  <si>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</si>
  <si>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</si>
  <si>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</si>
  <si>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</si>
  <si>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</si>
  <si>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</si>
  <si>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</si>
  <si>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</si>
  <si>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</si>
  <si>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</si>
  <si>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</si>
  <si>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</si>
  <si>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</si>
  <si>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</si>
  <si>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</si>
  <si>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</si>
  <si>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</si>
  <si>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</si>
  <si>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</si>
  <si>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</si>
  <si>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</si>
  <si>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</si>
  <si>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</si>
  <si>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</si>
  <si>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</si>
  <si>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</si>
  <si>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</si>
  <si>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</si>
  <si>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</si>
  <si>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</si>
  <si>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</si>
  <si>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</si>
  <si>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</si>
  <si>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</si>
  <si>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</si>
  <si>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</si>
  <si>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</si>
  <si>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</si>
  <si>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</si>
  <si>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</si>
  <si>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</si>
  <si>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</si>
  <si>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</si>
  <si>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</si>
  <si>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</si>
  <si>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</si>
  <si>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</si>
  <si>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</si>
  <si>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</si>
  <si>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</si>
  <si>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</si>
  <si>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</si>
  <si>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</si>
  <si>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</si>
  <si>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</si>
  <si>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</si>
  <si>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</si>
  <si>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</si>
  <si>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</si>
  <si>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</si>
  <si>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</si>
  <si>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</si>
  <si>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</si>
  <si>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</si>
  <si>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</si>
  <si>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</si>
  <si>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</si>
  <si>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</si>
  <si>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</si>
  <si>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</si>
  <si>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</si>
  <si>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</si>
  <si>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</si>
  <si>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</si>
  <si>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</si>
  <si>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</si>
  <si>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</si>
  <si>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</si>
  <si>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</si>
  <si>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</si>
  <si>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</si>
  <si>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</si>
  <si>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</si>
  <si>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</si>
  <si>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</si>
  <si>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</si>
  <si>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</si>
  <si>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</si>
  <si>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</si>
  <si>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</si>
  <si>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</si>
  <si>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</si>
  <si>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</si>
  <si>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</si>
  <si>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</si>
  <si>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</si>
  <si>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</si>
  <si>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</si>
  <si>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</si>
  <si>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</si>
  <si>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</si>
  <si>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</si>
  <si>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</si>
  <si>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</si>
  <si>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</si>
  <si>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</si>
  <si>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</si>
  <si>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</si>
  <si>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</si>
  <si>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</si>
  <si>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</si>
  <si>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</si>
  <si>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</si>
  <si>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</si>
  <si>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</si>
  <si>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</si>
  <si>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</si>
  <si>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</si>
  <si>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</si>
  <si>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</si>
  <si>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</si>
  <si>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</si>
  <si>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</si>
  <si>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</si>
  <si>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</si>
  <si>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</si>
  <si>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</si>
  <si>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</si>
  <si>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</si>
  <si>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</si>
  <si>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</si>
  <si>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</si>
  <si>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</si>
  <si>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</si>
  <si>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</si>
  <si>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</si>
  <si>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</si>
  <si>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</si>
  <si>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</si>
  <si>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</si>
  <si>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</si>
  <si>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</si>
  <si>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</si>
  <si>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</si>
  <si>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</si>
  <si>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</si>
  <si>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</si>
  <si>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</si>
  <si>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</si>
  <si>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</si>
  <si>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</si>
  <si>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</si>
  <si>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</si>
  <si>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</si>
  <si>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</si>
  <si>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</si>
  <si>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</si>
  <si>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</si>
  <si>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</si>
  <si>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</si>
  <si>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</si>
  <si>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</si>
  <si>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</si>
  <si>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</si>
  <si>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</si>
  <si>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</si>
  <si>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</si>
  <si>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</si>
  <si>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</si>
  <si>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</si>
  <si>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</si>
  <si>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</si>
  <si>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</si>
  <si>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</si>
  <si>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</si>
  <si>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</si>
  <si>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</si>
  <si>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</si>
  <si>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</si>
  <si>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</si>
  <si>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</si>
  <si>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</si>
  <si>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</si>
  <si>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</si>
  <si>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</si>
  <si>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</si>
  <si>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</si>
  <si>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</si>
  <si>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</si>
  <si>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</si>
  <si>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</si>
  <si>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</si>
  <si>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</si>
  <si>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</si>
  <si>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</si>
  <si>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</si>
  <si>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</si>
  <si>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</si>
  <si>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</si>
  <si>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</si>
  <si>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</si>
  <si>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</si>
  <si>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</si>
  <si>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</si>
  <si>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</si>
  <si>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</si>
  <si>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</si>
  <si>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</si>
  <si>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</si>
  <si>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</si>
  <si>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</si>
  <si>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</si>
  <si>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</si>
  <si>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</si>
  <si>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</si>
  <si>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</si>
  <si>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</si>
  <si>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</si>
  <si>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</si>
  <si>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</si>
  <si>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</si>
  <si>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</si>
  <si>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</si>
  <si>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</si>
  <si>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</si>
  <si>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</si>
  <si>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</si>
  <si>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</si>
  <si>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</si>
  <si>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</si>
  <si>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</si>
  <si>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</si>
  <si>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</si>
  <si>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</si>
  <si>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</si>
  <si>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</si>
  <si>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</si>
  <si>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</si>
  <si>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</si>
  <si>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</si>
  <si>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</si>
  <si>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</si>
  <si>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</si>
  <si>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</si>
  <si>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</si>
  <si>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</si>
  <si>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</si>
  <si>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</si>
  <si>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</si>
  <si>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</si>
  <si>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</si>
  <si>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</si>
  <si>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</si>
  <si>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</si>
  <si>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</si>
  <si>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</si>
  <si>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</si>
  <si>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</si>
  <si>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</si>
  <si>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</si>
  <si>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</si>
  <si>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</si>
  <si>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</si>
  <si>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</si>
  <si>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</si>
  <si>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</si>
  <si>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</si>
  <si>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</si>
  <si>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</si>
  <si>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</si>
  <si>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</si>
  <si>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</si>
  <si>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</si>
  <si>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</si>
  <si>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</si>
  <si>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</si>
  <si>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</si>
  <si>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</si>
  <si>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</si>
  <si>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</si>
  <si>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</si>
  <si>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</si>
  <si>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</si>
  <si>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</si>
  <si>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</si>
  <si>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</si>
  <si>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</si>
  <si>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</si>
  <si>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</si>
  <si>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</si>
  <si>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</si>
  <si>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</si>
  <si>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</si>
  <si>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</si>
  <si>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</si>
  <si>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</si>
  <si>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</si>
  <si>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</si>
  <si>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</si>
  <si>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</si>
  <si>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</si>
  <si>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</si>
  <si>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</si>
  <si>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</si>
  <si>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</si>
  <si>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</si>
  <si>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</si>
  <si>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</si>
  <si>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</si>
  <si>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</si>
  <si>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</si>
  <si>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</si>
  <si>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</si>
  <si>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</si>
  <si>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</si>
  <si>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</si>
  <si>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</si>
  <si>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</si>
  <si>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</si>
  <si>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</si>
  <si>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</si>
  <si>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</si>
  <si>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</si>
  <si>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</si>
  <si>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</si>
  <si>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</si>
  <si>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</si>
  <si>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</si>
  <si>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</si>
  <si>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</si>
  <si>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</si>
  <si>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</si>
  <si>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</si>
  <si>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</si>
  <si>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</si>
  <si>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</si>
  <si>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</si>
  <si>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</si>
  <si>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</si>
  <si>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</si>
  <si>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</si>
  <si>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</si>
  <si>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</si>
  <si>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</si>
  <si>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</si>
  <si>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</si>
  <si>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</si>
  <si>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</si>
  <si>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</si>
  <si>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</si>
  <si>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</si>
  <si>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</si>
  <si>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</si>
  <si>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</si>
  <si>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</si>
  <si>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</si>
  <si>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</si>
  <si>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</si>
  <si>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</si>
  <si>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</si>
  <si>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</si>
  <si>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</si>
  <si>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</si>
  <si>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</si>
  <si>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</si>
  <si>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</si>
  <si>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</si>
  <si>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</si>
  <si>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</si>
  <si>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</si>
  <si>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</si>
  <si>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</si>
  <si>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</si>
  <si>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</si>
  <si>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</si>
  <si>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</si>
  <si>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</si>
  <si>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</si>
  <si>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</si>
  <si>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</si>
  <si>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</si>
  <si>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</si>
  <si>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</si>
  <si>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</si>
  <si>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</si>
  <si>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</si>
  <si>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</si>
  <si>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</si>
  <si>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</si>
  <si>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</si>
  <si>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</si>
  <si>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</si>
  <si>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</si>
  <si>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</si>
  <si>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</si>
  <si>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</si>
  <si>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</si>
  <si>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</si>
  <si>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</si>
  <si>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</si>
  <si>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</si>
  <si>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</si>
  <si>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</si>
  <si>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</si>
  <si>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</si>
  <si>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</si>
  <si>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</si>
  <si>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</si>
  <si>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</si>
  <si>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</si>
  <si>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</si>
  <si>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</si>
  <si>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</si>
  <si>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</si>
  <si>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</si>
  <si>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</si>
  <si>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</si>
  <si>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</si>
  <si>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</si>
  <si>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</si>
  <si>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</si>
  <si>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</si>
  <si>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</si>
  <si>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</si>
  <si>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</si>
  <si>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</si>
  <si>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</si>
  <si>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</si>
  <si>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</si>
  <si>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</si>
  <si>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</si>
  <si>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</si>
  <si>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</si>
  <si>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</si>
  <si>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</si>
  <si>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</si>
  <si>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</si>
  <si>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</si>
  <si>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</si>
  <si>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</si>
  <si>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</si>
  <si>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</si>
  <si>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</si>
  <si>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</si>
  <si>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</si>
  <si>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</si>
  <si>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</si>
  <si>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</si>
  <si>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</si>
  <si>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</si>
  <si>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</si>
  <si>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</si>
  <si>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</si>
  <si>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</si>
  <si>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</si>
  <si>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</si>
  <si>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</si>
  <si>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</si>
  <si>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</si>
  <si>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</si>
  <si>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</si>
  <si>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</si>
  <si>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</si>
  <si>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</si>
  <si>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</si>
  <si>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</si>
  <si>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</si>
  <si>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</si>
  <si>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</si>
  <si>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</si>
  <si>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</si>
  <si>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</si>
  <si>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</si>
  <si>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</si>
  <si>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</si>
  <si>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</si>
  <si>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</si>
  <si>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</si>
  <si>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</si>
  <si>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</si>
  <si>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</si>
  <si>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</si>
  <si>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</si>
  <si>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</si>
  <si>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</si>
  <si>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</si>
  <si>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</si>
  <si>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</si>
  <si>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</si>
  <si>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</si>
  <si>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</si>
  <si>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</si>
  <si>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</si>
  <si>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</si>
  <si>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</si>
  <si>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</si>
  <si>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</si>
  <si>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</si>
  <si>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</si>
  <si>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</si>
  <si>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</si>
  <si>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</si>
  <si>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</si>
  <si>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</si>
  <si>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</si>
  <si>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</si>
  <si>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</si>
  <si>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</si>
  <si>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</si>
  <si>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</si>
  <si>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</si>
  <si>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</si>
  <si>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</si>
  <si>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</si>
  <si>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</si>
  <si>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</si>
  <si>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</si>
  <si>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</si>
  <si>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</si>
  <si>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</si>
  <si>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</si>
  <si>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</si>
  <si>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</si>
  <si>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</si>
  <si>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</si>
  <si>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</si>
  <si>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</si>
  <si>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</si>
  <si>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</si>
  <si>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</si>
  <si>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</si>
  <si>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</si>
  <si>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</si>
  <si>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</si>
  <si>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</si>
  <si>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</si>
  <si>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</si>
  <si>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</si>
  <si>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</si>
  <si>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</si>
  <si>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</si>
  <si>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</si>
  <si>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</si>
  <si>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</si>
  <si>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</si>
  <si>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</si>
  <si>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</si>
  <si>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</si>
  <si>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</si>
  <si>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</si>
  <si>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</si>
  <si>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</si>
  <si>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</si>
  <si>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</si>
  <si>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</si>
  <si>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</si>
  <si>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</si>
  <si>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</si>
  <si>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</si>
  <si>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</si>
  <si>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</si>
  <si>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</si>
  <si>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</si>
  <si>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</si>
  <si>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</si>
  <si>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</si>
  <si>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</si>
  <si>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</si>
  <si>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</si>
  <si>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</si>
  <si>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</si>
  <si>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</si>
  <si>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</si>
  <si>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</si>
  <si>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</si>
  <si>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</si>
  <si>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</si>
  <si>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</si>
  <si>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</si>
  <si>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</si>
  <si>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</si>
  <si>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</si>
  <si>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</si>
  <si>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</si>
  <si>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</si>
  <si>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</si>
  <si>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</si>
  <si>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</si>
  <si>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</si>
  <si>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</si>
  <si>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</si>
  <si>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</si>
  <si>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</si>
  <si>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</si>
  <si>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</si>
  <si>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</si>
  <si>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</si>
  <si>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</si>
  <si>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</si>
  <si>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</si>
  <si>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</si>
  <si>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</si>
  <si>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</si>
  <si>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</si>
  <si>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</si>
  <si>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</si>
  <si>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</si>
  <si>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</si>
  <si>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</si>
  <si>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</si>
  <si>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</si>
  <si>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</si>
  <si>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</si>
  <si>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</si>
  <si>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</si>
  <si>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</si>
  <si>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</si>
  <si>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</si>
  <si>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</si>
  <si>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</si>
  <si>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</si>
  <si>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</si>
  <si>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</si>
  <si>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</si>
  <si>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</si>
  <si>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</si>
  <si>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</si>
  <si>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</si>
  <si>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</si>
  <si>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</si>
  <si>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</si>
  <si>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</si>
  <si>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</si>
  <si>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</si>
  <si>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</si>
  <si>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</si>
  <si>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</si>
  <si>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</si>
  <si>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</si>
  <si>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</si>
  <si>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</si>
  <si>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</si>
  <si>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</si>
  <si>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</si>
  <si>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</si>
  <si>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</si>
  <si>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</si>
  <si>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</si>
  <si>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</si>
  <si>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</si>
  <si>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</si>
  <si>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</si>
  <si>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</si>
  <si>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</si>
  <si>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</si>
  <si>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</si>
  <si>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</si>
  <si>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</si>
  <si>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</si>
  <si>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</si>
  <si>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</si>
  <si>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</si>
  <si>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</si>
  <si>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</si>
  <si>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</si>
  <si>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</si>
  <si>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</si>
  <si>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</si>
  <si>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</si>
  <si>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</si>
  <si>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</si>
  <si>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</si>
  <si>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</si>
  <si>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</si>
  <si>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</si>
  <si>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</si>
  <si>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</si>
  <si>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</si>
  <si>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</si>
  <si>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</si>
  <si>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</si>
  <si>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</si>
  <si>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</si>
  <si>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</si>
  <si>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</si>
  <si>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</si>
  <si>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</si>
  <si>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</si>
  <si>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</si>
  <si>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</si>
  <si>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</si>
  <si>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</si>
  <si>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</si>
  <si>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</si>
  <si>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</si>
  <si>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</si>
  <si>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</si>
  <si>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</si>
  <si>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</si>
  <si>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</si>
  <si>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</si>
  <si>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</si>
  <si>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</si>
  <si>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</si>
  <si>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</si>
  <si>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</si>
  <si>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</si>
  <si>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</si>
  <si>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</si>
  <si>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</si>
  <si>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</si>
  <si>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</si>
  <si>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</si>
  <si>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</si>
  <si>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</si>
  <si>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</si>
  <si>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</si>
  <si>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</si>
  <si>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</si>
  <si>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</si>
  <si>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</si>
  <si>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</si>
  <si>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</si>
  <si>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</si>
  <si>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</si>
  <si>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</si>
  <si>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</si>
  <si>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</si>
  <si>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</si>
  <si>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</si>
  <si>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</si>
  <si>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</si>
  <si>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</si>
  <si>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</si>
  <si>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</si>
  <si>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</si>
  <si>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</si>
  <si>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</si>
  <si>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</si>
  <si>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</si>
  <si>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</si>
  <si>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</si>
  <si>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</si>
  <si>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</si>
  <si>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</si>
  <si>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</si>
  <si>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</si>
  <si>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</si>
  <si>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</si>
  <si>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</si>
  <si>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</si>
  <si>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</si>
  <si>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</si>
  <si>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</si>
  <si>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</si>
  <si>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</si>
  <si>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</si>
  <si>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</si>
  <si>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</si>
  <si>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</si>
  <si>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</si>
  <si>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</si>
  <si>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</si>
  <si>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</si>
  <si>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</si>
  <si>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</si>
  <si>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</si>
  <si>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</si>
  <si>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</si>
  <si>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</si>
  <si>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</si>
  <si>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</si>
  <si>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</si>
  <si>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</si>
  <si>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</si>
  <si>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</si>
  <si>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</si>
  <si>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</si>
  <si>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</si>
  <si>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</si>
  <si>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</si>
  <si>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</si>
  <si>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</si>
  <si>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</si>
  <si>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</si>
  <si>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</si>
  <si>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</si>
  <si>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</si>
  <si>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</si>
  <si>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</si>
  <si>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</si>
  <si>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</si>
  <si>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</si>
  <si>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</si>
  <si>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</si>
  <si>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</si>
  <si>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</si>
  <si>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</si>
  <si>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</si>
  <si>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</si>
  <si>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</si>
  <si>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</si>
  <si>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</si>
  <si>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</si>
  <si>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</si>
  <si>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</si>
  <si>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</si>
  <si>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</si>
  <si>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</si>
  <si>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</si>
  <si>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</si>
  <si>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</si>
  <si>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</si>
  <si>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</si>
  <si>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</si>
  <si>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</si>
  <si>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</si>
  <si>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</si>
  <si>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</si>
  <si>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</si>
  <si>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</si>
  <si>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</si>
  <si>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</si>
  <si>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</si>
  <si>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</si>
  <si>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</si>
  <si>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</si>
  <si>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</si>
  <si>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</si>
  <si>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</si>
  <si>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</si>
  <si>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</si>
  <si>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</si>
  <si>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</si>
  <si>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</si>
  <si>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</si>
  <si>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</si>
  <si>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</si>
  <si>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</si>
  <si>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</si>
  <si>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</si>
  <si>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</si>
  <si>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</si>
  <si>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</si>
  <si>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</si>
  <si>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</si>
  <si>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</si>
  <si>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</si>
  <si>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</si>
  <si>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</si>
  <si>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</si>
  <si>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</si>
  <si>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</si>
  <si>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</si>
  <si>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</si>
  <si>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</si>
  <si>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</si>
  <si>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</si>
  <si>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</si>
  <si>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</si>
  <si>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</si>
  <si>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</si>
  <si>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</si>
  <si>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</si>
  <si>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</si>
  <si>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</si>
  <si>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</si>
  <si>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</si>
  <si>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</si>
  <si>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</si>
  <si>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</si>
  <si>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</si>
  <si>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</si>
  <si>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</si>
  <si>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</si>
  <si>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</si>
  <si>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</si>
  <si>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</si>
  <si>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</si>
  <si>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</si>
  <si>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</si>
  <si>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</si>
  <si>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</si>
  <si>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</si>
  <si>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</si>
  <si>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</si>
  <si>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</si>
  <si>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</si>
  <si>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</si>
  <si>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</si>
  <si>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</si>
  <si>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</si>
  <si>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</si>
  <si>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</si>
  <si>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</si>
  <si>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</si>
  <si>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</si>
  <si>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</si>
  <si>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</si>
  <si>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</si>
  <si>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</si>
  <si>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</si>
  <si>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</si>
  <si>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</si>
  <si>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</si>
  <si>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</si>
  <si>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</si>
  <si>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</si>
  <si>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</si>
  <si>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</si>
  <si>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</si>
  <si>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</si>
  <si>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</si>
  <si>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</si>
  <si>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</si>
  <si>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</si>
  <si>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</si>
  <si>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</si>
  <si>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</si>
  <si>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</si>
  <si>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</si>
  <si>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</si>
  <si>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</si>
  <si>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</si>
  <si>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</si>
  <si>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</si>
  <si>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</si>
  <si>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</si>
  <si>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</si>
  <si>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</si>
  <si>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</si>
  <si>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</si>
  <si>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</si>
  <si>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</si>
  <si>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</si>
  <si>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</si>
  <si>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</si>
  <si>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</si>
  <si>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</si>
  <si>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</si>
  <si>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</si>
  <si>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</si>
  <si>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</si>
  <si>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</si>
  <si>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</si>
  <si>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</si>
  <si>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</si>
  <si>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</si>
  <si>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</si>
  <si>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</si>
  <si>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</si>
  <si>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</si>
  <si>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</si>
  <si>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</si>
  <si>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</si>
  <si>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</si>
  <si>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</si>
  <si>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</si>
  <si>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</si>
  <si>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</si>
  <si>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</si>
  <si>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</si>
  <si>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</si>
  <si>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</si>
  <si>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</si>
  <si>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</si>
  <si>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</si>
  <si>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</si>
  <si>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</si>
  <si>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</si>
  <si>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</si>
  <si>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</si>
  <si>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</si>
  <si>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</si>
  <si>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</si>
  <si>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</si>
  <si>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</si>
  <si>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</si>
  <si>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</si>
  <si>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</si>
  <si>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</si>
  <si>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</si>
  <si>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</si>
  <si>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</si>
  <si>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</si>
  <si>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</si>
  <si>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</si>
  <si>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</si>
  <si>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</si>
  <si>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</si>
  <si>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</si>
  <si>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</si>
  <si>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</si>
  <si>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</si>
  <si>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</si>
  <si>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</si>
  <si>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</si>
  <si>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</si>
  <si>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</si>
  <si>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</si>
  <si>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</si>
  <si>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</si>
  <si>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</si>
  <si>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</si>
  <si>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</si>
  <si>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</si>
  <si>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</si>
  <si>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</si>
  <si>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</si>
  <si>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</si>
  <si>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</si>
  <si>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</si>
  <si>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</si>
  <si>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</si>
  <si>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</si>
  <si>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</si>
  <si>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</si>
  <si>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</si>
  <si>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</si>
  <si>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</si>
  <si>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</si>
  <si>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</si>
  <si>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</si>
  <si>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</si>
  <si>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</si>
  <si>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</si>
  <si>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</si>
  <si>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</si>
  <si>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</si>
  <si>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</si>
  <si>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</si>
  <si>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</si>
  <si>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</si>
  <si>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</si>
  <si>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</si>
  <si>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</si>
  <si>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</si>
  <si>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</si>
  <si>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</si>
  <si>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</si>
  <si>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</si>
  <si>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</si>
  <si>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</si>
  <si>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</si>
  <si>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</si>
  <si>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</si>
  <si>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</si>
  <si>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</si>
  <si>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</si>
  <si>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</si>
  <si>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</si>
  <si>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</si>
  <si>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</si>
  <si>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</si>
  <si>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</si>
  <si>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</si>
  <si>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</si>
  <si>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</si>
  <si>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</si>
  <si>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</si>
  <si>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</si>
  <si>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</si>
  <si>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</si>
  <si>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</si>
  <si>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</si>
  <si>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</si>
  <si>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</si>
  <si>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</si>
  <si>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</si>
  <si>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</si>
  <si>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</si>
  <si>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</si>
  <si>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</si>
  <si>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</si>
  <si>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</si>
  <si>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</si>
  <si>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</si>
  <si>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</si>
  <si>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</si>
  <si>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</si>
  <si>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</si>
  <si>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</si>
  <si>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</si>
  <si>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</si>
  <si>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</si>
  <si>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</si>
  <si>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</si>
  <si>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</si>
  <si>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</si>
  <si>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</si>
  <si>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</si>
  <si>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</si>
  <si>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</si>
  <si>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</si>
  <si>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</si>
  <si>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</si>
  <si>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</si>
  <si>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</si>
  <si>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</si>
  <si>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</si>
  <si>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</si>
  <si>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</si>
  <si>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</si>
  <si>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</si>
  <si>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</si>
  <si>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</si>
  <si>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</si>
  <si>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</si>
  <si>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</si>
  <si>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</si>
  <si>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</si>
  <si>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</si>
  <si>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</si>
  <si>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</si>
  <si>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</si>
  <si>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</si>
  <si>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</si>
  <si>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</si>
  <si>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</si>
  <si>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</si>
  <si>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</si>
  <si>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</si>
  <si>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</si>
  <si>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</si>
  <si>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</si>
  <si>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</si>
  <si>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</si>
  <si>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</si>
  <si>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</si>
  <si>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</si>
  <si>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</si>
  <si>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</si>
  <si>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</si>
  <si>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</si>
  <si>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</si>
  <si>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</si>
  <si>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</si>
  <si>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</si>
  <si>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</si>
  <si>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</si>
  <si>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</si>
  <si>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</si>
  <si>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</si>
  <si>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</si>
  <si>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</si>
  <si>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</si>
  <si>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</si>
  <si>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</si>
  <si>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</si>
  <si>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</si>
  <si>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</si>
  <si>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</si>
  <si>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</si>
  <si>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</si>
  <si>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</si>
  <si>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</si>
  <si>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</si>
  <si>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</si>
  <si>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</si>
  <si>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</si>
  <si>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</si>
  <si>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</si>
  <si>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</si>
  <si>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</si>
  <si>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</si>
  <si>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</si>
  <si>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</si>
  <si>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</si>
  <si>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</si>
  <si>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</si>
  <si>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</si>
  <si>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</si>
  <si>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</si>
  <si>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</si>
  <si>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</si>
  <si>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</si>
  <si>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</si>
  <si>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</si>
  <si>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</si>
  <si>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</si>
  <si>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</si>
  <si>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</si>
  <si>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</si>
  <si>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</si>
  <si>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</si>
  <si>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</si>
  <si>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</si>
  <si>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</si>
  <si>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</si>
  <si>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</si>
  <si>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</si>
  <si>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</si>
  <si>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</si>
  <si>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</si>
  <si>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</si>
  <si>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</si>
  <si>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</si>
  <si>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</si>
  <si>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</si>
  <si>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</si>
  <si>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</si>
  <si>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</si>
  <si>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</si>
  <si>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</si>
  <si>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</si>
  <si>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</si>
  <si>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</si>
  <si>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</si>
  <si>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</si>
  <si>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</si>
  <si>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</si>
  <si>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</si>
  <si>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</si>
  <si>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</si>
  <si>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</si>
  <si>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</si>
  <si>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</si>
  <si>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</si>
  <si>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</si>
  <si>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</si>
  <si>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</si>
  <si>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</si>
  <si>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</si>
  <si>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</si>
  <si>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</si>
  <si>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</si>
  <si>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</si>
  <si>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</si>
  <si>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</si>
  <si>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</si>
  <si>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</si>
  <si>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</si>
  <si>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</si>
  <si>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</si>
  <si>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</si>
  <si>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</si>
  <si>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</si>
  <si>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</si>
  <si>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</si>
  <si>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</si>
  <si>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</si>
  <si>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</si>
  <si>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</si>
  <si>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</si>
  <si>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</si>
  <si>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</si>
  <si>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</si>
  <si>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</si>
  <si>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</si>
  <si>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</si>
  <si>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</si>
  <si>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</si>
  <si>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</si>
  <si>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</si>
  <si>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</si>
  <si>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</si>
  <si>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</si>
  <si>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</si>
  <si>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</si>
  <si>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</si>
  <si>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</si>
  <si>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</si>
  <si>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</si>
  <si>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</si>
  <si>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</si>
  <si>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</si>
  <si>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</si>
  <si>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</si>
  <si>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</si>
  <si>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</si>
  <si>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</si>
  <si>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</si>
  <si>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</si>
  <si>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</si>
  <si>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</si>
  <si>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</si>
  <si>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</si>
  <si>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</si>
  <si>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</si>
  <si>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</si>
  <si>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</si>
  <si>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</si>
  <si>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</si>
  <si>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</si>
  <si>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</si>
  <si>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</si>
  <si>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</si>
  <si>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</si>
  <si>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</si>
  <si>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</si>
  <si>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</si>
  <si>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</si>
  <si>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</si>
  <si>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</si>
  <si>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</si>
  <si>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</si>
  <si>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</si>
  <si>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</si>
  <si>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</si>
  <si>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</si>
  <si>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</si>
  <si>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</si>
  <si>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</si>
  <si>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</si>
  <si>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</si>
  <si>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</si>
  <si>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</si>
  <si>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</si>
  <si>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</si>
  <si>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</si>
  <si>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</si>
  <si>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</si>
  <si>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</si>
  <si>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</si>
  <si>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</si>
  <si>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</si>
  <si>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</si>
  <si>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</si>
  <si>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</si>
  <si>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</si>
  <si>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</si>
  <si>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</si>
  <si>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</si>
  <si>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</si>
  <si>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</si>
  <si>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</si>
  <si>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</si>
  <si>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</si>
  <si>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</si>
  <si>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</si>
  <si>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</si>
  <si>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</si>
  <si>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</si>
  <si>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</si>
  <si>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</si>
  <si>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</si>
  <si>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</si>
  <si>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</si>
  <si>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</si>
  <si>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</si>
  <si>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</si>
  <si>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</si>
  <si>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</si>
  <si>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</si>
  <si>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</si>
  <si>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</si>
  <si>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</si>
  <si>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</si>
  <si>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</si>
  <si>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</si>
  <si>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</si>
  <si>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</si>
  <si>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</si>
  <si>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</si>
  <si>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</si>
  <si>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</si>
  <si>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</si>
  <si>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</si>
  <si>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</si>
  <si>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</si>
  <si>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</si>
  <si>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</si>
  <si>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</si>
  <si>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</si>
  <si>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</si>
  <si>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</si>
  <si>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</si>
  <si>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</si>
  <si>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</si>
  <si>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</si>
  <si>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</si>
  <si>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</si>
  <si>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</si>
  <si>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</si>
  <si>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</si>
  <si>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</si>
  <si>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</si>
  <si>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</si>
  <si>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</si>
  <si>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</si>
  <si>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</si>
  <si>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</si>
  <si>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</si>
  <si>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</si>
  <si>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</si>
  <si>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</si>
  <si>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</si>
  <si>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</si>
  <si>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</si>
  <si>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</si>
  <si>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</si>
  <si>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</si>
  <si>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</si>
  <si>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</si>
  <si>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</si>
  <si>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</si>
  <si>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</si>
  <si>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</si>
  <si>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</si>
  <si>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</si>
  <si>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</si>
  <si>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</si>
  <si>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</si>
  <si>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</si>
  <si>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</si>
  <si>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</si>
  <si>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</si>
  <si>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</si>
  <si>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</si>
  <si>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</si>
  <si>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</si>
  <si>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</si>
  <si>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</si>
  <si>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</si>
  <si>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</si>
  <si>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</si>
  <si>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</si>
  <si>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</si>
  <si>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</si>
  <si>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</si>
  <si>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</si>
  <si>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</si>
  <si>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</si>
  <si>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</si>
  <si>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</si>
  <si>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</si>
  <si>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</si>
  <si>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</si>
  <si>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</si>
  <si>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</si>
  <si>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</si>
  <si>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</si>
  <si>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</si>
  <si>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</si>
  <si>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</si>
  <si>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</si>
  <si>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</si>
  <si>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</si>
  <si>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</si>
  <si>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</si>
  <si>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</si>
  <si>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</si>
  <si>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</si>
  <si>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</si>
  <si>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</si>
  <si>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</si>
  <si>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</si>
  <si>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</si>
  <si>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</si>
  <si>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</si>
  <si>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</si>
  <si>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</si>
  <si>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</si>
  <si>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</si>
  <si>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</si>
  <si>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</si>
  <si>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</si>
  <si>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</si>
  <si>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</si>
  <si>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</si>
  <si>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</si>
  <si>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</si>
  <si>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</si>
  <si>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</si>
  <si>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</si>
  <si>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</si>
  <si>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</si>
  <si>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</si>
  <si>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</si>
  <si>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</si>
  <si>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</si>
  <si>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</si>
  <si>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</si>
  <si>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</si>
  <si>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</si>
  <si>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</si>
  <si>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</si>
  <si>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</si>
  <si>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</si>
  <si>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</si>
  <si>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</si>
  <si>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</si>
  <si>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</si>
  <si>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</si>
  <si>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</si>
  <si>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</si>
  <si>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</si>
  <si>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</si>
  <si>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</si>
  <si>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</si>
  <si>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</si>
  <si>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</si>
  <si>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</si>
  <si>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</si>
  <si>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</si>
  <si>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</si>
  <si>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</si>
  <si>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</si>
  <si>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</si>
  <si>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</si>
  <si>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</si>
  <si>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</si>
  <si>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</si>
  <si>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</si>
  <si>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</si>
  <si>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</si>
  <si>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</si>
  <si>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</si>
  <si>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</si>
  <si>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</si>
  <si>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</si>
  <si>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</si>
  <si>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</si>
  <si>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</si>
  <si>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</si>
  <si>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</si>
  <si>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</si>
  <si>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</si>
  <si>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</si>
  <si>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</si>
  <si>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</si>
  <si>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</si>
  <si>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</si>
  <si>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</si>
  <si>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</si>
  <si>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</si>
  <si>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</si>
  <si>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</si>
  <si>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</si>
  <si>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</si>
  <si>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</si>
  <si>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</si>
  <si>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</si>
  <si>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</si>
  <si>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</si>
  <si>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</si>
  <si>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</si>
  <si>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</si>
  <si>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</si>
  <si>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</si>
  <si>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</si>
  <si>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</si>
  <si>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</si>
  <si>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</si>
  <si>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</si>
  <si>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</si>
  <si>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</si>
  <si>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</si>
  <si>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</si>
  <si>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</si>
  <si>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</si>
  <si>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</si>
  <si>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</si>
  <si>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</si>
  <si>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</si>
  <si>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</si>
  <si>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</si>
  <si>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</si>
  <si>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</si>
  <si>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</si>
  <si>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</si>
  <si>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</si>
  <si>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</si>
  <si>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</si>
  <si>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</si>
  <si>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</si>
  <si>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</si>
  <si>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</si>
  <si>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</si>
  <si>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</si>
  <si>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</si>
  <si>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</si>
  <si>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</si>
  <si>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</si>
  <si>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</si>
  <si>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</si>
  <si>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</si>
  <si>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</si>
  <si>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</si>
  <si>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</si>
  <si>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</si>
  <si>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</si>
  <si>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</si>
  <si>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</si>
  <si>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</si>
  <si>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</si>
  <si>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</si>
  <si>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</si>
  <si>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</si>
  <si>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</si>
  <si>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</si>
  <si>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</si>
  <si>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</si>
  <si>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</si>
  <si>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</si>
  <si>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</si>
  <si>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</si>
  <si>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</si>
  <si>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</si>
  <si>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</si>
  <si>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</si>
  <si>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</si>
  <si>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</si>
  <si>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</si>
  <si>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</si>
  <si>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</si>
  <si>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</si>
  <si>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</si>
  <si>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</si>
  <si>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</si>
  <si>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</si>
  <si>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</si>
  <si>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</si>
  <si>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</si>
  <si>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</si>
  <si>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</si>
  <si>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</si>
  <si>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</si>
  <si>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</si>
  <si>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</si>
  <si>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</si>
  <si>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</si>
  <si>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</si>
  <si>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</si>
  <si>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</si>
  <si>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</si>
  <si>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</si>
  <si>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</si>
  <si>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</si>
  <si>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</si>
  <si>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</si>
  <si>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</si>
  <si>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</si>
  <si>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</si>
  <si>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</si>
  <si>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</si>
  <si>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</si>
  <si>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</si>
  <si>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</si>
  <si>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</si>
  <si>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</si>
  <si>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</si>
  <si>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</si>
  <si>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</si>
  <si>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</si>
  <si>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</si>
  <si>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</si>
  <si>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</si>
  <si>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</si>
  <si>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</si>
  <si>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</si>
  <si>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</si>
  <si>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</si>
  <si>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</si>
  <si>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</si>
  <si>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</si>
  <si>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</si>
  <si>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</si>
  <si>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</si>
  <si>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</si>
  <si>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</si>
  <si>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</si>
  <si>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</si>
  <si>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</si>
  <si>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</si>
  <si>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</si>
  <si>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</si>
  <si>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</si>
  <si>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</si>
  <si>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</si>
  <si>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</si>
  <si>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</si>
  <si>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</si>
  <si>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</si>
  <si>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</si>
  <si>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</si>
  <si>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</si>
  <si>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</si>
  <si>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</si>
  <si>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</si>
  <si>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</si>
  <si>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</si>
  <si>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</si>
  <si>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</si>
  <si>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</si>
  <si>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</si>
  <si>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</si>
  <si>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</si>
  <si>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</si>
  <si>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</si>
  <si>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</si>
  <si>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</si>
  <si>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</si>
  <si>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</si>
  <si>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</si>
  <si>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</si>
  <si>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</si>
  <si>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</si>
  <si>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</si>
  <si>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</si>
  <si>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</si>
  <si>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</si>
  <si>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</si>
  <si>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</si>
  <si>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</si>
  <si>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</si>
  <si>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</si>
  <si>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</si>
  <si>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</si>
  <si>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</si>
  <si>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</si>
  <si>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</si>
  <si>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</si>
  <si>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</si>
  <si>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</si>
  <si>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</si>
  <si>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</si>
  <si>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</si>
  <si>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</si>
  <si>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</si>
  <si>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</si>
  <si>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</si>
  <si>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</si>
  <si>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</si>
  <si>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</si>
  <si>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</si>
  <si>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</si>
  <si>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</si>
  <si>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</si>
  <si>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</si>
  <si>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</si>
  <si>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</si>
  <si>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</si>
  <si>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</si>
  <si>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</si>
  <si>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</si>
  <si>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</si>
  <si>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</si>
  <si>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</si>
  <si>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</si>
  <si>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</si>
  <si>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</si>
  <si>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</si>
  <si>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</si>
  <si>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</si>
  <si>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</si>
  <si>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</si>
  <si>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</si>
  <si>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</si>
  <si>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</si>
  <si>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</si>
  <si>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</si>
  <si>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</si>
  <si>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</si>
  <si>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</si>
  <si>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</si>
  <si>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</si>
  <si>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</si>
  <si>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</si>
  <si>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</si>
  <si>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</si>
  <si>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</si>
  <si>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</si>
  <si>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</si>
  <si>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</si>
  <si>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</si>
  <si>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</si>
  <si>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</si>
  <si>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</si>
  <si>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</si>
  <si>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</si>
  <si>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</si>
  <si>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</si>
  <si>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</si>
  <si>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</si>
  <si>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</si>
  <si>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</si>
  <si>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</si>
  <si>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</si>
  <si>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</si>
  <si>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</si>
  <si>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</si>
  <si>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</si>
  <si>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</si>
  <si>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</si>
  <si>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</si>
  <si>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</si>
  <si>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</si>
  <si>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</si>
  <si>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</si>
  <si>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</si>
  <si>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</si>
  <si>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</si>
  <si>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</si>
  <si>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</si>
  <si>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</si>
  <si>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</si>
  <si>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</si>
  <si>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</si>
  <si>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</si>
  <si>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</si>
  <si>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</si>
  <si>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</si>
  <si>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</si>
  <si>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</si>
  <si>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</si>
  <si>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</si>
  <si>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</si>
  <si>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</si>
  <si>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</si>
  <si>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</si>
  <si>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</si>
  <si>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</si>
  <si>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</si>
  <si>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</si>
  <si>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</si>
  <si>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</si>
  <si>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</si>
  <si>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</si>
  <si>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</si>
  <si>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</si>
  <si>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</si>
  <si>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</si>
  <si>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</si>
  <si>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</si>
  <si>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</si>
  <si>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</si>
  <si>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</si>
  <si>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</si>
  <si>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</si>
  <si>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</si>
  <si>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</si>
  <si>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</si>
  <si>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</si>
  <si>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</si>
  <si>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</si>
  <si>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</si>
  <si>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</si>
  <si>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</si>
  <si>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</si>
  <si>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</si>
  <si>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</si>
  <si>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</si>
  <si>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</si>
  <si>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</si>
  <si>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</si>
  <si>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</si>
  <si>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</si>
  <si>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</si>
  <si>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</si>
  <si>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</si>
  <si>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</si>
  <si>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</si>
  <si>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</si>
  <si>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</si>
  <si>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</si>
  <si>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</si>
  <si>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</si>
  <si>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</si>
  <si>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</si>
  <si>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</si>
  <si>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</si>
  <si>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</si>
  <si>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</si>
  <si>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</si>
  <si>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</si>
  <si>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</si>
  <si>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</si>
  <si>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</si>
  <si>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</si>
  <si>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</si>
  <si>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</si>
  <si>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</si>
  <si>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</si>
  <si>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</si>
  <si>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</si>
  <si>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</si>
  <si>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</si>
  <si>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</si>
  <si>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</si>
  <si>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</si>
  <si>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</si>
  <si>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</si>
  <si>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</si>
  <si>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</si>
  <si>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</si>
  <si>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</si>
  <si>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</si>
  <si>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</si>
  <si>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</si>
  <si>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</si>
  <si>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</si>
  <si>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</si>
  <si>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</si>
  <si>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</si>
  <si>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</si>
  <si>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</si>
  <si>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</si>
  <si>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</si>
  <si>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</si>
  <si>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</si>
  <si>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</si>
  <si>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</si>
  <si>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</si>
  <si>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</si>
  <si>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</si>
  <si>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</si>
  <si>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</si>
  <si>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</si>
  <si>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</si>
  <si>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</si>
  <si>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</si>
  <si>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</si>
  <si>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</si>
  <si>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</si>
  <si>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</si>
  <si>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</si>
  <si>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</si>
  <si>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</si>
  <si>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</si>
  <si>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</si>
  <si>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</si>
  <si>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</si>
  <si>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</si>
  <si>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</si>
  <si>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</si>
  <si>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</si>
  <si>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</si>
  <si>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</si>
  <si>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</si>
  <si>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</si>
  <si>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</si>
  <si>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</si>
  <si>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</si>
  <si>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</si>
  <si>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</si>
  <si>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</si>
  <si>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</si>
  <si>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</si>
  <si>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</si>
  <si>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</si>
  <si>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</si>
  <si>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</si>
  <si>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</si>
  <si>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</si>
  <si>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</si>
  <si>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</si>
  <si>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</si>
  <si>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</si>
  <si>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</si>
  <si>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</si>
  <si>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</si>
  <si>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</si>
  <si>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</si>
  <si>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</si>
  <si>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</si>
  <si>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</si>
  <si>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</si>
  <si>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</si>
  <si>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</si>
  <si>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</si>
  <si>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</si>
  <si>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</si>
  <si>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</si>
  <si>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</si>
  <si>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</si>
  <si>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</si>
  <si>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</si>
  <si>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</si>
  <si>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</si>
  <si>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</si>
  <si>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</si>
  <si>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</si>
  <si>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</si>
  <si>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</si>
  <si>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</si>
  <si>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</si>
  <si>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</si>
  <si>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</si>
  <si>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</si>
  <si>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</si>
  <si>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</si>
  <si>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</si>
  <si>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</si>
  <si>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</si>
  <si>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</si>
  <si>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</si>
  <si>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</si>
  <si>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</si>
  <si>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</si>
  <si>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</si>
  <si>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</si>
  <si>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</si>
  <si>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</si>
  <si>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</si>
  <si>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</si>
  <si>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</si>
  <si>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</si>
  <si>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</si>
  <si>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</si>
  <si>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</si>
  <si>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</si>
  <si>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</si>
  <si>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</si>
  <si>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</si>
  <si>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</si>
  <si>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</si>
  <si>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</si>
  <si>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</si>
  <si>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</si>
  <si>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</si>
  <si>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</si>
  <si>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</si>
  <si>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</si>
  <si>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</si>
  <si>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</si>
  <si>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</si>
  <si>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</si>
  <si>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</si>
  <si>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</si>
  <si>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</si>
  <si>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</si>
  <si>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</si>
  <si>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</si>
  <si>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</si>
  <si>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</si>
  <si>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</si>
  <si>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</si>
  <si>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</si>
  <si>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</si>
  <si>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</si>
  <si>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</si>
  <si>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</si>
  <si>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</si>
  <si>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</si>
  <si>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</si>
  <si>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</si>
  <si>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</si>
  <si>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</si>
  <si>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</si>
  <si>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</si>
  <si>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</si>
  <si>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</si>
  <si>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</si>
  <si>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</si>
  <si>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</si>
  <si>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</si>
  <si>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</si>
  <si>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</si>
  <si>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</si>
  <si>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</si>
  <si>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</si>
  <si>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</si>
  <si>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</si>
  <si>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</si>
  <si>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</si>
  <si>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</si>
  <si>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</si>
  <si>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</si>
  <si>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</si>
  <si>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</si>
  <si>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</si>
  <si>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</si>
  <si>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</si>
  <si>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</si>
  <si>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</si>
  <si>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</si>
  <si>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</si>
  <si>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</si>
  <si>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</si>
  <si>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</si>
  <si>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</si>
  <si>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</si>
  <si>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</si>
  <si>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</si>
  <si>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</si>
  <si>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</si>
  <si>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</si>
  <si>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</si>
  <si>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</si>
  <si>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</si>
  <si>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</si>
  <si>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</si>
  <si>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</si>
  <si>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</si>
  <si>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</si>
  <si>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</si>
  <si>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</si>
  <si>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</si>
  <si>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</si>
  <si>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</si>
  <si>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</si>
  <si>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</si>
  <si>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</si>
  <si>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</si>
  <si>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</si>
  <si>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</si>
  <si>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</si>
  <si>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</si>
  <si>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</si>
  <si>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</si>
  <si>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</si>
  <si>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</si>
  <si>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</si>
  <si>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</si>
  <si>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</si>
  <si>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</si>
  <si>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</si>
  <si>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</si>
  <si>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</si>
  <si>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</si>
  <si>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</si>
  <si>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</si>
  <si>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</si>
  <si>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</si>
  <si>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</si>
  <si>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</si>
  <si>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</si>
  <si>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</si>
  <si>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</si>
  <si>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</si>
  <si>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</si>
  <si>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</si>
  <si>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</si>
  <si>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</si>
  <si>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</si>
  <si>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</si>
  <si>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</si>
  <si>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</si>
  <si>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</si>
  <si>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</si>
  <si>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</si>
  <si>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</si>
  <si>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</si>
  <si>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</si>
  <si>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</si>
  <si>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</si>
  <si>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</si>
  <si>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</si>
  <si>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</si>
  <si>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</si>
  <si>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</si>
  <si>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</si>
  <si>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</si>
  <si>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</si>
  <si>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</si>
  <si>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</si>
  <si>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</si>
  <si>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</si>
  <si>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</si>
  <si>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</si>
  <si>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</si>
  <si>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</si>
  <si>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</si>
  <si>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</si>
  <si>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</si>
  <si>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</si>
  <si>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</si>
  <si>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</si>
  <si>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</si>
  <si>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</si>
  <si>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</si>
  <si>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</si>
  <si>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</si>
  <si>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</si>
  <si>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</si>
  <si>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</si>
  <si>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</si>
  <si>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</si>
  <si>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</si>
  <si>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</si>
  <si>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</si>
  <si>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</si>
  <si>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</si>
  <si>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</si>
  <si>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</si>
  <si>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</si>
  <si>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</si>
  <si>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</si>
  <si>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</si>
  <si>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</si>
  <si>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</si>
  <si>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</si>
  <si>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</si>
  <si>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</si>
  <si>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</si>
  <si>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</si>
  <si>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</si>
  <si>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</si>
  <si>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</si>
  <si>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</si>
  <si>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</si>
  <si>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</si>
  <si>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</si>
  <si>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</si>
  <si>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</si>
  <si>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</si>
  <si>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</si>
  <si>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</si>
  <si>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</si>
  <si>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</si>
  <si>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</si>
  <si>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</si>
  <si>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</si>
  <si>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</si>
  <si>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</si>
  <si>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</si>
  <si>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</si>
  <si>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</si>
  <si>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</si>
  <si>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</si>
  <si>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</si>
  <si>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</si>
  <si>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</si>
  <si>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</si>
  <si>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</si>
  <si>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</si>
  <si>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</si>
  <si>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</si>
  <si>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</si>
  <si>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</si>
  <si>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</si>
  <si>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</si>
  <si>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</si>
  <si>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</si>
  <si>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</si>
  <si>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</si>
  <si>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</si>
  <si>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</si>
  <si>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</si>
  <si>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</si>
  <si>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</si>
  <si>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</si>
  <si>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</si>
  <si>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</si>
  <si>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</si>
  <si>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</si>
  <si>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</si>
  <si>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</si>
  <si>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</si>
  <si>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</si>
  <si>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</si>
  <si>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</si>
  <si>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</si>
  <si>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</si>
  <si>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</si>
  <si>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</si>
  <si>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</si>
  <si>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</si>
  <si>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</si>
  <si>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</si>
  <si>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</si>
  <si>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</si>
  <si>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</si>
  <si>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</si>
  <si>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</si>
  <si>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</si>
  <si>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</si>
  <si>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</si>
  <si>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</si>
  <si>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</si>
  <si>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</si>
  <si>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</si>
  <si>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</si>
  <si>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</si>
  <si>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</si>
  <si>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</si>
  <si>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</si>
  <si>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</si>
  <si>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</si>
  <si>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</si>
  <si>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</si>
  <si>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</si>
  <si>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</si>
  <si>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</si>
  <si>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</si>
  <si>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</si>
  <si>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</si>
  <si>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</si>
  <si>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</si>
  <si>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</si>
  <si>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</si>
  <si>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</si>
  <si>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</si>
  <si>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</si>
  <si>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</si>
  <si>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</si>
  <si>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</si>
  <si>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</si>
  <si>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</si>
  <si>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</si>
  <si>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</si>
  <si>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</si>
  <si>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</si>
  <si>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</si>
  <si>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</si>
  <si>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</si>
  <si>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</si>
  <si>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</si>
  <si>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</si>
  <si>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</si>
  <si>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</si>
  <si>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</si>
  <si>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</si>
  <si>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</si>
  <si>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</si>
  <si>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</si>
  <si>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</si>
  <si>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</si>
  <si>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</si>
  <si>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</si>
  <si>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</si>
  <si>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</si>
  <si>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</si>
  <si>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</si>
  <si>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</si>
  <si>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</si>
  <si>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</si>
  <si>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</si>
  <si>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</si>
  <si>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</si>
  <si>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</si>
  <si>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</si>
  <si>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</si>
  <si>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</si>
  <si>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</si>
  <si>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</si>
  <si>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</si>
  <si>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</si>
  <si>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</si>
  <si>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</si>
  <si>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</si>
  <si>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</si>
  <si>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</si>
  <si>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</si>
  <si>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</si>
  <si>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</si>
  <si>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</si>
  <si>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</si>
  <si>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</si>
  <si>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</si>
  <si>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</si>
  <si>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</si>
  <si>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</si>
  <si>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</si>
  <si>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</si>
  <si>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</si>
  <si>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</si>
  <si>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</si>
  <si>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</si>
  <si>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</si>
  <si>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</si>
  <si>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</si>
  <si>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</si>
  <si>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</si>
  <si>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</si>
  <si>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</si>
  <si>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</si>
  <si>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</si>
  <si>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</si>
  <si>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</si>
  <si>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</si>
  <si>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</si>
  <si>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</si>
  <si>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</si>
  <si>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</si>
  <si>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</si>
  <si>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</si>
  <si>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</si>
  <si>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</si>
  <si>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</si>
  <si>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</si>
  <si>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</si>
  <si>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</si>
  <si>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</si>
  <si>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</si>
  <si>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</si>
  <si>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</si>
  <si>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</si>
  <si>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</si>
  <si>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</si>
  <si>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</si>
  <si>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</si>
  <si>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</si>
  <si>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</si>
  <si>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</si>
  <si>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</si>
  <si>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</si>
  <si>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</si>
  <si>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</si>
  <si>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</si>
  <si>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</si>
  <si>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</si>
  <si>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</si>
  <si>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</si>
  <si>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</si>
  <si>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</si>
  <si>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</si>
  <si>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</si>
  <si>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</si>
  <si>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</si>
  <si>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</si>
  <si>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</si>
  <si>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</si>
  <si>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</si>
  <si>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</si>
  <si>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</si>
  <si>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</si>
  <si>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</si>
  <si>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</si>
  <si>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</si>
  <si>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</si>
  <si>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</si>
  <si>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</si>
  <si>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</si>
  <si>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</si>
  <si>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</si>
  <si>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</si>
  <si>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</si>
  <si>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</si>
  <si>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</si>
  <si>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</si>
  <si>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</si>
  <si>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</si>
  <si>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</si>
  <si>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</si>
  <si>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</si>
  <si>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</si>
  <si>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</si>
  <si>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</si>
  <si>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</si>
  <si>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</si>
  <si>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</si>
  <si>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</si>
  <si>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</si>
  <si>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</si>
  <si>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</si>
  <si>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</si>
  <si>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</si>
  <si>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</si>
  <si>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</si>
  <si>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</si>
  <si>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</si>
  <si>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</si>
  <si>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</si>
  <si>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</si>
  <si>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</si>
  <si>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</si>
  <si>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</si>
  <si>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</si>
  <si>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</si>
  <si>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</si>
  <si>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</si>
  <si>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</si>
  <si>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</si>
  <si>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</si>
  <si>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</si>
  <si>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</si>
  <si>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</si>
  <si>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</si>
  <si>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</si>
  <si>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</si>
  <si>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</si>
  <si>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</si>
  <si>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</si>
  <si>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</si>
  <si>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</si>
  <si>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</si>
  <si>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</si>
  <si>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</si>
  <si>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</si>
  <si>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</si>
  <si>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</si>
  <si>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</si>
  <si>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</si>
  <si>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</si>
  <si>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</si>
  <si>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</si>
  <si>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</si>
  <si>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</si>
  <si>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</si>
  <si>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</si>
  <si>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</si>
  <si>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</si>
  <si>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</si>
  <si>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</si>
  <si>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</si>
  <si>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</si>
  <si>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</si>
  <si>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</si>
  <si>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</si>
  <si>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</si>
  <si>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</si>
  <si>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</si>
  <si>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</si>
  <si>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</si>
  <si>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</si>
  <si>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</si>
  <si>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</si>
  <si>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</si>
  <si>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</si>
  <si>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</si>
  <si>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</si>
  <si>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</si>
  <si>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</si>
  <si>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</si>
  <si>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</si>
  <si>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</si>
  <si>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</si>
  <si>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</si>
  <si>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</si>
  <si>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</si>
  <si>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</si>
  <si>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</si>
  <si>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</si>
  <si>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</si>
  <si>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</si>
  <si>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</si>
  <si>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</si>
  <si>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</si>
  <si>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</si>
  <si>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</si>
  <si>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</si>
  <si>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</si>
  <si>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</si>
  <si>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</si>
  <si>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</si>
  <si>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</si>
  <si>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</si>
  <si>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</si>
  <si>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</si>
  <si>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</si>
  <si>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</si>
  <si>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</si>
  <si>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</si>
  <si>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</si>
  <si>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</si>
  <si>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</si>
  <si>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</si>
  <si>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</si>
  <si>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</si>
  <si>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</si>
  <si>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</si>
  <si>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</si>
  <si>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</si>
  <si>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</si>
  <si>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</si>
  <si>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</si>
  <si>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</si>
  <si>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</si>
  <si>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</si>
  <si>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</si>
  <si>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</si>
  <si>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</si>
  <si>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</si>
  <si>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</si>
  <si>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</si>
  <si>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</si>
  <si>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</si>
  <si>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</si>
  <si>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</si>
  <si>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</si>
  <si>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</si>
  <si>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</si>
  <si>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</si>
  <si>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</si>
  <si>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</si>
  <si>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</si>
  <si>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</si>
  <si>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</si>
  <si>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</si>
  <si>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</si>
  <si>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</si>
  <si>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</si>
  <si>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</si>
  <si>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</si>
  <si>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</si>
  <si>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</si>
  <si>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</si>
  <si>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</si>
  <si>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</si>
  <si>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</si>
  <si>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</si>
  <si>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</si>
  <si>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</si>
  <si>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</si>
  <si>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</si>
  <si>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</si>
  <si>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</si>
  <si>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</si>
  <si>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</si>
  <si>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</si>
  <si>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</si>
  <si>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</si>
  <si>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</si>
  <si>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</si>
  <si>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</si>
  <si>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</si>
  <si>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</si>
  <si>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</si>
  <si>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</si>
  <si>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</si>
  <si>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</si>
  <si>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</si>
  <si>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</si>
  <si>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</si>
  <si>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</si>
  <si>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</si>
  <si>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</si>
  <si>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</si>
  <si>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</si>
  <si>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</si>
  <si>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</si>
  <si>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</si>
  <si>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</si>
  <si>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</si>
  <si>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</si>
  <si>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</si>
  <si>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</si>
  <si>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</si>
  <si>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</si>
  <si>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</si>
  <si>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</si>
  <si>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</si>
  <si>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</si>
  <si>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</si>
  <si>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</si>
  <si>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</si>
  <si>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</si>
  <si>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</si>
  <si>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</si>
  <si>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</si>
  <si>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</si>
  <si>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</si>
  <si>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</si>
  <si>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</si>
  <si>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</si>
  <si>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</si>
  <si>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</si>
  <si>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</si>
  <si>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</si>
  <si>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</si>
  <si>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</si>
  <si>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</si>
  <si>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</si>
  <si>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</si>
  <si>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</si>
  <si>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</si>
  <si>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</si>
  <si>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</si>
  <si>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</si>
  <si>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</si>
  <si>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</si>
  <si>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</si>
  <si>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</si>
  <si>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</si>
  <si>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</si>
  <si>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</si>
  <si>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</si>
  <si>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</si>
  <si>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</si>
  <si>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</si>
  <si>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</si>
  <si>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</si>
  <si>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</si>
  <si>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</si>
  <si>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</si>
  <si>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</si>
  <si>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</si>
  <si>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</si>
  <si>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</si>
  <si>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</si>
  <si>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</si>
  <si>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</si>
  <si>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</si>
  <si>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</si>
  <si>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</si>
  <si>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</si>
  <si>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</si>
  <si>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</si>
  <si>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</si>
  <si>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</si>
  <si>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</si>
  <si>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</si>
  <si>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</si>
  <si>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</si>
  <si>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</si>
  <si>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</si>
  <si>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</si>
  <si>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</si>
  <si>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</si>
  <si>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</si>
  <si>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</si>
  <si>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</si>
  <si>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</si>
  <si>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</si>
  <si>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</si>
  <si>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</si>
  <si>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</si>
  <si>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</si>
  <si>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</si>
  <si>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</si>
  <si>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</si>
  <si>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</si>
  <si>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</si>
  <si>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</si>
  <si>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</si>
  <si>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</si>
  <si>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</si>
  <si>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</si>
  <si>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</si>
  <si>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</si>
  <si>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</si>
  <si>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</si>
  <si>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</si>
  <si>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</si>
  <si>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</si>
  <si>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</si>
  <si>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</si>
  <si>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</si>
  <si>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</si>
  <si>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</si>
  <si>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</si>
  <si>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</si>
  <si>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</si>
  <si>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</si>
  <si>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</si>
  <si>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</si>
  <si>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</si>
  <si>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</si>
  <si>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</si>
  <si>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</si>
  <si>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</si>
  <si>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</si>
  <si>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</si>
  <si>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</si>
  <si>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</si>
  <si>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</si>
  <si>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</si>
  <si>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</si>
  <si>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</si>
  <si>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</si>
  <si>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</si>
  <si>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</si>
  <si>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</si>
  <si>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</si>
  <si>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</si>
  <si>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</si>
  <si>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</si>
  <si>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</si>
  <si>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</si>
  <si>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</si>
  <si>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</si>
  <si>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</si>
  <si>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</si>
  <si>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</si>
  <si>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</si>
  <si>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</si>
  <si>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</si>
  <si>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</si>
  <si>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</si>
  <si>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</si>
  <si>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</si>
  <si>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</si>
  <si>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</si>
  <si>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</si>
  <si>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</si>
  <si>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</si>
  <si>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</si>
  <si>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</si>
  <si>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</si>
  <si>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</si>
  <si>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</si>
  <si>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</si>
  <si>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</si>
  <si>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</si>
  <si>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</si>
  <si>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</si>
  <si>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</si>
  <si>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</si>
  <si>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</si>
  <si>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</si>
  <si>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</si>
  <si>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</si>
  <si>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</si>
  <si>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</si>
  <si>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</si>
  <si>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</si>
  <si>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</si>
  <si>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</si>
  <si>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</si>
  <si>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</si>
  <si>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</si>
  <si>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</si>
  <si>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</si>
  <si>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</si>
  <si>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</si>
  <si>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</si>
  <si>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</si>
  <si>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</si>
  <si>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</si>
  <si>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</si>
  <si>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</si>
  <si>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</si>
  <si>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</si>
  <si>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</si>
  <si>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</si>
  <si>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</si>
  <si>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</si>
  <si>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</si>
  <si>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</si>
  <si>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</si>
  <si>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</si>
  <si>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</si>
  <si>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</si>
  <si>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</si>
  <si>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</si>
  <si>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</si>
  <si>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</si>
  <si>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</si>
  <si>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</si>
  <si>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</si>
  <si>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</si>
  <si>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</si>
  <si>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</si>
  <si>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</si>
  <si>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</si>
  <si>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</si>
  <si>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</si>
  <si>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</si>
  <si>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</si>
  <si>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</si>
  <si>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</si>
  <si>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</si>
  <si>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</si>
  <si>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</si>
  <si>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</si>
  <si>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</si>
  <si>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</si>
  <si>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</si>
  <si>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</si>
  <si>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</si>
  <si>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</si>
  <si>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</si>
  <si>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</si>
  <si>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</si>
  <si>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</si>
  <si>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</si>
  <si>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</si>
  <si>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</si>
  <si>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</si>
  <si>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</si>
  <si>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</si>
  <si>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</si>
  <si>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</si>
  <si>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</si>
  <si>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</si>
  <si>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</si>
  <si>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</si>
  <si>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</si>
  <si>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</si>
  <si>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</si>
  <si>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</si>
  <si>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</si>
  <si>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</si>
  <si>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</si>
  <si>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</si>
  <si>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</si>
  <si>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</si>
  <si>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</si>
  <si>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</si>
  <si>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</si>
  <si>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</si>
  <si>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</si>
  <si>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</si>
  <si>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</si>
  <si>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</si>
  <si>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</si>
  <si>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</si>
  <si>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</si>
  <si>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</si>
  <si>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</si>
  <si>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</si>
  <si>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</si>
  <si>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</si>
  <si>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</si>
  <si>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</si>
  <si>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</si>
  <si>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</si>
  <si>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</si>
  <si>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</si>
  <si>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</si>
  <si>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</si>
  <si>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</si>
  <si>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</si>
  <si>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</si>
  <si>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</si>
  <si>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</si>
  <si>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</si>
  <si>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</si>
  <si>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</si>
  <si>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</si>
  <si>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</si>
  <si>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</si>
  <si>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</si>
  <si>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</si>
  <si>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</si>
  <si>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</si>
  <si>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</si>
  <si>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</si>
  <si>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</si>
  <si>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</si>
  <si>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</si>
  <si>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</si>
  <si>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</si>
  <si>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</si>
  <si>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</si>
  <si>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</si>
  <si>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</si>
  <si>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</si>
  <si>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</si>
  <si>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</si>
  <si>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</si>
  <si>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</si>
  <si>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</si>
  <si>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</si>
  <si>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</si>
  <si>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</si>
  <si>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</si>
  <si>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</si>
  <si>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</si>
  <si>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</si>
  <si>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</si>
  <si>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</si>
  <si>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</si>
  <si>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</si>
  <si>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</si>
  <si>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</si>
  <si>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</si>
  <si>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</si>
  <si>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</si>
  <si>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</si>
  <si>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</si>
  <si>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</si>
  <si>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</si>
  <si>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</si>
  <si>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</si>
  <si>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</si>
  <si>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</si>
  <si>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</si>
  <si>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</si>
  <si>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</si>
  <si>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</si>
  <si>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</si>
  <si>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</si>
  <si>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</si>
  <si>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</si>
  <si>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</si>
  <si>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</si>
  <si>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</si>
  <si>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</si>
  <si>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</si>
  <si>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</si>
  <si>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</si>
  <si>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</si>
  <si>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</si>
  <si>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</si>
  <si>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</si>
  <si>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</si>
  <si>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</si>
  <si>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</si>
  <si>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</si>
  <si>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</si>
  <si>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</si>
  <si>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</si>
  <si>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</si>
  <si>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</si>
  <si>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</si>
  <si>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</si>
  <si>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</si>
  <si>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</si>
  <si>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</si>
  <si>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</si>
  <si>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</si>
  <si>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</si>
  <si>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</si>
  <si>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</si>
  <si>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</si>
  <si>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</si>
  <si>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</si>
  <si>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</si>
  <si>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</si>
  <si>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</si>
  <si>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</si>
  <si>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</si>
  <si>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</si>
  <si>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</si>
  <si>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</si>
  <si>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</si>
  <si>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</si>
  <si>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</si>
  <si>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</si>
  <si>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</si>
  <si>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</si>
  <si>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</si>
  <si>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</si>
  <si>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</si>
  <si>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</si>
  <si>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</si>
  <si>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</si>
  <si>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</si>
  <si>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</si>
  <si>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</si>
  <si>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</si>
  <si>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</si>
  <si>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</si>
  <si>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</si>
  <si>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</si>
  <si>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</si>
  <si>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</si>
  <si>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</si>
  <si>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</si>
  <si>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</si>
  <si>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</si>
  <si>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</si>
  <si>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</si>
  <si>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</si>
  <si>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</si>
  <si>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</si>
  <si>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</si>
  <si>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</si>
  <si>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</si>
  <si>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</si>
  <si>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</si>
  <si>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</si>
  <si>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</si>
  <si>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</si>
  <si>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</si>
  <si>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</si>
  <si>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</si>
  <si>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</si>
  <si>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</si>
  <si>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</si>
  <si>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</si>
  <si>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</si>
  <si>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</si>
  <si>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</si>
  <si>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</si>
  <si>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</si>
  <si>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</si>
  <si>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</si>
  <si>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</si>
  <si>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</si>
  <si>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</si>
  <si>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</si>
  <si>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</si>
  <si>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</si>
  <si>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</si>
  <si>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</si>
  <si>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</si>
  <si>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</si>
  <si>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</si>
  <si>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</si>
  <si>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</si>
  <si>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</si>
  <si>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</si>
  <si>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</si>
  <si>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</si>
  <si>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</si>
  <si>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</si>
  <si>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</si>
  <si>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</si>
  <si>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</si>
  <si>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</si>
  <si>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</si>
  <si>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</si>
  <si>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</si>
  <si>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</si>
  <si>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</si>
  <si>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</si>
  <si>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</si>
  <si>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</si>
  <si>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</si>
  <si>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</si>
  <si>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</si>
  <si>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</si>
  <si>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</si>
  <si>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</si>
  <si>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</si>
  <si>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</si>
  <si>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</si>
  <si>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</si>
  <si>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</si>
  <si>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</si>
  <si>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</si>
  <si>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</si>
  <si>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</si>
  <si>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</si>
  <si>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</si>
  <si>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</si>
  <si>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</si>
  <si>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</si>
  <si>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</si>
  <si>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</si>
  <si>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</si>
  <si>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</si>
  <si>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</si>
  <si>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</si>
  <si>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</si>
  <si>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</si>
  <si>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</si>
  <si>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</si>
  <si>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</si>
  <si>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</si>
  <si>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</si>
  <si>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</si>
  <si>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</si>
  <si>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</si>
  <si>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</si>
  <si>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</si>
  <si>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</si>
  <si>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</si>
  <si>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</si>
  <si>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</si>
  <si>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</si>
  <si>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</si>
  <si>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</si>
  <si>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</si>
  <si>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</si>
  <si>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</si>
  <si>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</si>
  <si>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</si>
  <si>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</si>
  <si>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</si>
  <si>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</si>
  <si>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</si>
  <si>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</si>
  <si>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</si>
  <si>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</si>
  <si>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</si>
  <si>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</si>
  <si>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</si>
  <si>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</si>
  <si>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</si>
  <si>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</si>
  <si>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</si>
  <si>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</si>
  <si>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</si>
  <si>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</si>
  <si>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</si>
  <si>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</si>
  <si>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</si>
  <si>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</si>
  <si>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</si>
  <si>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</si>
  <si>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</si>
  <si>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</si>
  <si>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</si>
  <si>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</si>
  <si>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</si>
  <si>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</si>
  <si>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</si>
  <si>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</si>
  <si>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</si>
  <si>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</si>
  <si>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</si>
  <si>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</si>
  <si>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</si>
  <si>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</si>
  <si>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</si>
  <si>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</si>
  <si>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</si>
  <si>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</si>
  <si>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</si>
  <si>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</si>
  <si>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</si>
  <si>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</si>
  <si>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</si>
  <si>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</si>
  <si>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</si>
  <si>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</si>
  <si>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</si>
  <si>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</si>
  <si>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</si>
  <si>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</si>
  <si>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</si>
  <si>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</si>
  <si>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</si>
  <si>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</si>
  <si>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</si>
  <si>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</si>
  <si>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</si>
  <si>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</si>
  <si>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</si>
  <si>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</si>
  <si>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</si>
  <si>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</si>
  <si>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</si>
  <si>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</si>
  <si>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</si>
  <si>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</si>
  <si>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</si>
  <si>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</si>
  <si>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</si>
  <si>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</si>
  <si>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</si>
  <si>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</si>
  <si>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</si>
  <si>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</si>
  <si>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</si>
  <si>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</si>
  <si>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</si>
  <si>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</si>
  <si>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</si>
  <si>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</si>
  <si>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</si>
  <si>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</si>
  <si>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</si>
  <si>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</si>
  <si>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</si>
  <si>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</si>
  <si>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</si>
  <si>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</si>
  <si>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</si>
  <si>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</si>
  <si>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</si>
  <si>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</si>
  <si>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</si>
  <si>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</si>
  <si>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</si>
  <si>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</si>
  <si>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</si>
  <si>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</si>
  <si>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</si>
  <si>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</si>
  <si>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</si>
  <si>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</si>
  <si>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</si>
  <si>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</si>
  <si>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</si>
  <si>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</si>
  <si>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</si>
  <si>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</si>
  <si>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</si>
  <si>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</si>
  <si>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</si>
  <si>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</si>
  <si>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</si>
  <si>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</si>
  <si>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</si>
  <si>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</si>
  <si>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</si>
  <si>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</si>
  <si>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</si>
  <si>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</si>
  <si>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</si>
  <si>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</si>
  <si>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</si>
  <si>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</si>
  <si>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</si>
  <si>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</si>
  <si>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</si>
  <si>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</si>
  <si>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</si>
  <si>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</si>
  <si>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</si>
  <si>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</si>
  <si>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</si>
  <si>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</si>
  <si>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</si>
  <si>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</si>
  <si>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</si>
  <si>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</si>
  <si>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</si>
  <si>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</si>
  <si>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</si>
  <si>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</si>
  <si>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</si>
  <si>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</si>
  <si>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</si>
  <si>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</si>
  <si>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</si>
  <si>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</si>
  <si>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</si>
  <si>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</si>
  <si>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</si>
  <si>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</si>
  <si>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</si>
  <si>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</si>
  <si>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</si>
  <si>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</si>
  <si>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</si>
  <si>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</si>
  <si>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</si>
  <si>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</si>
  <si>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</si>
  <si>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</si>
  <si>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</si>
  <si>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</si>
  <si>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</si>
  <si>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</si>
  <si>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</si>
  <si>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</si>
  <si>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</si>
  <si>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</si>
  <si>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</si>
  <si>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</si>
  <si>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</si>
  <si>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</si>
  <si>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</si>
  <si>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</si>
  <si>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</si>
  <si>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</si>
  <si>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</si>
  <si>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</si>
  <si>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</si>
  <si>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</si>
  <si>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</si>
  <si>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</si>
  <si>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</si>
  <si>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</si>
  <si>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</si>
  <si>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</si>
  <si>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</si>
  <si>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</si>
  <si>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</si>
  <si>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</si>
  <si>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</si>
  <si>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</si>
  <si>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</si>
  <si>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</si>
  <si>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</si>
  <si>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</si>
  <si>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</si>
  <si>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</si>
  <si>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</si>
  <si>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</si>
  <si>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</si>
  <si>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</si>
  <si>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</si>
  <si>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</si>
  <si>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</si>
  <si>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</si>
  <si>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</si>
  <si>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</si>
  <si>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</si>
  <si>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</si>
  <si>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</si>
  <si>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</si>
  <si>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</si>
  <si>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</si>
  <si>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</si>
  <si>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</si>
  <si>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</si>
  <si>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</si>
  <si>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</si>
  <si>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</si>
  <si>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</si>
  <si>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</si>
  <si>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</si>
  <si>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</si>
  <si>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</si>
  <si>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</si>
  <si>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</si>
  <si>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</si>
  <si>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</si>
  <si>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</si>
  <si>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</si>
  <si>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</si>
  <si>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</si>
  <si>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</si>
  <si>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</si>
  <si>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</si>
  <si>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</si>
  <si>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</si>
  <si>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</si>
  <si>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</si>
  <si>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</si>
  <si>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</si>
  <si>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</si>
  <si>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</si>
  <si>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</si>
  <si>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</si>
  <si>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</si>
  <si>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</si>
  <si>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</si>
  <si>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</si>
  <si>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</si>
  <si>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</si>
  <si>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</si>
  <si>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</si>
  <si>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</si>
  <si>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</si>
  <si>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</si>
  <si>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</si>
  <si>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</si>
  <si>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</si>
  <si>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</si>
  <si>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</si>
  <si>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</si>
  <si>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</si>
  <si>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</si>
  <si>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</si>
  <si>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</si>
  <si>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</si>
  <si>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</si>
  <si>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</si>
  <si>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</si>
  <si>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</si>
  <si>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</si>
  <si>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</si>
  <si>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</si>
  <si>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</si>
  <si>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</si>
  <si>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</si>
  <si>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</si>
  <si>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</si>
  <si>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</si>
  <si>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</si>
  <si>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</si>
  <si>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</si>
  <si>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</si>
  <si>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</si>
  <si>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</si>
  <si>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</si>
  <si>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</si>
  <si>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</si>
  <si>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</si>
  <si>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</si>
  <si>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</si>
  <si>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</si>
  <si>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</si>
  <si>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</si>
  <si>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</si>
  <si>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</si>
  <si>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</si>
  <si>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</si>
  <si>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</si>
  <si>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</si>
  <si>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</si>
  <si>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</si>
  <si>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</si>
  <si>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</si>
  <si>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</si>
  <si>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</si>
  <si>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</si>
  <si>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</si>
  <si>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</si>
  <si>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</si>
  <si>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</si>
  <si>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</si>
  <si>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</si>
  <si>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</si>
  <si>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</si>
  <si>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</si>
  <si>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</si>
  <si>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</si>
  <si>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</si>
  <si>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</si>
  <si>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</si>
  <si>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</si>
  <si>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</si>
  <si>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</si>
  <si>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</si>
  <si>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</si>
  <si>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</si>
  <si>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</si>
  <si>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</si>
  <si>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</si>
  <si>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</si>
  <si>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</si>
  <si>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</si>
  <si>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</si>
  <si>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</si>
  <si>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</si>
  <si>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</si>
  <si>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</si>
  <si>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</si>
  <si>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</si>
  <si>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</si>
  <si>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</si>
  <si>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</si>
  <si>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</si>
  <si>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</si>
  <si>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</si>
  <si>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</si>
  <si>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</si>
  <si>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</si>
  <si>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</si>
  <si>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</si>
  <si>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</si>
  <si>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</si>
  <si>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</si>
  <si>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</si>
  <si>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</si>
  <si>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</si>
  <si>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</si>
  <si>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</si>
  <si>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</si>
  <si>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</si>
  <si>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</si>
  <si>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</si>
  <si>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</si>
  <si>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</si>
  <si>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</si>
  <si>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</si>
  <si>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</si>
  <si>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</si>
  <si>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</si>
  <si>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</si>
  <si>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</si>
  <si>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</si>
  <si>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</si>
  <si>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</si>
  <si>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</si>
  <si>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</si>
  <si>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</si>
  <si>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</si>
  <si>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</si>
  <si>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</si>
  <si>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</si>
  <si>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</si>
  <si>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</si>
  <si>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</si>
  <si>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</si>
  <si>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</si>
  <si>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</si>
  <si>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</si>
  <si>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</si>
  <si>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</si>
  <si>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</si>
  <si>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</si>
  <si>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</si>
  <si>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</si>
  <si>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</si>
  <si>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</si>
  <si>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</si>
  <si>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</si>
  <si>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</si>
  <si>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</si>
  <si>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</si>
  <si>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</si>
  <si>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</si>
  <si>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</si>
  <si>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</si>
  <si>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</si>
  <si>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</si>
  <si>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</si>
  <si>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</si>
  <si>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</si>
  <si>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</si>
  <si>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</si>
  <si>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</si>
  <si>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</si>
  <si>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</si>
  <si>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</si>
  <si>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</si>
  <si>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</si>
  <si>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</si>
  <si>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</si>
  <si>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</si>
  <si>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</si>
  <si>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</si>
  <si>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</si>
  <si>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</si>
  <si>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</si>
  <si>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</si>
  <si>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</si>
  <si>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</si>
  <si>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</si>
  <si>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</si>
  <si>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</si>
  <si>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</si>
  <si>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</si>
  <si>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</si>
  <si>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</si>
  <si>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</si>
  <si>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</si>
  <si>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</si>
  <si>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</si>
  <si>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</si>
  <si>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</si>
  <si>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</si>
  <si>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</si>
  <si>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</si>
  <si>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</si>
  <si>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</si>
  <si>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</si>
  <si>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</si>
  <si>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</si>
  <si>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</si>
  <si>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</si>
  <si>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</si>
  <si>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</si>
  <si>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</si>
  <si>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</si>
  <si>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</si>
  <si>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</si>
  <si>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</si>
  <si>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</si>
  <si>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</si>
  <si>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</si>
  <si>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</si>
  <si>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</si>
  <si>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</si>
  <si>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</si>
  <si>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</si>
  <si>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</si>
  <si>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</si>
  <si>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</si>
  <si>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</si>
  <si>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</si>
  <si>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</si>
  <si>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</si>
  <si>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</si>
  <si>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</si>
  <si>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</si>
  <si>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</si>
  <si>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</si>
  <si>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</si>
  <si>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</si>
  <si>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</si>
  <si>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</si>
  <si>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</si>
  <si>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</si>
  <si>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</si>
  <si>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</si>
  <si>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</si>
  <si>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</si>
  <si>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</si>
  <si>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</si>
  <si>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</si>
  <si>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</si>
  <si>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</si>
  <si>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</si>
  <si>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</si>
  <si>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</si>
  <si>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</si>
  <si>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</si>
  <si>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</si>
  <si>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</si>
  <si>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</si>
  <si>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</si>
  <si>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</si>
  <si>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</si>
  <si>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</si>
  <si>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</si>
  <si>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</si>
  <si>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</si>
  <si>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</si>
  <si>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</si>
  <si>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</si>
  <si>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</si>
  <si>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</si>
  <si>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</si>
  <si>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</si>
  <si>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</si>
  <si>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</si>
  <si>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</si>
  <si>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</si>
  <si>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</si>
  <si>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</si>
  <si>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</si>
  <si>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</si>
  <si>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</si>
  <si>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</si>
  <si>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</si>
  <si>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</si>
  <si>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</si>
  <si>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</si>
  <si>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</si>
  <si>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</si>
  <si>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</si>
  <si>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</si>
  <si>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</si>
  <si>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</si>
  <si>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</si>
  <si>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</si>
  <si>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</si>
  <si>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</si>
  <si>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</si>
  <si>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</si>
  <si>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</si>
  <si>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</si>
  <si>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</si>
  <si>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</si>
  <si>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</si>
  <si>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</si>
  <si>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</si>
  <si>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</si>
  <si>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</si>
  <si>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</si>
  <si>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</si>
  <si>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</si>
  <si>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</si>
  <si>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</si>
  <si>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</si>
  <si>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</si>
  <si>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</si>
  <si>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</si>
  <si>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</si>
  <si>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</si>
  <si>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</si>
  <si>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</si>
  <si>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</si>
  <si>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</si>
  <si>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</si>
  <si>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</si>
  <si>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</si>
  <si>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</si>
  <si>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</si>
  <si>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Dark Memory</t>
  </si>
  <si>
    <t>Spell.</t>
  </si>
  <si>
    <t>Place 1 doom on the current agenda. This effect may cause the current agenda to advance._x000D_
Forced - If Dark Memory is in your hand at the end of your turn, reveal it and take 2 horror.</t>
  </si>
  <si>
    <t>Wendy's Amulet</t>
  </si>
  <si>
    <t>Abandoned and Alone</t>
  </si>
  <si>
    <t>Madness.</t>
  </si>
  <si>
    <t>Revelation - Take 2 direct horror and remove all cards in your discard pile from the game.</t>
  </si>
  <si>
    <t>.45 Automatic</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</si>
  <si>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</si>
  <si>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</si>
  <si>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</si>
  <si>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</si>
  <si>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</si>
  <si>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</si>
  <si>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</si>
  <si>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</si>
  <si>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</si>
  <si>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</si>
  <si>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</si>
  <si>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</si>
  <si>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</si>
  <si>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</si>
  <si>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</si>
  <si>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</si>
  <si>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</si>
  <si>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</si>
  <si>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</si>
  <si>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</si>
  <si>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</si>
  <si>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</si>
  <si>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</si>
  <si>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</si>
  <si>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</si>
  <si>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</si>
  <si>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</si>
  <si>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</si>
  <si>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</si>
  <si>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</si>
  <si>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</si>
  <si>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</si>
  <si>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</si>
  <si>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Magnifying Glass</t>
  </si>
  <si>
    <t>Item. Tool.</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</si>
  <si>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</si>
  <si>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</si>
  <si>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</si>
  <si>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</si>
  <si>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</si>
  <si>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</si>
  <si>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</si>
  <si>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</si>
  <si>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</si>
  <si>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</si>
  <si>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</si>
  <si>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</si>
  <si>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</si>
  <si>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</si>
  <si>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Working a Hunch</t>
  </si>
  <si>
    <t>Barricade</t>
  </si>
  <si>
    <t>Insight. Tactic.</t>
  </si>
  <si>
    <t>Deduction</t>
  </si>
  <si>
    <t>If this skill test is successful while investigating a location, discover 1 additional clue at that location.</t>
  </si>
  <si>
    <t>Encyclopedia</t>
  </si>
  <si>
    <t>η Exhaust Encyclopedia: Choose an investigator at your location. That investigator gets +2 to a skill of your choice until the end of the phase.</t>
  </si>
  <si>
    <t>Switchblade</t>
  </si>
  <si>
    <t>Item. Weapon. Melee. Illicit.</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</si>
  <si>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</si>
  <si>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</si>
  <si>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</si>
  <si>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</si>
  <si>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</si>
  <si>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</si>
  <si>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</si>
  <si>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</si>
  <si>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</si>
  <si>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</si>
  <si>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</si>
  <si>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</si>
  <si>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</si>
  <si>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</si>
  <si>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</si>
  <si>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</si>
  <si>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</si>
  <si>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</si>
  <si>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</si>
  <si>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</si>
  <si>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</si>
  <si>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</si>
  <si>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</si>
  <si>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</si>
  <si>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</si>
  <si>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Scrying</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</si>
  <si>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</si>
  <si>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</si>
  <si>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</si>
  <si>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</si>
  <si>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</si>
  <si>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</si>
  <si>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</si>
  <si>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</si>
  <si>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</si>
  <si>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</si>
  <si>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</si>
  <si>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</si>
  <si>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</si>
  <si>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</si>
  <si>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</si>
  <si>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</si>
  <si>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</si>
  <si>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</si>
  <si>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</si>
  <si>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</si>
  <si>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</si>
  <si>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</si>
  <si>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</si>
  <si>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</si>
  <si>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</si>
  <si>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Lucky!</t>
  </si>
  <si>
    <t>Survival Instinct</t>
  </si>
  <si>
    <t>Innate.</t>
  </si>
  <si>
    <t>Close Call</t>
  </si>
  <si>
    <t>Will to Survive</t>
  </si>
  <si>
    <t>Knife</t>
  </si>
  <si>
    <t>η: Fight. You get +1 ή for this attack._x000D_
η Discard Knife: Fight. You get +2 ή for this attack. This attack deals +1 damage.</t>
  </si>
  <si>
    <t>Flashlight</t>
  </si>
  <si>
    <t>Emergency Cache</t>
  </si>
  <si>
    <t>Gain 3 resources.</t>
  </si>
  <si>
    <t>Guts</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</si>
  <si>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</si>
  <si>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</si>
  <si>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</si>
  <si>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</si>
  <si>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</si>
  <si>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</si>
  <si>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</si>
  <si>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</si>
  <si>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</si>
  <si>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</si>
  <si>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</si>
  <si>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</si>
  <si>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</si>
  <si>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</si>
  <si>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</si>
  <si>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</si>
  <si>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</si>
  <si>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</si>
  <si>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</si>
  <si>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</si>
  <si>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</si>
  <si>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</si>
  <si>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</si>
  <si>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</si>
  <si>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</si>
  <si>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</si>
  <si>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</si>
  <si>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</si>
  <si>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</si>
  <si>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</si>
  <si>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</si>
  <si>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</si>
  <si>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</si>
  <si>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</si>
  <si>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</si>
  <si>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</si>
  <si>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</si>
  <si>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</si>
  <si>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</si>
  <si>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</si>
  <si>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</si>
  <si>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</si>
  <si>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</si>
  <si>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</si>
  <si>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</si>
  <si>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</si>
  <si>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</si>
  <si>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</si>
  <si>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</si>
  <si>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</si>
  <si>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</si>
  <si>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</si>
  <si>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</si>
  <si>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</si>
  <si>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</si>
  <si>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</si>
  <si>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</si>
  <si>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</si>
  <si>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</si>
  <si>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</si>
  <si>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</si>
  <si>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</si>
  <si>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</si>
  <si>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</si>
  <si>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</si>
  <si>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</si>
  <si>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</si>
  <si>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</si>
  <si>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</si>
  <si>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</si>
  <si>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</si>
  <si>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</si>
  <si>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</si>
  <si>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</si>
  <si>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</si>
  <si>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</si>
  <si>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</si>
  <si>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</si>
  <si>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</si>
  <si>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</si>
  <si>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</si>
  <si>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</si>
  <si>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</si>
  <si>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</si>
  <si>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</si>
  <si>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</si>
  <si>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</si>
  <si>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</si>
  <si>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</si>
  <si>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</si>
  <si>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</si>
  <si>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</si>
  <si>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</si>
  <si>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</si>
  <si>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</si>
  <si>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</si>
  <si>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</si>
  <si>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</si>
  <si>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</si>
  <si>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</si>
  <si>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</si>
  <si>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</si>
  <si>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</si>
  <si>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</si>
  <si>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</si>
  <si>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</si>
  <si>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</si>
  <si>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</si>
  <si>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</si>
  <si>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</si>
  <si>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</si>
  <si>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</si>
  <si>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</si>
  <si>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</si>
  <si>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</si>
  <si>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</si>
  <si>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</si>
  <si>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</si>
  <si>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</si>
  <si>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</si>
  <si>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</si>
  <si>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</si>
  <si>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</si>
  <si>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</si>
  <si>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</si>
  <si>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</si>
  <si>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</si>
  <si>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</si>
  <si>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</si>
  <si>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</si>
  <si>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</si>
  <si>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</si>
  <si>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</si>
  <si>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</si>
  <si>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</si>
  <si>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</si>
  <si>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</si>
  <si>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</si>
  <si>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</si>
  <si>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</si>
  <si>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</si>
  <si>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</si>
  <si>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</si>
  <si>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</si>
  <si>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</si>
  <si>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</si>
  <si>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</si>
  <si>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</si>
  <si>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</si>
  <si>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</si>
  <si>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</si>
  <si>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</si>
  <si>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</si>
  <si>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</si>
  <si>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</si>
  <si>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</si>
  <si>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</si>
  <si>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</si>
  <si>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</si>
  <si>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</si>
  <si>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</si>
  <si>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</si>
  <si>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</si>
  <si>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</si>
  <si>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</si>
  <si>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</si>
  <si>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</si>
  <si>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</si>
  <si>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</si>
  <si>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</si>
  <si>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</si>
  <si>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</si>
  <si>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</si>
  <si>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</si>
  <si>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</si>
  <si>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</si>
  <si>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</si>
  <si>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</si>
  <si>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</si>
  <si>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</si>
  <si>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</si>
  <si>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</si>
  <si>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</si>
  <si>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</si>
  <si>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</si>
  <si>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</si>
  <si>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</si>
  <si>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</si>
  <si>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</si>
  <si>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</si>
  <si>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</si>
  <si>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</si>
  <si>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</si>
  <si>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</si>
  <si>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</si>
  <si>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</si>
  <si>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</si>
  <si>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</si>
  <si>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</si>
  <si>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</si>
  <si>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</si>
  <si>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</si>
  <si>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</si>
  <si>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</si>
  <si>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</si>
  <si>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</si>
  <si>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</si>
  <si>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</si>
  <si>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</si>
  <si>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</si>
  <si>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</si>
  <si>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</si>
  <si>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</si>
  <si>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</si>
  <si>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</si>
  <si>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</si>
  <si>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</si>
  <si>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</si>
  <si>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</si>
  <si>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</si>
  <si>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</si>
  <si>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</si>
  <si>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</si>
  <si>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</si>
  <si>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</si>
  <si>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</si>
  <si>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</si>
  <si>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</si>
  <si>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</si>
  <si>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</si>
  <si>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</si>
  <si>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</si>
  <si>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</si>
  <si>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Sure Gamble</t>
  </si>
  <si>
    <t>Fortune. Insight.</t>
  </si>
  <si>
    <t>Forbidden Knowledge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</si>
  <si>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</si>
  <si>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</si>
  <si>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</si>
  <si>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</si>
  <si>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</si>
  <si>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</si>
  <si>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</si>
  <si>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</si>
  <si>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</si>
  <si>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</si>
  <si>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</si>
  <si>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</si>
  <si>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</si>
  <si>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</si>
  <si>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</si>
  <si>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</si>
  <si>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</si>
  <si>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</si>
  <si>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</si>
  <si>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</si>
  <si>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</si>
  <si>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</si>
  <si>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</si>
  <si>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</si>
  <si>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</si>
  <si>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</si>
  <si>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</si>
  <si>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</si>
  <si>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</si>
  <si>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</si>
  <si>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</si>
  <si>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</si>
  <si>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</si>
  <si>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</si>
  <si>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</si>
  <si>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</si>
  <si>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</si>
  <si>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</si>
  <si>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</si>
  <si>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</si>
  <si>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</si>
  <si>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</si>
  <si>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</si>
  <si>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</si>
  <si>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</si>
  <si>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</si>
  <si>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</si>
  <si>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</si>
  <si>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</si>
  <si>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</si>
  <si>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</si>
  <si>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</si>
  <si>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</si>
  <si>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</si>
  <si>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</si>
  <si>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</si>
  <si>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</si>
  <si>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</si>
  <si>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</si>
  <si>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</si>
  <si>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</si>
  <si>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</si>
  <si>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</si>
  <si>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</si>
  <si>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</si>
  <si>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</si>
  <si>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</si>
  <si>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</si>
  <si>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</si>
  <si>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</si>
  <si>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</si>
  <si>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</si>
  <si>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</si>
  <si>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</si>
  <si>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</si>
  <si>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</si>
  <si>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</si>
  <si>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</si>
  <si>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</si>
  <si>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</si>
  <si>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</si>
  <si>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</si>
  <si>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</si>
  <si>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</si>
  <si>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</si>
  <si>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</si>
  <si>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</si>
  <si>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</si>
  <si>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</si>
  <si>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</si>
  <si>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</si>
  <si>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</si>
  <si>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</si>
  <si>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</si>
  <si>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</si>
  <si>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</si>
  <si>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</si>
  <si>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</si>
  <si>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</si>
  <si>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</si>
  <si>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</si>
  <si>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</si>
  <si>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</si>
  <si>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</si>
  <si>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</si>
  <si>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</si>
  <si>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</si>
  <si>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</si>
  <si>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</si>
  <si>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</si>
  <si>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</si>
  <si>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</si>
  <si>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</si>
  <si>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</si>
  <si>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</si>
  <si>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</si>
  <si>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</si>
  <si>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</si>
  <si>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</si>
  <si>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</si>
  <si>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</si>
  <si>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</si>
  <si>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</si>
  <si>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</si>
  <si>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</si>
  <si>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</si>
  <si>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</si>
  <si>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</si>
  <si>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</si>
  <si>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</si>
  <si>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</si>
  <si>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</si>
  <si>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</si>
  <si>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</si>
  <si>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</si>
  <si>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</si>
  <si>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</si>
  <si>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</si>
  <si>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</si>
  <si>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</si>
  <si>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</si>
  <si>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</si>
  <si>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</si>
  <si>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</si>
  <si>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</si>
  <si>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</si>
  <si>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</si>
  <si>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</si>
  <si>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</si>
  <si>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</si>
  <si>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</si>
  <si>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</si>
  <si>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</si>
  <si>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</si>
  <si>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</si>
  <si>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</si>
  <si>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</si>
  <si>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</si>
  <si>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</si>
  <si>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</si>
  <si>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</si>
  <si>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</si>
  <si>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</si>
  <si>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</si>
  <si>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</si>
  <si>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</si>
  <si>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</si>
  <si>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</si>
  <si>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</si>
  <si>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</si>
  <si>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</si>
  <si>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</si>
  <si>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</si>
  <si>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</si>
  <si>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</si>
  <si>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</si>
  <si>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</si>
  <si>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</si>
  <si>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</si>
  <si>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</si>
  <si>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</si>
  <si>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</si>
  <si>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</si>
  <si>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</si>
  <si>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</si>
  <si>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</si>
  <si>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</si>
  <si>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</si>
  <si>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</si>
  <si>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</si>
  <si>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</si>
  <si>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</si>
  <si>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</si>
  <si>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</si>
  <si>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</si>
  <si>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</si>
  <si>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</si>
  <si>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</si>
  <si>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</si>
  <si>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</si>
  <si>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</si>
  <si>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</si>
  <si>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</si>
  <si>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</si>
  <si>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</si>
  <si>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</si>
  <si>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</si>
  <si>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</si>
  <si>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</si>
  <si>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</si>
  <si>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</si>
  <si>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</si>
  <si>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</si>
  <si>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</si>
  <si>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</si>
  <si>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</si>
  <si>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</si>
  <si>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</si>
  <si>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</si>
  <si>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</si>
  <si>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</si>
  <si>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</si>
  <si>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</si>
  <si>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</si>
  <si>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</si>
  <si>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</si>
  <si>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</si>
  <si>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</si>
  <si>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</si>
  <si>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</si>
  <si>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</si>
  <si>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</si>
  <si>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</si>
  <si>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</si>
  <si>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</si>
  <si>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</si>
  <si>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</si>
  <si>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</si>
  <si>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</si>
  <si>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</si>
  <si>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</si>
  <si>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</si>
  <si>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</si>
  <si>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</si>
  <si>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</si>
  <si>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</si>
  <si>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</si>
  <si>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</si>
  <si>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</si>
  <si>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</si>
  <si>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</si>
  <si>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</si>
  <si>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</si>
  <si>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</si>
  <si>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</si>
  <si>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</si>
  <si>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</si>
  <si>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</si>
  <si>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</si>
  <si>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</si>
  <si>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</si>
  <si>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</si>
  <si>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</si>
  <si>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</si>
  <si>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</si>
  <si>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</si>
  <si>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</si>
  <si>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</si>
  <si>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</si>
  <si>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</si>
  <si>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</si>
  <si>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</si>
  <si>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</si>
  <si>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</si>
  <si>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</si>
  <si>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</si>
  <si>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</si>
  <si>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</si>
  <si>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</si>
  <si>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</si>
  <si>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</si>
  <si>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</si>
  <si>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</si>
  <si>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</si>
  <si>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</si>
  <si>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</si>
  <si>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</si>
  <si>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</si>
  <si>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</si>
  <si>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</si>
  <si>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</si>
  <si>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</si>
  <si>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</si>
  <si>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</si>
  <si>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</si>
  <si>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</si>
  <si>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</si>
  <si>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</si>
  <si>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</si>
  <si>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</si>
  <si>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</si>
  <si>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</si>
  <si>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</si>
  <si>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The Rougarou Feeds</t>
  </si>
  <si>
    <t>The Tenth Night</t>
  </si>
  <si>
    <t>The Curse Spreads</t>
  </si>
  <si>
    <t>Taken by the Curse</t>
  </si>
  <si>
    <t>Finding Lady Esprit</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</si>
  <si>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</si>
  <si>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</si>
  <si>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Hunting the Rougarou</t>
  </si>
  <si>
    <t>Cursed Shores</t>
  </si>
  <si>
    <t>New Orleans. Bayou.</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</si>
  <si>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</si>
  <si>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</si>
  <si>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</si>
  <si>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</si>
  <si>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</si>
  <si>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</si>
  <si>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</si>
  <si>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Riverside</t>
  </si>
  <si>
    <t>Audubon Park</t>
  </si>
  <si>
    <t>Forced – When you evade an enemy at Audubon Park: Discard a random card from your hand.</t>
  </si>
  <si>
    <t>Faubourg Marigny</t>
  </si>
  <si>
    <t>Forgotten Marsh</t>
  </si>
  <si>
    <t>Wilderness. Bayou.</t>
  </si>
  <si>
    <t>Forced – When you leave Forgotten Marsh: Lose 2 resources.</t>
  </si>
  <si>
    <t>Wilderness</t>
  </si>
  <si>
    <t>Wilderness.</t>
  </si>
  <si>
    <t>Trapper's Cabin</t>
  </si>
  <si>
    <t>Twisted Underbrush</t>
  </si>
  <si>
    <t>η : Gain 2 resources and take 1 horror.</t>
  </si>
  <si>
    <t>Foul Swamp</t>
  </si>
  <si>
    <t xml:space="preserve"> Unhallowed. Bayou.</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</si>
  <si>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</si>
  <si>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</si>
  <si>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</si>
  <si>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</si>
  <si>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</si>
  <si>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</si>
  <si>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</si>
  <si>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</si>
  <si>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</si>
  <si>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</si>
  <si>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</si>
  <si>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</si>
  <si>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</si>
  <si>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</si>
  <si>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</si>
  <si>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</si>
  <si>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</si>
  <si>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</si>
  <si>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</si>
  <si>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Monstrous Transformation</t>
  </si>
  <si>
    <t>Fast.</t>
  </si>
  <si>
    <t>Slime-Covered Dhole</t>
  </si>
  <si>
    <t xml:space="preserve"> Monster. Dhole. </t>
  </si>
  <si>
    <t>Marsh Gug</t>
  </si>
  <si>
    <t xml:space="preserve"> Monster. Gug. </t>
  </si>
  <si>
    <t>Dark Young Host</t>
  </si>
  <si>
    <t xml:space="preserve"> Monster. Dark Young. </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</si>
  <si>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</si>
  <si>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</si>
  <si>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</si>
  <si>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</si>
  <si>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</si>
  <si>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</si>
  <si>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</si>
  <si>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</si>
  <si>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</si>
  <si>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</si>
  <si>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</si>
  <si>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</si>
  <si>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</si>
  <si>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</si>
  <si>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Prey – Lowest ί .</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</si>
  <si>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</si>
  <si>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</si>
  <si>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 xml:space="preserve">1π </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</si>
  <si>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</si>
  <si>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</si>
  <si>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</si>
  <si>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</si>
  <si>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</si>
  <si>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</si>
  <si>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</si>
  <si>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</si>
  <si>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</si>
  <si>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</si>
  <si>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</si>
  <si>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</si>
  <si>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</si>
  <si>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</si>
  <si>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</si>
  <si>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</si>
  <si>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</si>
  <si>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</si>
  <si>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</si>
  <si>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</si>
  <si>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</si>
  <si>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</si>
  <si>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</si>
  <si>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</si>
  <si>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</si>
  <si>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</si>
  <si>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</si>
  <si>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</si>
  <si>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</si>
  <si>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</si>
  <si>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</si>
  <si>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</si>
  <si>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</si>
  <si>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</si>
  <si>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</si>
  <si>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</si>
  <si>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</si>
  <si>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</si>
  <si>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</si>
  <si>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</si>
  <si>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</si>
  <si>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</si>
  <si>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</si>
  <si>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</si>
  <si>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</si>
  <si>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Baron Samedi</t>
  </si>
  <si>
    <t>Lord of the Cemetery</t>
  </si>
  <si>
    <t>weakness</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</si>
  <si>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</si>
  <si>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</si>
  <si>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</si>
  <si>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</si>
  <si>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</si>
  <si>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</si>
  <si>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</si>
  <si>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</si>
  <si>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</si>
  <si>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</si>
  <si>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</si>
  <si>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</si>
  <si>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</si>
  <si>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</si>
  <si>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</si>
  <si>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</si>
  <si>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</si>
  <si>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</si>
  <si>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</si>
  <si>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</si>
  <si>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</si>
  <si>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</si>
  <si>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</si>
  <si>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</si>
  <si>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</si>
  <si>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</si>
  <si>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</si>
  <si>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</si>
  <si>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</si>
  <si>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</si>
  <si>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</si>
  <si>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</si>
  <si>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</si>
  <si>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</si>
  <si>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Masked Carnevale-Goer</t>
  </si>
  <si>
    <t>Carnevale.</t>
  </si>
  <si>
    <t>Elisabetta Margo</t>
  </si>
  <si>
    <t>High Servant of the Order</t>
  </si>
  <si>
    <t>Humanoid. Lodge. Elite.</t>
  </si>
  <si>
    <t>Salvatore Neri</t>
  </si>
  <si>
    <t>Master of Illusions</t>
  </si>
  <si>
    <t>Humanoid. Sorcerer. Elite.</t>
  </si>
  <si>
    <t>Savio Corvi</t>
  </si>
  <si>
    <t>Dark Lurker</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</si>
  <si>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</si>
  <si>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</si>
  <si>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</si>
  <si>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</si>
  <si>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</si>
  <si>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</si>
  <si>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</si>
  <si>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</si>
  <si>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</si>
  <si>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</si>
  <si>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</si>
  <si>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</si>
  <si>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</si>
  <si>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</si>
  <si>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</si>
  <si>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</si>
  <si>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</si>
  <si>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</si>
  <si>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</si>
  <si>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</si>
  <si>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</si>
  <si>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</si>
  <si>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</si>
  <si>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</si>
  <si>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</si>
  <si>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</si>
  <si>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</si>
  <si>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</si>
  <si>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</si>
  <si>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</si>
  <si>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</si>
  <si>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</si>
  <si>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</si>
  <si>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</si>
  <si>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5fb3f545-1b74-4cca-82bf-70044c777233</t>
  </si>
  <si>
    <t>465b0548-4bc3-42b5-94d2-8c56839ffe26</t>
  </si>
  <si>
    <t>5cdb7485-0510-4154-a95b-7ee9f921ef2b</t>
  </si>
  <si>
    <t>301a65e6-d1ba-4b05-afd3-274822a0ebe2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</si>
  <si>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</si>
  <si>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</si>
  <si>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</si>
  <si>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</si>
  <si>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</si>
  <si>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</si>
  <si>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</si>
  <si>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</si>
  <si>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</si>
  <si>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</si>
  <si>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</si>
  <si>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</si>
  <si>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</si>
  <si>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</si>
  <si>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</si>
  <si>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</si>
  <si>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</si>
  <si>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</si>
  <si>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</si>
  <si>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</si>
  <si>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</si>
  <si>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</si>
  <si>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</si>
  <si>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</si>
  <si>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</si>
  <si>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</si>
  <si>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</si>
  <si>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</si>
  <si>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</si>
  <si>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</si>
  <si>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</si>
  <si>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</si>
  <si>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</si>
  <si>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</si>
  <si>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</si>
  <si>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</si>
  <si>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</si>
  <si>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</si>
  <si>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</si>
  <si>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</si>
  <si>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</si>
  <si>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</si>
  <si>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</si>
  <si>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</si>
  <si>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</si>
  <si>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</si>
  <si>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</si>
  <si>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</si>
  <si>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</si>
  <si>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</si>
  <si>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</si>
  <si>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</si>
  <si>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</si>
  <si>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</si>
  <si>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</si>
  <si>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</si>
  <si>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</si>
  <si>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</si>
  <si>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</si>
  <si>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</si>
  <si>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</si>
  <si>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</si>
  <si>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</si>
  <si>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</si>
  <si>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</si>
  <si>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</si>
  <si>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</si>
  <si>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</si>
  <si>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</si>
  <si>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</si>
  <si>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</si>
  <si>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</si>
  <si>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</si>
  <si>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</si>
  <si>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</si>
  <si>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</si>
  <si>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</si>
  <si>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</si>
  <si>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</si>
  <si>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</si>
  <si>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</si>
  <si>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</si>
  <si>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</si>
  <si>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</si>
  <si>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</si>
  <si>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</si>
  <si>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</si>
  <si>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</si>
  <si>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</si>
  <si>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</si>
  <si>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</si>
  <si>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</si>
  <si>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</si>
  <si>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</si>
  <si>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</si>
  <si>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</si>
  <si>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</si>
  <si>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</si>
  <si>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59efc32c-d826-4e60-b362-a6e253284c35</t>
  </si>
  <si>
    <t>Jenny Barnes</t>
  </si>
  <si>
    <t>The Dilettante</t>
  </si>
  <si>
    <t>You collect 1 additional resource during each upkeep phase._x000D_
ε effect: +1 for each resource you have.</t>
  </si>
  <si>
    <t>rogue</t>
  </si>
  <si>
    <t>f295467a-14fb-4f4d-b2f5-5ebfd8857e3a</t>
  </si>
  <si>
    <t>Jim Culver</t>
  </si>
  <si>
    <t>The Musician</t>
  </si>
  <si>
    <t>Performer.</t>
  </si>
  <si>
    <t>Treat the modifier on α tokens you reveal as "0."_x000D_
Anytime you reveal a ε token, you may choose to instead treat it as a α token._x000D_
ε effect: +1.</t>
  </si>
  <si>
    <t>d448218b-7006-4670-a39c-08cd41e44df4</t>
  </si>
  <si>
    <t>"Ashcan" Pete</t>
  </si>
  <si>
    <t>The Drifter</t>
  </si>
  <si>
    <t>You begin the game with Duke in play._x000D_
θ Discard a card from your hand: Ready an asset you control. (Limit once per round.)_x000D_
ε effect: +2. Ready Duke.</t>
  </si>
  <si>
    <t>survivor</t>
  </si>
  <si>
    <t>e84c8e62-7793-4783-a32a-07f31664503c</t>
  </si>
  <si>
    <t>Zoey's Cross</t>
  </si>
  <si>
    <t>Symbol of Righteousness</t>
  </si>
  <si>
    <t>ήήΰ</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</si>
  <si>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</si>
  <si>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</si>
  <si>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</si>
  <si>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</si>
  <si>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</si>
  <si>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</si>
  <si>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</si>
  <si>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</si>
  <si>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</si>
  <si>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</si>
  <si>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</si>
  <si>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</si>
  <si>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</si>
  <si>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</si>
  <si>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</si>
  <si>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</si>
  <si>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</si>
  <si>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</si>
  <si>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</si>
  <si>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</si>
  <si>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</si>
  <si>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</si>
  <si>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</si>
  <si>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</si>
  <si>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</si>
  <si>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</si>
  <si>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</si>
  <si>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</si>
  <si>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</si>
  <si>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</si>
  <si>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</si>
  <si>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</si>
  <si>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</si>
  <si>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</si>
  <si>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</si>
  <si>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</si>
  <si>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995ca593-11ac-49b3-b36f-a8b6793519af</t>
  </si>
  <si>
    <t>Teamwork</t>
  </si>
  <si>
    <t>Investigators at your location may give or trade any number of Item assets, Ally assets, or resources among one another.</t>
  </si>
  <si>
    <t>a0f37484-e81b-45cc-b483-33cbfdb02a2d</t>
  </si>
  <si>
    <t>ίήά</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</si>
  <si>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</si>
  <si>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</si>
  <si>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</si>
  <si>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</si>
  <si>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</si>
  <si>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</si>
  <si>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</si>
  <si>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</si>
  <si>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</si>
  <si>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</si>
  <si>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</si>
  <si>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</si>
  <si>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</si>
  <si>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</si>
  <si>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</si>
  <si>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</si>
  <si>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</si>
  <si>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d86a00ff-6974-4b6b-9785-cd20fa49256d</t>
  </si>
  <si>
    <t>Think on Your Feet</t>
  </si>
  <si>
    <t>Trick.</t>
  </si>
  <si>
    <t>6804e6e3-6a7c-458c-a1b7-185bc4928f4c</t>
  </si>
  <si>
    <t>Double or Nothing</t>
  </si>
  <si>
    <t>6263c096-a016-45fb-bb9b-05ec75e63757</t>
  </si>
  <si>
    <t>Hired Muscle</t>
  </si>
  <si>
    <t>You get +1 ή._x000D_
Forced – At the end of the upkeep phase: You must either pay 1 resource or discard Hired Muscle.</t>
  </si>
  <si>
    <t>8f39c168-aa45-44c4-bffc-a223afd1db79</t>
  </si>
  <si>
    <t>Rite of Seeking</t>
  </si>
  <si>
    <t>1225df00-7d5e-4bd0-8170-e561f558e9ae</t>
  </si>
  <si>
    <t>Ritual Candles</t>
  </si>
  <si>
    <t>ι After a α, β, γ, or δ symbol is revealed during a test you are performing: You get +1 skill value for this test.</t>
  </si>
  <si>
    <t>e6c78c15-3ceb-4823-ad9b-7542722b4cf2</t>
  </si>
  <si>
    <t>Clarity of Mind</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</si>
  <si>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</si>
  <si>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</si>
  <si>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</si>
  <si>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</si>
  <si>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</si>
  <si>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</si>
  <si>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</si>
  <si>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</si>
  <si>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</si>
  <si>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</si>
  <si>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</si>
  <si>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</si>
  <si>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</si>
  <si>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</si>
  <si>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</si>
  <si>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</si>
  <si>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</si>
  <si>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</si>
  <si>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</si>
  <si>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</si>
  <si>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</si>
  <si>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</si>
  <si>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</si>
  <si>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</si>
  <si>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</si>
  <si>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</si>
  <si>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</si>
  <si>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</si>
  <si>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</si>
  <si>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</si>
  <si>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</si>
  <si>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</si>
  <si>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</si>
  <si>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</si>
  <si>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</si>
  <si>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</si>
  <si>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</si>
  <si>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</si>
  <si>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</si>
  <si>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</si>
  <si>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</si>
  <si>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</si>
  <si>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</si>
  <si>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</si>
  <si>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</si>
  <si>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</si>
  <si>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</si>
  <si>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</si>
  <si>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</si>
  <si>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</si>
  <si>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</si>
  <si>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</si>
  <si>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</si>
  <si>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</si>
  <si>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</si>
  <si>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</si>
  <si>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</si>
  <si>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</si>
  <si>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</si>
  <si>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</si>
  <si>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</si>
  <si>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</si>
  <si>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</si>
  <si>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</si>
  <si>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</si>
  <si>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</si>
  <si>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</si>
  <si>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</si>
  <si>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</si>
  <si>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</si>
  <si>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</si>
  <si>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</si>
  <si>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</si>
  <si>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</si>
  <si>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</si>
  <si>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</si>
  <si>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</si>
  <si>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</si>
  <si>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</si>
  <si>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</si>
  <si>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</si>
  <si>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</si>
  <si>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</si>
  <si>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</si>
  <si>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</si>
  <si>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</si>
  <si>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</si>
  <si>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</si>
  <si>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</si>
  <si>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</si>
  <si>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</si>
  <si>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</si>
  <si>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</si>
  <si>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</si>
  <si>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</si>
  <si>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</si>
  <si>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</si>
  <si>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</si>
  <si>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</si>
  <si>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</si>
  <si>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</si>
  <si>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</si>
  <si>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</si>
  <si>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</si>
  <si>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</si>
  <si>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</si>
  <si>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</si>
  <si>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</si>
  <si>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</si>
  <si>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</si>
  <si>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</si>
  <si>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</si>
  <si>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</si>
  <si>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</si>
  <si>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</si>
  <si>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</si>
  <si>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</si>
  <si>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</si>
  <si>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</si>
  <si>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</si>
  <si>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</si>
  <si>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</si>
  <si>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</si>
  <si>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</si>
  <si>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</si>
  <si>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</si>
  <si>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</si>
  <si>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 If an investigator resigned with Dr. Francis Morgan under his or her control, (→R2)_x000D_
— Otherwise, (→R1)</t>
  </si>
  <si>
    <t>c19ba09a-afe2-48f4-a51c-78d40f4b2155</t>
  </si>
  <si>
    <t>Fold</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</si>
  <si>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</si>
  <si>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</si>
  <si>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</si>
  <si>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</si>
  <si>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</si>
  <si>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</si>
  <si>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</si>
  <si>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</si>
  <si>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</si>
  <si>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</si>
  <si>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</si>
  <si>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</si>
  <si>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</si>
  <si>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</si>
  <si>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</si>
  <si>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</si>
  <si>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</si>
  <si>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</si>
  <si>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</si>
  <si>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</si>
  <si>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</si>
  <si>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</si>
  <si>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</si>
  <si>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</si>
  <si>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</si>
  <si>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</si>
  <si>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</si>
  <si>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</si>
  <si>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</si>
  <si>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</si>
  <si>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</si>
  <si>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</si>
  <si>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</si>
  <si>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</si>
  <si>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</si>
  <si>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</si>
  <si>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</si>
  <si>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</si>
  <si>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</si>
  <si>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</si>
  <si>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</si>
  <si>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</si>
  <si>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</si>
  <si>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</si>
  <si>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</si>
  <si>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</si>
  <si>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</si>
  <si>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</si>
  <si>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</si>
  <si>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</si>
  <si>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1dc185eb-7c88-452b-831c-340659280f30</t>
  </si>
  <si>
    <t>Bishop's Thralls</t>
  </si>
  <si>
    <t>Light of Aforgomon</t>
  </si>
  <si>
    <t>Pact. Power.</t>
  </si>
  <si>
    <t>46be7d48-af4a-4459-b35d-37e92e2eb917</t>
  </si>
  <si>
    <t>Thrall</t>
  </si>
  <si>
    <t>Humanoid. Monster. Abomination.</t>
  </si>
  <si>
    <t>Spawn - Location with the most clues._x000D_
Retaliate.</t>
  </si>
  <si>
    <t>4f2da478-90bc-4325-8f8c-4d3568a0b0e6</t>
  </si>
  <si>
    <t>Wizard of Yog-Sothoth</t>
  </si>
  <si>
    <t>Humanoid. Sorcerer.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</si>
  <si>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</si>
  <si>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</si>
  <si>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</si>
  <si>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</si>
  <si>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</si>
  <si>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</si>
  <si>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</si>
  <si>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</si>
  <si>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</si>
  <si>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</si>
  <si>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</si>
  <si>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</si>
  <si>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</si>
  <si>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</si>
  <si>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</si>
  <si>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</si>
  <si>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</si>
  <si>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</si>
  <si>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</si>
  <si>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</si>
  <si>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</si>
  <si>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</si>
  <si>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</si>
  <si>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</si>
  <si>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</si>
  <si>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</si>
  <si>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</si>
  <si>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</si>
  <si>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</si>
  <si>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</si>
  <si>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</si>
  <si>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</si>
  <si>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</si>
  <si>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</si>
  <si>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</si>
  <si>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</si>
  <si>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</si>
  <si>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</si>
  <si>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</si>
  <si>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</si>
  <si>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</si>
  <si>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</si>
  <si>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</si>
  <si>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</si>
  <si>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</si>
  <si>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</si>
  <si>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</si>
  <si>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</si>
  <si>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</si>
  <si>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</si>
  <si>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</si>
  <si>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</si>
  <si>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</si>
  <si>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</si>
  <si>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</si>
  <si>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</si>
  <si>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f47b2774-3148-444b-94ea-5696db0c6342</t>
  </si>
  <si>
    <t>Servant of the Lurker</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</si>
  <si>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</si>
  <si>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</si>
  <si>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</si>
  <si>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</si>
  <si>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</si>
  <si>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</si>
  <si>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</si>
  <si>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</si>
  <si>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</si>
  <si>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</si>
  <si>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</si>
  <si>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</si>
  <si>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</si>
  <si>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</si>
  <si>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</si>
  <si>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</si>
  <si>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</si>
  <si>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</si>
  <si>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Emergency Aid</t>
  </si>
  <si>
    <t>Brother Xavier</t>
  </si>
  <si>
    <t>"I've got a plan!"</t>
  </si>
  <si>
    <t>Pathfinder</t>
  </si>
  <si>
    <t>Contraband</t>
  </si>
  <si>
    <t>Adaptable</t>
  </si>
  <si>
    <t>Delve Too Deep</t>
  </si>
  <si>
    <t>Song of the Dead</t>
  </si>
  <si>
    <t>Oops!</t>
  </si>
  <si>
    <t>Fire Extinguisher</t>
  </si>
  <si>
    <t>Flare</t>
  </si>
  <si>
    <t>Smoking Pipe</t>
  </si>
  <si>
    <t>Painkillers</t>
  </si>
  <si>
    <t>έί</t>
  </si>
  <si>
    <t>Insight. Science.</t>
  </si>
  <si>
    <t>Pure of Spirit</t>
  </si>
  <si>
    <t>You get +1 ά.
Brother Xavier may be assigned damage and/or horror dealt to other investigators at your location.
ι When Brother Xavier is defeated: Deal 2 damage to an enemy at your location.</t>
  </si>
  <si>
    <t>Fight. This attack uses έ. You deal +1 damage for this attack for each clue that you have (max +3 damage).</t>
  </si>
  <si>
    <t>"That's the worst plan I've ever heard.
Well, what are we waiting for?"</t>
  </si>
  <si>
    <t>θ During your turn, if you are not engaged with any enemies, exhaust Pathfinder: Move to a connecting location.</t>
  </si>
  <si>
    <t>άέ</t>
  </si>
  <si>
    <t>Supply. Illicit.</t>
  </si>
  <si>
    <t>Choose an asset controlled by an investigator at your location. Double the number of ammo or supply token on that asset.</t>
  </si>
  <si>
    <t>Choose an investigator at your location. Heal 2 damage from that investigator or from an Ally asset he or she controls.</t>
  </si>
  <si>
    <t>It may not be legal, but it gets the job done.</t>
  </si>
  <si>
    <t>Permanent.</t>
  </si>
  <si>
    <t>In between each game of a campaign, you may swap up to two level 0 cards out of your deck for an equal number of level 0 cards. (You must still follow all deckbuilding rules for your investigator).</t>
  </si>
  <si>
    <t>In player order, each investigator draws 1 card from the top of the encounter deck. Then, add Delve Too Deep to the victory display.</t>
  </si>
  <si>
    <t>Some things, once seen, can't be unseen.</t>
  </si>
  <si>
    <t>Uses (5 charges).</t>
  </si>
  <si>
    <t>η Spend 1 charge: Fight. This attack uses ά instead of ή. You get +1 ά for this attack. If a α symbol is revealed during this attack, this attack deals +2 damage.</t>
  </si>
  <si>
    <t>Fast. Play after you fail a skill test by 2 or less while attacking an enemy engaged with you.</t>
  </si>
  <si>
    <t>Deal this attack's damage to a different enemy at your location.</t>
  </si>
  <si>
    <t>Item. Tool. Melee.</t>
  </si>
  <si>
    <t xml:space="preserve">Either (choose one):
• Fight. You get +3 ή and deal +2 damage for this attack. Exile Flare.
• Search the top 9 cards of any investigator's deck for an Ally asset and put it into play under your control. Then, exile Flare. Shuffle the searched deck.
</t>
  </si>
  <si>
    <t>Uses (3 supplies).</t>
  </si>
  <si>
    <t>θ Spend 1 supply, exhaust Painkillers, and take 1 horror: Heal 1 damage.</t>
  </si>
  <si>
    <t>θ Spend 1 supply, exhaust Smoking Pipe, and take 1 damage: Heal 1 horror.</t>
  </si>
  <si>
    <t>A good pipe can calm the most frazzled of nerves.</t>
  </si>
  <si>
    <t>Do not exceed the recommended dosage.</t>
  </si>
  <si>
    <t>The Miskatonic Museum</t>
  </si>
  <si>
    <t>Restricted Access</t>
  </si>
  <si>
    <t>Shadows Deepen</t>
  </si>
  <si>
    <t>In Every Shadow</t>
  </si>
  <si>
    <t>Finding A Way Inside</t>
  </si>
  <si>
    <t>Night at the Museum</t>
  </si>
  <si>
    <t>Breaking and Entering</t>
  </si>
  <si>
    <t>Searching for the Tome</t>
  </si>
  <si>
    <t>Museum Entrance</t>
  </si>
  <si>
    <t>Museum Halls</t>
  </si>
  <si>
    <t>Security Office</t>
  </si>
  <si>
    <t>Administration Office</t>
  </si>
  <si>
    <t>Exhibit Hall</t>
  </si>
  <si>
    <t>Harold Walsted</t>
  </si>
  <si>
    <t>Curator of the Museum</t>
  </si>
  <si>
    <t>Adam Lynch</t>
  </si>
  <si>
    <t>Museum Security</t>
  </si>
  <si>
    <t>Olaus Wormius Translation</t>
  </si>
  <si>
    <t>Hunting Horror</t>
  </si>
  <si>
    <t>Shadow-spawned</t>
  </si>
  <si>
    <t>Stalked in the Dark</t>
  </si>
  <si>
    <t>Passage into the Veil</t>
  </si>
  <si>
    <t>Ephemeral Exhibits</t>
  </si>
  <si>
    <t>Slithering Behind You</t>
  </si>
  <si>
    <t>α: -1 (-3 instead if Hunting Horror is at your location.)
β: -1. If you fail, search the encounter deck, discard pile, and the void for Hunting Horror and spawn it at your location, if able.
γ: -2. Return 1 of your clues to your current location.
δ: -3. If you fail, discard an asset you control.</t>
  </si>
  <si>
    <t>α: -2 (-4 instead if Hunting Horror is at your location.)
β: -3. If you fail, search the encounter deck, discard pile, and the void for Hunting Horror and spawn it at your location, if able.
γ: -4. If Hunting Horror is at your location, it immediately attacks you.
δ: -5. If you fail, discard an asset you control.</t>
  </si>
  <si>
    <t>Forced - When Hunting Horror enters play: Attach the set-aside copy of Shadow-spawned to it, or add 1 resource to Shadow-spawned if it is already attached.</t>
  </si>
  <si>
    <t>A Creature of the Void</t>
  </si>
  <si>
    <t>Driven Out</t>
  </si>
  <si>
    <t>Gaining Entrance</t>
  </si>
  <si>
    <t>The Curator's Fate</t>
  </si>
  <si>
    <t>The Guard's Fate</t>
  </si>
  <si>
    <t>If Hunting Horror is in play, add 1 doom to it.
If Hunting Horror is not in play, search the encounter deck, discard pile, and the void for Hunting Horror and spawn it in the Museum Halls, if able. Shuffle the encounter discard pile into the encounter deck.</t>
  </si>
  <si>
    <t>Each investigator who has not resigned is defeated and suffers 1 physical trauma.</t>
  </si>
  <si>
    <t>Search the encounter deck, discard pile, the void, and all play areas for Hunting Horror, and place it in the Exhibit Hall (Restricted Hall), ready.
Advance to Act 3a.</t>
  </si>
  <si>
    <t>If the investigators spent clues to advance:
Choose an investigator to take control of the set-aside Adam Lynch asset. Reveal the Museum Halls. Advance to Act 2a - "Night at the Museum."
-------------------------------------------------------------------------------
If the investigators successfully performed the η ability on the Museum Halls to advance:
The door leading into the Museum Halls is broken. Reveal the Museum Halls. Advance to Act 2a - "Breaking and Entering."</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</si>
  <si>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</si>
  <si>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have to destroy it." (→R1)
• "It'S too valuable to destroy. We have to keep it safe." (→R2)</t>
  </si>
  <si>
    <t>Objective - If an investigator enters the Exhibit Hall (Restricted Hall), advance.</t>
  </si>
  <si>
    <t>Objective - If there are no clues remaining in the Exhibit Hall (Restricted Hall), advance.</t>
  </si>
  <si>
    <t>Investigators at the Museum Entrance cannot gain resources.
η Resign. "Eh. How important can a book really be, anyway?"</t>
  </si>
  <si>
    <t>The entrance to the Museum Halls is locked. You cannot move into the Museum Halls.
Museum Entrance gains: "η: Test ή (5) to attempt to break down the door to the Museum. If you are successful, immediately advance to Act 1b."</t>
  </si>
  <si>
    <t>Museum Halls is connected to each copy of Exhibit Hall.
η Investigators in the Museum Halls spend 1π clues, as a group: Put the top card of the Exhibit deck into play, unrevealed.</t>
  </si>
  <si>
    <t>Miskatonic. Exhibit.</t>
  </si>
  <si>
    <t>η η: Search the top 6 cards of your deck for a card and add it to your hand. Shuffle the rest back into your deck. (Limit once per turn.)</t>
  </si>
  <si>
    <t>η η: Look at the revealed side of an Exhibit Hall in play, or the top card of the Exhibit deck. (Limit once per turn.)</t>
  </si>
  <si>
    <t>You cannot investigate Administration Office while you have 4 or fewer resources.</t>
  </si>
  <si>
    <t>You cannot investigate Administration Office while you have 4 or fewer cards in your hand.</t>
  </si>
  <si>
    <t>Athabaskan Exhibit</t>
  </si>
  <si>
    <t>Medusa Exhibit</t>
  </si>
  <si>
    <t>Nature Exhibit</t>
  </si>
  <si>
    <t>Egyptian Exhibit</t>
  </si>
  <si>
    <t>Hall of the Dead</t>
  </si>
  <si>
    <t>Restricted Hall</t>
  </si>
  <si>
    <t>Forced - After you enter this location: Lose all of your remaining actions and immediately end your turn.
While you are in this location, you get +2 ί.</t>
  </si>
  <si>
    <t>Forced - After you fail a skill test while investigating this location: Discard an asset you control.</t>
  </si>
  <si>
    <t>Forced - After you enter this location: Discard 2 cards from your hand at random.</t>
  </si>
  <si>
    <t>Forced - After you fail a skill test while investigating this location: Lose 1 action.</t>
  </si>
  <si>
    <t>Forced - After you fail a skill test while investigating this location: Take 1 horror.</t>
  </si>
  <si>
    <t>While Hunting Horror is at this location, this location cannot be investigated.</t>
  </si>
  <si>
    <t>You get +2 έ while investigating Miskatonic locations.
Forced - When Harold Walsted leaves play: Remove him from the game and add 1 γ token to the chaos bag for the remainder of the campaign.</t>
  </si>
  <si>
    <t>While you control Adam Lynch, treat the "η η" ability on the Security Office as if it were an "η" ability.
Forced - When Adam Lynch leaves play: Remove him from the game and add 1 γ token to the chaos bag for the remainder of the campaign.</t>
  </si>
  <si>
    <t>You get +1 έ.
η: Gain 2 resources.</t>
  </si>
  <si>
    <t>Monster. Elite.</t>
  </si>
  <si>
    <t>Forced - At the start of the enemy phase: Reveal a random token from the chaos bag. If the revealed token has a α, β, γ, δ, or ζ symbol, ready Hunting Horror.
Forced - When Hunting Horror leaves play, place it in the void.</t>
  </si>
  <si>
    <t>Shadow-spawned remains attached to Hunting Horror if it enters the void.
Hunting Horror gets +1 fight, +1 health, and +1 evade for each resource on Shadow-spawned. If there are at least 3 resources on Shadow-spawned, Hunting Horror also gains Massive.</t>
  </si>
  <si>
    <t>Revelation - If Hunting Horror is in play, it readies, engages you, and attacks each investigator at your location. Otherwise, Stalked in the Dark gains surge.</t>
  </si>
  <si>
    <t>Revelation - Test ά (3). This test has +2 difficulty if Hunting Horror is at your location. If you fail you must either (choose one): discard the top 5 cards of your deck, or take 1 direct damage and deal 1 damage to each of your allies.</t>
  </si>
  <si>
    <t>Revelation - Test έ (3). If you fail, lose 1 action for each point you failed by.</t>
  </si>
  <si>
    <t>Revelation - If Hunting Horror is in play, add 1 doom to it. If Hunting Horror is not in play, search the encounter deck, discard pile, and the void for Hunting Horror and spawn it at your location, engaged with you. Shuffle the encounter deck.</t>
  </si>
  <si>
    <t>65c580ff-a9fe-4acb-9a8d-8014c07c1900</t>
  </si>
  <si>
    <t>3400caa4-911e-4420-bd0b-9a0076330a5d</t>
  </si>
  <si>
    <t>ee9c65f2-b8bf-4d1d-80df-4dc26090e2b3</t>
  </si>
  <si>
    <t>5044b73b-665e-4bb1-9a89-c40569981b3c</t>
  </si>
  <si>
    <t>f3d83362-7e2c-48ab-acb3-eda05c71c135</t>
  </si>
  <si>
    <t>a2214a78-e602-4148-9200-885658ede674</t>
  </si>
  <si>
    <t>af424c6b-5950-4b7a-b756-3865ff005bca</t>
  </si>
  <si>
    <t>91db65a8-c041-46d4-8494-567b2c7051af</t>
  </si>
  <si>
    <t>b910e86e-07ce-48da-8a4f-95f36f10781e</t>
  </si>
  <si>
    <t>6ca57c7b-bd25-4275-93b2-2b4bcca0f3ff</t>
  </si>
  <si>
    <t>c53ba5be-1905-4ab2-a58e-44b9d2ace511</t>
  </si>
  <si>
    <t>818d70a1-1b8b-42eb-ab79-f0b2ee29a4d3</t>
  </si>
  <si>
    <t>944163fc-e166-4af9-9c67-7c5d510523c9</t>
  </si>
  <si>
    <t>3f7a9d76-3757-4e83-983d-44f80e4a23a5</t>
  </si>
  <si>
    <t>ec78278d-396a-40da-adc7-6e2add983a35</t>
  </si>
  <si>
    <t>ff4a15bd-df78-4692-b888-993c82cfe0ad</t>
  </si>
  <si>
    <t>4359ee53-ff68-4773-87a2-534199998d00</t>
  </si>
  <si>
    <t>1ede5301-8452-4bfe-b9c7-35f09d2b3158</t>
  </si>
  <si>
    <t>7b6e4a02-e249-4ab1-82a7-442d315c92e3</t>
  </si>
  <si>
    <t>d606bf7f-9239-43f4-a056-968882e387b2</t>
  </si>
  <si>
    <t>c2ff4e35-7cd4-47f4-b1b5-aee503b90ca1</t>
  </si>
  <si>
    <t>b48a158f-cd48-401f-98fa-2712f97c273c</t>
  </si>
  <si>
    <t>395856a1-090b-4e8d-b633-d2c0e868c38e</t>
  </si>
  <si>
    <t>0f7f0714-9a62-4465-93fc-0e0c0fe39bfb</t>
  </si>
  <si>
    <t>5b0e436c-04fe-4900-92cd-f811f160dff6</t>
  </si>
  <si>
    <t>02154878-7d0d-4a93-92bd-4cd7ff29be12</t>
  </si>
  <si>
    <t>c57b105b-d58b-48d5-ad44-7eeb712a27f9</t>
  </si>
  <si>
    <t>e6c3672b-1b30-49e8-92c7-5a56db6884cf</t>
  </si>
  <si>
    <t>6caccc54-85c4-4ee5-a0ea-6350b6319120</t>
  </si>
  <si>
    <t>d40ea3b8-192e-4936-b052-a4302538e8ca</t>
  </si>
  <si>
    <t>b650987c-d729-40d8-b1c2-05b1f33b8771</t>
  </si>
  <si>
    <t>ccdffbc9-95fd-4bb3-a8ca-1528107531be</t>
  </si>
  <si>
    <t>d792376b-5b9f-47b1-bdfd-bcfa2bc7ffb7</t>
  </si>
  <si>
    <t>e42327e7-d2cf-46d5-93f6-580bffac20ae</t>
  </si>
  <si>
    <t>a8732c51-11e7-4826-8c27-8689cf22b168</t>
  </si>
  <si>
    <t>bb0b6b60-4835-4492-9022-d072b6b5f4b3</t>
  </si>
  <si>
    <t>7ebf2f99-c114-4dcf-a144-269cf867c924</t>
  </si>
  <si>
    <t>434413f3-4a60-41be-8ce0-2db67b7f21ae</t>
  </si>
  <si>
    <t>a0a18167-6cf4-45ac-96e0-70551f4cd299</t>
  </si>
  <si>
    <t>6068dbe5-2bcd-4ccf-a725-c01987bb0048</t>
  </si>
  <si>
    <t>f0141885-09ed-468b-ad03-fb0b228c4a82</t>
  </si>
  <si>
    <t>02edf300-7be2-4bac-9db1-3b585cc6a6ed</t>
  </si>
  <si>
    <t>η: Fight. You get +1 ή for this attack.
η Exile Fire Extinguisher: Evade. You get +3 ί for this test. If you are successful, evade each other enemy engaged with you, as well.</t>
  </si>
  <si>
    <t>η Spend 1 ammo: Fight. You get +1 ή for this attack (if there are 1 or more clues on your location, you get +3 ή, instead). This attack deals +1 damage.</t>
  </si>
  <si>
    <t>Uses (4 ammo).</t>
  </si>
  <si>
    <t>Roland Banks deck only.
Uses (4 ammo).</t>
  </si>
  <si>
    <t>You have 2 additional hand slots, which can only be used to hold Tome assets.</t>
  </si>
  <si>
    <t>Daisy Walker deck only.</t>
  </si>
  <si>
    <t>ι After you play a spell card: Draw 1 card.</t>
  </si>
  <si>
    <t>Agnes Baker deck only.</t>
  </si>
  <si>
    <t>You may play the topmost event in your discard pile as if it were in your hand._x000D_
Forced - After you play an event: Place it on the bottom of your deck instead of in your discard pile.</t>
  </si>
  <si>
    <t>Wendy Adams deck only.</t>
  </si>
  <si>
    <t>η Spend 1 ammo: Fight. You get +1 ή for this attack. This attack deals +1 damage.</t>
  </si>
  <si>
    <t>η Spend 1 supply: Heal 1 damage or horror from an investigator at your location.</t>
  </si>
  <si>
    <t>Uses (3 supplies). If First Aid has no supplies, discard it.</t>
  </si>
  <si>
    <t>Discover 1 clue in your location.</t>
  </si>
  <si>
    <t>Fast. Play after you defeat an enemy.</t>
  </si>
  <si>
    <t>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</si>
  <si>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Uses (2 ammo).</t>
  </si>
  <si>
    <t>You get +1 έ while investigating.</t>
  </si>
  <si>
    <t>Until the end of the round, you may use your έ in place of your ή and ί.</t>
  </si>
  <si>
    <t>You get +1 έ while investigating._x000D_
θ If there are no clues on your location: Return Magnifying Glass to your hand.</t>
  </si>
  <si>
    <t>η: Fight. If you succeed by 2 or more, this attack deals +1 damage.</t>
  </si>
  <si>
    <t>Non-Elite enemies cannot move into attached location._x000D_
Forced - When an investigator leaves attached location: Discard Barricade.</t>
  </si>
  <si>
    <t>Attach to your location.</t>
  </si>
  <si>
    <t>You get +1 ί.
η Exhaust Cat Burglar: Disengage from each enemy engaged with you and move to a connecting location. This action does not provoke attack of opportunity.</t>
  </si>
  <si>
    <t>Switch that token's "-" to a "+".</t>
  </si>
  <si>
    <t>Fast. Play after you reveal a chaos token with a negative modifier.</t>
  </si>
  <si>
    <t>θ Exhaust Forbidden Knowledge and take 1 horror: Move 1 secret from Forbidden Knowledge to your resource pool, as a resource.</t>
  </si>
  <si>
    <t>Uses (4 secrets). If Forbidden Knowledge has no secrets, discard it.</t>
  </si>
  <si>
    <t>Uses (4 charges).</t>
  </si>
  <si>
    <t>η Spend 1 charge: Fight. This attack uses ά instead of ή and deals +1 damage. If a α, β, γ, δ, or ζ symbol is revealed during this check, take 1 horror.</t>
  </si>
  <si>
    <t>η Exhaust Scrying and spend 1 charge: Look at the top 3 cards of any investigator's deck or the encounter deck. Return them to the top of that deck in any order.</t>
  </si>
  <si>
    <t>Uses (3 charges).</t>
  </si>
  <si>
    <t>Cancel that card's revelation effect. Then, take 1 horror.</t>
  </si>
  <si>
    <t>Fast. Play when you draw a non-weakness treachery card.</t>
  </si>
  <si>
    <t>Uses (4 charges). If Grotesque Statue has no charges, discard it.</t>
  </si>
  <si>
    <t>ι When you would reveal a chaos token, spend 1 charge: Reveal 2 chaos tokens intead of 1. Choose 1 of those tokens to resolve, and ignore the other.</t>
  </si>
  <si>
    <t>You have 1 additional arcane slot.
η Exhaust Book of Shadows: Add 1 charge to a Spell asset you control.</t>
  </si>
  <si>
    <t>Discover 2 clues in your location.</t>
  </si>
  <si>
    <t>Fast. Play after you fail a skill test by 2 or less while investigating.</t>
  </si>
  <si>
    <t>If this skill test is successful during an evasion attempt, the evading investigator may immediately disengage from each other enemy engaged with him or her, and move to a connecting location.</t>
  </si>
  <si>
    <t>Shuffle that enemy into the encounter deck.</t>
  </si>
  <si>
    <t>Fast. Play after a non-weakness, non-Elite enemy at your location is evaded.</t>
  </si>
  <si>
    <t>Get +2 to your skill value for that test.</t>
  </si>
  <si>
    <t>Fast. Play when you would fail a skill test.</t>
  </si>
  <si>
    <t>Get +2 to your skill value for that test. Draw 1 card.</t>
  </si>
  <si>
    <t>Until the end of your turn, do not reveal chaos tokens for any skill tests you perform.</t>
  </si>
  <si>
    <t>η Spend 1 supply: Investigate. Your location gets -2 shroud for this investigation.</t>
  </si>
  <si>
    <t>If this test is successful, draw 1 card.</t>
  </si>
  <si>
    <t>Forced - When this agenda advances:
If the investigators are at Act 1, put the set-aside Ritual Site into play and spawn the set-aside Umordhoth there.
If the investigators are at Act 2 or 3, discard all enemies at the Ritual Site and spawn the set-aside Umordhoth there.</t>
  </si>
  <si>
    <t>Forced - After Acolyte enters play: Place 1 doom on it.</t>
  </si>
  <si>
    <t>Spawn - Any empty location.</t>
  </si>
  <si>
    <t>Until the end of the phase, the agenda cannot advance by reaching its doom threshold. Remove Mystifying Song from the game.</t>
  </si>
  <si>
    <t>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</si>
  <si>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</si>
  <si>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While resolving the hunter keyword on Don Lagorio, his location is connected to the location in the counter-clockwise direction, as well as the clockwise direction.</t>
  </si>
  <si>
    <t>Forced - When you look at Elisabetta Margo using the ability on Act 1a: Flip her to this side._x000D_
Forced - When the mythos phase ends: Place 1 doom on Elisabetta Margo.</t>
  </si>
  <si>
    <t>Aloof.</t>
  </si>
  <si>
    <t>Salvatore Neri's fight value is equal to the attacking investigator's base ή._x000D_
Salvatore Neri's evade value is equal to the evading investigator's base ί.</t>
  </si>
  <si>
    <t>Retaliate.</t>
  </si>
  <si>
    <t>While resolving the hunter keyword on Savio Corvi, his location is connected to the location across from him, as well as in the clockwise direction.</t>
  </si>
  <si>
    <t>ι After Bauta enters play: Gain 2 resources._x000D_
ι When you initiate a non-ή test, discard Bauta: Use ή for this test, instead of the skill indicated.</t>
  </si>
  <si>
    <t>Limit 1 Mask in play.</t>
  </si>
  <si>
    <t>ι After Medico Della Peste enters play: You heal 1 damage or 1 horror._x000D_
ι When you initiate a non-ά test, discard Medico Della Peste: Use ά for this test, instead of the skill indicated.</t>
  </si>
  <si>
    <t>ι After Pantalone enters play: Draw 2 cards._x000D_
ι When you initiate a non-έ test, discard Pantalone: Use έ for this test, instead of the skill indicated.</t>
  </si>
  <si>
    <t>ι After Gilded Volto enters play: Treat the next asset you play this turn as if it has fast._x000D_
ι When you initiate a non-ί test, discard Gilded Volto: Use ί for this test, instead of the skill indicated.</t>
  </si>
  <si>
    <t>You cannot look at the other side of Masked Carnevale-Goers at Carnevale Sentinel's location using the ability on Act 1a.</t>
  </si>
  <si>
    <t>Spawn - The location across from you.
Retaliate.</t>
  </si>
  <si>
    <t>Forced - After Writhing Appendage attacks you: Discard a random card from your hand._x000D_
Forced - When Writhing Appendage is defeated, if Cnidathqua is in play: Deal 1 damage to Cnidathqua.</t>
  </si>
  <si>
    <t>Revelation - You must either take 2 damage or take each Masked Carnevale-Goer, shuffle them so the investigators do not know which is which, and place 1 in each location, starting with the location clockwise from you (Masked Carnevale-Goer side face-up).</t>
  </si>
  <si>
    <t>Revelation - You must either take 2 horror or move to the location across from you.</t>
  </si>
  <si>
    <t>ι After an enemy becomes engaged with you, exhaust Zoey's Cross and spend 1 resource: Deal 1 damage to that enemy.</t>
  </si>
  <si>
    <t xml:space="preserve">Zoey Samaras deck only.
</t>
  </si>
  <si>
    <t>Draw X cards, where X is the number of clues on Rex Murphy (to a maximum of 5).</t>
  </si>
  <si>
    <t>Rex Murphy deck only.</t>
  </si>
  <si>
    <t>η Spend 1 ammo: Fight. You get +2 ή for this attack. This attack deals +1 damage.</t>
  </si>
  <si>
    <t>Jenny Barnes deck only. Uses (X ammo).</t>
  </si>
  <si>
    <t>ι When a α token is revealed during a skill test, exhaust Jim's Trumpet: Heal 1 horror from an investigator at your location or a connecting location.</t>
  </si>
  <si>
    <t>Jim Culver deck only.</t>
  </si>
  <si>
    <t>η Exhaust Duke: Fight. You attack with a base ή skill of 4. This attack deals +1 damage._x000D_
η Exhaust Duke: Investigate. You investigate with a base έ skill of 4. You may move to a connecting location immediately before investigating with this effect.</t>
  </si>
  <si>
    <t>Ashcan Pete deck only.</t>
  </si>
  <si>
    <t>Engage any number of enemies at your location.</t>
  </si>
  <si>
    <t>Engage any number of enemies at your location. Draw 1 card for each enemy engaged in this way.</t>
  </si>
  <si>
    <t>Choose an investigator at your location. Move that investigator to a connecting location.</t>
  </si>
  <si>
    <t>η Spend 1 supply: Choose an investigator at your location to heal 1 horror. Then, that investigator tests ά (2). If the test succeeds, he or she heals 1 additional horror. If the test fails, he or she discards 1 card at random from his or her hand.</t>
  </si>
  <si>
    <t>Uses (4 supplies).</t>
  </si>
  <si>
    <t>Immediately move to a connecting location. (The enemy still spawns at your previous location.)</t>
  </si>
  <si>
    <t>Fast. Play when an enemy would spawn at your location.</t>
  </si>
  <si>
    <t>Double the difficulty of this skill test. If this skill test is successful, resolve the effects of the successful test twice.</t>
  </si>
  <si>
    <t>η Spend 1 charge: Investigate. Investigate using ά instead of έ. If you succeed, discover 1 additional clue at this location. If a α, β, γ, δ, or ζ symbol is revealed during this test, after this test resolves lose all remaining actions and immediately end your turn.</t>
  </si>
  <si>
    <t>η Spend 1 charge: Heal 1 horror from an investigator at your location.</t>
  </si>
  <si>
    <t>You start each game with 2 fewer resources.</t>
  </si>
  <si>
    <t>α: -1. If you fail, discard the top 3 cards of your deck._x000D_
β: -1 (-3 instead if there are 10 or more cards in your discard pile)._x000D_
δ: -X. Discard the top 2 cards of your deck. X is the total printed cost of those discarded cards.</t>
  </si>
  <si>
    <t>α: -2. If you fail, discard the top 5 cards of your deck._x000D_
β: -1 (-5 instead if there are 10 or more cards in your discard pile)._x000D_
δ: -X. Discard the top 3 cards of your deck. X is the total printed cost of those discarded cards.</t>
  </si>
  <si>
    <t>Massive.</t>
  </si>
  <si>
    <t>The Experiment gets +3π health._x000D_
Forced - When the enemy phase begins: Ready The Experiment._x000D_
Objective - If The Experiment is defeated, advance to act 3b.</t>
  </si>
  <si>
    <t>α: -2. You may spend 2 resources to treat this token as a 0, instead._x000D_
β: -3. If you succeed, gain 3 resources._x000D_
γ: -2. If you fail, discard 3 resources.</t>
  </si>
  <si>
    <t>α: -3. You may spend 3 resources to treat this token as a 0, instead._x000D_
β: -3. If you fail, discard 3 resources._x000D_
γ: -2. Discard 3 resources.</t>
  </si>
  <si>
    <t>While Dr. Morgan is not controlled by a player, he gains "η: Parley. Test ά (3) to shake Dr. Morgan out of his daze. If you succeed, place 1 clue from the token bank on him. If there are π clues on Dr. Morgan, take control of him."_x000D_
Objective - If each undefeated investigator has resigned, advance.</t>
  </si>
  <si>
    <t>While Peter Clover is not controlled by a player, he gains "η: Parley. Test ά (3) to convince Peter to follow you. If you succeed, place 1 clue from the token bank on him. If there are 1π clues on Peter Clover, take control of him."_x000D_
Objective - If each undefeated investigator has resigned, advance.</t>
  </si>
  <si>
    <t>Forced - After an investigator at Clover Club Pit Boss's location gains any number of clues: Clover Club Pit Boss readies, engages that investigator, and makes an immediate attack.</t>
  </si>
  <si>
    <t>Prey - Highest έ.
Hunter.</t>
  </si>
  <si>
    <t>Revelation - Each player who has "had a drink" loses 1 action.</t>
  </si>
  <si>
    <t>Revelation - Put Beyond the Veil into play in your threat area if there is no copy of Beyond the Veil in your threat area._x000D_
Forced - If your deck has no cards in it: Take 10 damage and discard Beyond the Veil.</t>
  </si>
  <si>
    <t>Revelation - You must attach Light of Aforgomon to either the current agenda or the current act._x000D_
Limit 1 per agenda/act. Treat all damage as direct damage and all horror as direct horror.</t>
  </si>
  <si>
    <t>Forced - When the engaged investigator draws a Hex or Pact card: Wizard of Yog-Sothoth attacks that investigator.</t>
  </si>
  <si>
    <t>Prey - Least cards in hand.
Hunter.</t>
  </si>
  <si>
    <t>Each investigator at Whippoorwill's location gets -1 ά, -1 έ, -1 ή, and -1 ί.</t>
  </si>
  <si>
    <t>Aloof. Hunter.</t>
  </si>
  <si>
    <t>While Avian Thrall is being attacked using a Ranged, Firearm, or Spell asset, it gets -3 fight.</t>
  </si>
  <si>
    <t>Prey - Lowest έ.
Hunter.</t>
  </si>
  <si>
    <t>Forced - After Mobster attacks you: Lose 1 resource.</t>
  </si>
  <si>
    <t>Revelation - Choose one of the following cardtypes (asset, event, or skill). Each player must discard each card in his or her hand that is of the chosen cardtype. If this is not the first copy of Terror from Beyond drawn this phase, choose two cardtypes instead.</t>
  </si>
  <si>
    <t>Forced - After you perform an attack against the Conglomeration of Spheres using a Melee card: Discard that card.</t>
  </si>
  <si>
    <t>Prey - Lowest ά.
Hunter.</t>
  </si>
  <si>
    <t>Forced - When Servant of the Lurker attacks you: Discard the top 2 cards of your deck.</t>
  </si>
  <si>
    <t>Prey - Lowest ί.
Hunter.</t>
  </si>
  <si>
    <t>Marie Lambeau deck only.
Fast. Play when the agenda would advance by reaching its doom threshold.</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</si>
  <si>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</si>
  <si>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</si>
  <si>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</si>
  <si>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Swamp Leech cannot be evaded.
Forced – When Swamp Leech enters a non-Bayou location: Discard it.</t>
  </si>
  <si>
    <t>Revelation – Attach to a Bayou location. Limit 1 per location.
Each skill test performed at attached location gets +1 difficulty.
η : Test έ (2) to disrupt the source of the mist. If you suceed, discard Spectral Mist.</t>
  </si>
  <si>
    <t>Revelation – Test ί (3). If you fail, add Dragged Under to your threat area.
Forced – When you leave your current location: take 2 damage and discard Dragged Under.
Forced – At the end of your turn: Test ί (3). If you succeed, discard Dragged Under.</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</si>
  <si>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</si>
  <si>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Revelation – Put Curse of the Rougarou into play in your threat area.
Forced – At the end of your turn, if you have not dealt any damage this turn: Take 1 horror.</t>
  </si>
  <si>
    <t>Set the base value of your ά and έ to 2.
Set the base value of your ή and ί to 5.
η Exhaust Monstrous Transformation: Fight. You deal +1 damage for this attack.</t>
  </si>
  <si>
    <t>Forced – When 1 or more clues are placed on Dark Young Host's location: Place those clues on Dark Young Host.
Forced – When Dark Young Host is defeated: Move all clues on Dark Young Host to its location.</t>
  </si>
  <si>
    <t>Revelation – Attach to The Rougarou.
The Rougarou gets +1 fight, +1 damage, +1 horror, and cannot be evaded.
Forced – After The Rougarou takes damage: Discard Insatiable Bloodlust.</t>
  </si>
  <si>
    <t>(→R2)</t>
  </si>
  <si>
    <t>(→R1)</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</si>
  <si>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</si>
  <si>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</si>
  <si>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</si>
  <si>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The lead investigator reads the following (out loud):
As you leave Lady Esprit's shack, a terrible sickness courses through you, and you drop to your knees.
The lead investigator puts the set-aside Curse of the Rougarou weakness into play in his or her threat area.</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</si>
  <si>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 "We must learn more about the curse." The investigators must have 4π  clues, as a group.
• "We must keep it contained." The Rougarou must have a Trap card attached to it.
• "We must protected ourseleves." The Rougarou must have at least 1π  damage on it.
• "We must calm it down." The investigators must have either "found a binding stone" or "found a strange doll."</t>
  </si>
  <si>
    <t>η: Take 1 damage. You get +2 to your skill value for the next skill test you make this turn.
Forced – When you leave Cursed Shores: Choose and discard a skill card from your hand.</t>
  </si>
  <si>
    <t>While you are at Brackish Waters, you cannot play assets.
η Discard 2 assets from your hand or from play: Test ί (3) to wade through the dark waters and retrieve an abandoned fishing net. If you succeed, take control of the set-aside Fishing Net asset.</t>
  </si>
  <si>
    <t>While you are at Faubourg Marigny, reduce the cost of each asset you play by 1.
η : Resign. "We can't catch the beast!" You make your way to safety, letting the beast roam free.</t>
  </si>
  <si>
    <t>While you are at Trapper's Cabin, you cannot gain resources.
η Spend 5 resources: Test έ (3) to convince an old trapper to sell you his last bear trap. If you succeed, take control of the set-aside Bear Trap asset.</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</si>
  <si>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</si>
  <si>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Deck size: 30._x000D_
Deckbuilding options: Guardian cards (κ) level 0-5, Neutral cards level 0-5, up to five level 0 cards from any other class._x000D_
Deckbuilding requirements (do not count toward deck size): Zoey's Cross, Smite the Wicked, 1 random basic weakness.</t>
  </si>
  <si>
    <t>Deck size: 30._x000D_
Deckbuilding options: Mystic cards (μ) level 0-5, Neutral cards level 0-5, up to five level 0 cards from any other class._x000D_
Deckbuilding requirements (do not count toward deck size): Jim's Trumpet, Final Rhapsody, 1 random basic weakness.</t>
  </si>
  <si>
    <t>Deck size: 30._x000D_
Deckbuilding options: Rogue cards (ν) level 0-5, Neutral cards level 0-5, up to five level 0 cards from any other class._x000D_
Deckbuilding requirements (do not count toward deck size): Jenny's Twin .45s, Searching for Izzie, 1 random basic weakness.</t>
  </si>
  <si>
    <t>Deck size: 30._x000D_
Deckbuilding options: Survivor cards (ξ) level 0-5, Neutral cards level 0-5, up to five level 0 cards from any other class._x000D_
Deckbuilding requirements (do not count toward deck size): Duke, Wracked by Nightmares, 1 random basic weakness.</t>
  </si>
  <si>
    <t>Deck size: 30._x000D_
Deckbuilding options: Guardian cards (κ) level 0-5, Seeker cards (λ) level 0-2, Neutral cards level 0-5_x000D_
Deckbuilding requirements (do not count toward deck size): Roland's .38 Special,Cover Up, 1 random basic weakness.</t>
  </si>
  <si>
    <t>Deck size: 30._x000D_
Deckbuilding options: Seeker cards (λ) level 0-5, Mystic cards (μ) level 0-2, Neutral cards level 0-5._x000D_
Deckbuilding requirements (do not count toward deck size): Daisy's Tote Bag, The Necronomicon (John Dee Translation), 1 random basic weakness._x000D_</t>
  </si>
  <si>
    <t>Deck size: 30._x000D_
Deckbuilding options: Rogue cards (ν) level 0-5, Guardian cards (κ) level 0-2, Neutral cards level 0-5._x000D_
Deckbuilding requirements (do not count toward deck size): On the Lam, Hospital Debts, 1 random basic weakness.</t>
  </si>
  <si>
    <t>Deck size: 30._x000D_
Deckbuilding options: Mystic cards (μ) level 0-5, Survivor cards (ξ) level 0-2, Neutral cards level 0-5._x000D_
Deckbuilding requirements (do not count toward deck size): Heirloom of Hyperborea, Dark Memory, 1 random basic weakness.</t>
  </si>
  <si>
    <t>Deck size: 30._x000D_
Deckbuilding options: Survivor cards (ξ) level 0-5, Rogue cards (ν) level 0-2, Neutral cards level 0-5._x000D_
Deckbuilding requirements (do not count toward deck size): Wendy's Amulet, Abandoned and Alone, 1 random basic weakness.</t>
  </si>
  <si>
    <t>Deck size: 30._x000D_
Deckbuilding options: Seeker cards (λ) level 0-5, Neutral cards level 0-5, up to five level 0 cards from any other class._x000D_
Deckbuilding requirements (do not count toward deck size): Search for the Truth, Rex's Curse, 1 random basic weakness._x000D_
Deckbuilding restrictions: No Fortune cards.</t>
  </si>
  <si>
    <t>The Essex County Express</t>
  </si>
  <si>
    <t>Bandolier</t>
  </si>
  <si>
    <t>Stand Together</t>
  </si>
  <si>
    <t>Art Student</t>
  </si>
  <si>
    <t>"I'm outta here!"</t>
  </si>
  <si>
    <t>Hypnotic Gaze</t>
  </si>
  <si>
    <t>Newspaper</t>
  </si>
  <si>
    <t>Lure</t>
  </si>
  <si>
    <t>Relic Hunter</t>
  </si>
  <si>
    <t>Charisma</t>
  </si>
  <si>
    <t>You have 1 additional hand slot, which can only be used to hold a Weapon asset.</t>
  </si>
  <si>
    <t>Spirit.</t>
  </si>
  <si>
    <t>Practiced. Expert.</t>
  </si>
  <si>
    <t>Choose another investigator at your location. Both you and that investigator draw 2 cards and gain 2 resources.</t>
  </si>
  <si>
    <t>They won't take us down that easily!</t>
  </si>
  <si>
    <t>ι After Art Student enters play: Discover 1 clue at your location.</t>
  </si>
  <si>
    <t>If this skill test is successful while investigating a location, discover 1 additional clue at that location (2 additional clues instead if it succeeds by 2 or more).</t>
  </si>
  <si>
    <t>I knew I had seen this symbol before. I must warn the others before it is too late!</t>
  </si>
  <si>
    <t>Trick. Spirit.</t>
  </si>
  <si>
    <t>Play only if there is a scenario card with a 'resign' ability in play.</t>
  </si>
  <si>
    <t>Resign. You get the hell out of here.</t>
  </si>
  <si>
    <t>Quitters may never win, but they also rarely die.</t>
  </si>
  <si>
    <t>ήί</t>
  </si>
  <si>
    <t>η: Fight. You get +2 ή for this attack. If you succeed by 2 or more, this attack deals +1 damage.</t>
  </si>
  <si>
    <t>Fast. Play only when an enemy attacks an investigator at your location.</t>
  </si>
  <si>
    <t>Cancel the attack. Then, reveal a random token from the chaos bag. If it has a α, β, γ, δ, or ζ symbol, deal the attacking enemy's damage to itself.</t>
  </si>
  <si>
    <t>άή</t>
  </si>
  <si>
    <t>η Spend 1 charge: Fight. This attack uses ά instead of ή. You get +2 ά and deal +1 damage for this attack. If a α, β, γ, δ, or ζ symbol is revealed during this attack, take 1 horror.</t>
  </si>
  <si>
    <t>You get +2 έ while investigating if you have no clues.</t>
  </si>
  <si>
    <t>There's nothing in the headlines about the horrors you've witnessed. But the obituaries section is disturbingly long.</t>
  </si>
  <si>
    <t>During the enemy phase, each enemy that moves does so along the shortest path toward the attached location, instead of to where it would normally move.
Forced - While attached, at the end of the round: Discard Lure.</t>
  </si>
  <si>
    <t>You have 1 additional accessory slot.</t>
  </si>
  <si>
    <t>You have 1 additional ally slot.</t>
  </si>
  <si>
    <t>No stone unturned, no ancient treasure left behind.</t>
  </si>
  <si>
    <t>When you turn on the charm, it could light the entire town.</t>
  </si>
  <si>
    <t>α -X. X is the current Agenda #.
β -1. If you fail and it is your turn, lose all remaining actions and end your turn immediately.
γ -2. Add 1 doom token to the nearest Cultist enemy.
δ -3. If you fail, choose and discard an asset you control.</t>
  </si>
  <si>
    <t>α -X. X is 1 more than the current Agenda #.
β Reveal another token. If you fail and it is your turn, lose all remaining actions and end your turn immediately.
γ -4. Add 1 doom token to each Cultist enemy in play.
δ -3. If you fail, choose and discard a card from your hand for each point you failed by.</t>
  </si>
  <si>
    <t>A Tear in Reality</t>
  </si>
  <si>
    <t>The Maw Widens</t>
  </si>
  <si>
    <t>Rolling Backwards</t>
  </si>
  <si>
    <t>Drawn In</t>
  </si>
  <si>
    <t>Out of Time</t>
  </si>
  <si>
    <t>Run!</t>
  </si>
  <si>
    <t>Get the Engine Running!</t>
  </si>
  <si>
    <t>Keep Moving!</t>
  </si>
  <si>
    <t>Don't Stop!</t>
  </si>
  <si>
    <t>It's Getting Faster!</t>
  </si>
  <si>
    <t>Nowhere is Safe</t>
  </si>
  <si>
    <t>Sucked In</t>
  </si>
  <si>
    <t>Wings of Steam</t>
  </si>
  <si>
    <t>Forward Motion</t>
  </si>
  <si>
    <t>Train Car</t>
  </si>
  <si>
    <t>Engine Car</t>
  </si>
  <si>
    <t>Train.</t>
  </si>
  <si>
    <t>Train Car is connected to the locations to the left and right of it.
You cannot enter Train Car unless all of the clues on the location to its left have been discovered.</t>
  </si>
  <si>
    <t>Engine Car is connected to the locations to the left and right of it.
You cannot enter Engine Car unless all of the clues on the location to its left have been discovered.</t>
  </si>
  <si>
    <t>Passenger Car</t>
  </si>
  <si>
    <t>Sleeping Car</t>
  </si>
  <si>
    <t>Dining Car</t>
  </si>
  <si>
    <t>Parlor Car</t>
  </si>
  <si>
    <t>Passenger Car is connected to the locations to the left and right of it.
Forced - After you enter Passenger Car: You must either discard cards from your hand with at least 2 total ί icons or take 2 damage.</t>
  </si>
  <si>
    <t>Passenger Car is connected to the locations to the left and right of it.
Forced - After you enter Passenger Car: You must either discard cards from your hand with at least 2 total ή icons or take 2 damage.</t>
  </si>
  <si>
    <t>Passenger Car is connected to the locations to the left and right of it.
Forced - After you enter Passenger Car: You must either discard cards from your hand with at least 2 total ά icons or take 2 horror.</t>
  </si>
  <si>
    <t>Passenger Car is connected to the locations to the left and right of it.
Forced - After you enter Passenger Car: You must either discard cards from your hand with at least 2 total έ icons or take 2 horror.</t>
  </si>
  <si>
    <t>Passenger Car is connected to the locations to the left and right of it.
Forced - After you enter Passenger Car: You must either discard cards from your hand with at least 1 ΰ icon or take 1 damage and 1 horror.</t>
  </si>
  <si>
    <t>Sleeping Car is connected to the locations to the left and right of it.
η: Gain 3 resources. Remember that you have "stolen a passenger's luggage." (Group limit once per game).</t>
  </si>
  <si>
    <t>Dining Car is connected to the locations to the left and right of it.
Forced - After you reveal Dining Car: Search the encounter deck and discard pile for a Grappling Horror and draw it.</t>
  </si>
  <si>
    <t>Parlor Car is connected to the locations to the left and right of it.
Parlor Car cannot be investigated.
η Spend 3 resources: Discover 1 clue in the Parlor Car.</t>
  </si>
  <si>
    <t>Engine Car is connected to the locations to the left and right of it.</t>
  </si>
  <si>
    <t>There is no sign of the conductor anywhere. You have to figure out how to start the engine on your own.</t>
  </si>
  <si>
    <t>You see a foul beast atop the terrified train conductor, who cries out in panic!</t>
  </si>
  <si>
    <t>Engine Car is connected to the locations to the left and right of it.
Forced - After you reveal Engine Car: Search the encounter deck and discard pile for a Grappling Horror and draw it. Shuffle the encounter deck.</t>
  </si>
  <si>
    <t>Engine Car is connected to the locations to the left and right of it.
Forced - After you reveal Engine Car: Draw the top 3 cards of the encounter deck.</t>
  </si>
  <si>
    <t>The slain body of the conductor is draped across the many control mechanism of the engine car.</t>
  </si>
  <si>
    <t>Across Space and Time</t>
  </si>
  <si>
    <t>Revelation - Discard the top 3 cards of your deck.</t>
  </si>
  <si>
    <t>What happened on the other side?</t>
  </si>
  <si>
    <t>Helpless Passenger</t>
  </si>
  <si>
    <t>Ally. Bystander.</t>
  </si>
  <si>
    <t>Revelation - Put Helpless Passenger into play at the location to your left (or at your location if you cannot).
η Parley. Take control of Helpless Passenger.
Forced - If Helpless Passenger leaves play, each investigator takes 1 horror.</t>
  </si>
  <si>
    <t>Claws of Steam</t>
  </si>
  <si>
    <t>Revelation - Test ά (3). If you fail, take 1 damage and you cannot move from this location this round. Damage from this effect must be assigned to your assets first, if able.</t>
  </si>
  <si>
    <t>Broken Rails</t>
  </si>
  <si>
    <t>Revelation - Each investigator at your location loses 1 action. Each investigator at your location with 4 or more damage must also discard an asset he or she controls.</t>
  </si>
  <si>
    <t>Your train car begins to shake and shudder violently back and forth along the tracks, knocking you to the ground.</t>
  </si>
  <si>
    <t>Grappling Horror</t>
  </si>
  <si>
    <t>While your are engaged with Grappling Horror, you cannot move.</t>
  </si>
  <si>
    <t>Emergent Monstrosity</t>
  </si>
  <si>
    <t>Spawn - The location to your right (or your location if there is no location to your right).</t>
  </si>
  <si>
    <t>Emergent Monstrosity enters play exhausted.</t>
  </si>
  <si>
    <t>The creature erupts from underneath one of the seats, growing ceaselessly in mass and volume, threatening to envelop the entire compartment.</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</si>
  <si>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</si>
  <si>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</si>
  <si>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Each surviving investigator is immediately defeated and takes 1 mental trauma. (→R2)</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</si>
  <si>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</si>
  <si>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81a8fbd4-d909-4f56-a977-c7550199ca35</t>
  </si>
  <si>
    <t>92e8fc82-b29c-4354-9870-c01c78e4d6dc</t>
  </si>
  <si>
    <t>fe1f5f28-d17d-4142-96bb-50cc2e503a03</t>
  </si>
  <si>
    <t>14d123b4-7e84-4f2c-b66c-cdbeeaa63e73</t>
  </si>
  <si>
    <t>ccc93300-6460-4dec-b643-04f5dbe04d95</t>
  </si>
  <si>
    <t>d0a0e6f1-3447-415e-b172-6ac4164583f0</t>
  </si>
  <si>
    <t>b0a5221a-a8ac-4e95-aa69-f4d14db6ea35</t>
  </si>
  <si>
    <t>d5d914a1-c0b3-47f6-a0dd-084e32f82793</t>
  </si>
  <si>
    <t>b576d173-80c4-47bc-8180-029e2d62d798</t>
  </si>
  <si>
    <t>9f336609-2efe-4057-b813-9971fc3a8ab1</t>
  </si>
  <si>
    <t>a569b6cb-3c6a-4a0d-9132-5e3733999c68</t>
  </si>
  <si>
    <t>0614f9c4-439c-468c-9032-26894de0a91a</t>
  </si>
  <si>
    <t>3dd5149a-5fb2-4ef2-b4bd-d6d201e5b37a</t>
  </si>
  <si>
    <t>223f6b9a-eb80-4395-81f8-148e43f6fa02</t>
  </si>
  <si>
    <t>9cd4ef2c-e5e4-4a92-8c83-2e716991102b</t>
  </si>
  <si>
    <t>d357a02b-cae2-40bd-ba1b-ff4b9a91ab7e</t>
  </si>
  <si>
    <t>8f6d1951-8081-4cb5-9c41-1b82fca82e8c</t>
  </si>
  <si>
    <t>5c88c654-3334-443c-9b86-6ea4ae297143</t>
  </si>
  <si>
    <t>5cc31076-51a4-4abb-b6f4-00d215026e1a</t>
  </si>
  <si>
    <t>724e6097-f2dd-435f-80ff-a2cc9a47fc35</t>
  </si>
  <si>
    <t>bc841aea-f1a4-44c6-a288-2686d434a8d9</t>
  </si>
  <si>
    <t>5825b4b2-c721-4e48-837d-c64ce4155098</t>
  </si>
  <si>
    <t>c992c2e2-052b-404e-a2a6-2f75e584aca1</t>
  </si>
  <si>
    <t>ad694ea2-00b0-46d9-ac0d-beda8355ff74</t>
  </si>
  <si>
    <t>25e5f2d8-7ee0-46af-b185-8687583a808c</t>
  </si>
  <si>
    <t>9a87cf92-4f6e-4ee2-aeb4-abc1035f2f37</t>
  </si>
  <si>
    <t>c8936821-851e-42c9-8af4-08a7bd8f0157</t>
  </si>
  <si>
    <t>3baccecb-4651-41c4-a2ce-a611e7b3f262</t>
  </si>
  <si>
    <t>6cffd5bd-f73c-4e30-8b31-e1c01e3ab6f8</t>
  </si>
  <si>
    <t>019701ac-88b3-4acd-8419-69427c47d9cf</t>
  </si>
  <si>
    <t>1baf22a2-9f73-42d1-961a-fd0b45bf73b6</t>
  </si>
  <si>
    <t>3eb85e27-97fa-4ce5-8620-fe8e4b5ffa6f</t>
  </si>
  <si>
    <t>783e0827-167f-49bd-889b-bcad916a1c22</t>
  </si>
  <si>
    <t>239bb58e-2de9-4a26-ab50-232930c9fe36</t>
  </si>
  <si>
    <t>192aab66-ab48-42d2-92cf-f4924d0368dd</t>
  </si>
  <si>
    <t>ee79ca4a-3390-4fba-87c0-f5892c8bedf2</t>
  </si>
  <si>
    <t>0b43b040-1467-4742-9231-2000d50c9ab9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</si>
</sst>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9"/>
      <color rgb="FF373737"/>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11">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24" fillId="0" borderId="0" xfId="0" applyFont="1" applyAlignment="1">
      <alignment horizontal="left"/>
    </xf>
    <xf numFmtId="0" fontId="28" fillId="0" borderId="0" xfId="0" applyFont="1" applyAlignment="1">
      <alignment horizontal="left"/>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7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D1" sqref="D1"/>
    </sheetView>
  </sheetViews>
  <sheetFormatPr baseColWidth="10"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7" t="s">
        <v>3303</v>
      </c>
      <c r="H1" s="108"/>
      <c r="I1" s="108"/>
      <c r="J1" s="109"/>
      <c r="K1" s="30"/>
      <c r="L1" s="38"/>
      <c r="M1" s="26"/>
      <c r="N1" s="110" t="s">
        <v>4</v>
      </c>
      <c r="O1" s="110"/>
      <c r="P1" s="110"/>
      <c r="Q1" s="110"/>
      <c r="R1" s="110"/>
      <c r="S1" s="110"/>
      <c r="T1" s="110"/>
      <c r="U1" s="24"/>
      <c r="V1" s="110" t="s">
        <v>4079</v>
      </c>
      <c r="W1" s="110"/>
      <c r="X1" s="110"/>
      <c r="Y1" s="110"/>
      <c r="Z1" s="110"/>
      <c r="AA1" s="110"/>
    </row>
    <row r="2" spans="1:27" ht="18.75">
      <c r="A2" s="33" t="s">
        <v>4034</v>
      </c>
      <c r="B2" s="10" t="s">
        <v>4035</v>
      </c>
      <c r="C2" s="13" t="s">
        <v>4036</v>
      </c>
      <c r="D2" s="21"/>
      <c r="G2" s="20" t="s">
        <v>3304</v>
      </c>
      <c r="H2" s="20" t="s">
        <v>3305</v>
      </c>
      <c r="I2" s="20" t="s">
        <v>3306</v>
      </c>
      <c r="J2" s="20" t="s">
        <v>4449</v>
      </c>
      <c r="K2" s="20" t="s">
        <v>4451</v>
      </c>
      <c r="L2" s="20" t="s">
        <v>4448</v>
      </c>
      <c r="M2" s="20"/>
      <c r="N2" s="20" t="s">
        <v>4057</v>
      </c>
      <c r="O2" s="20" t="s">
        <v>4111</v>
      </c>
      <c r="P2" s="20" t="s">
        <v>27</v>
      </c>
      <c r="Q2" s="20" t="s">
        <v>4159</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220</v>
      </c>
      <c r="H3" s="27">
        <f>SUMIFS('Card Data'!$E:$E,'Card Data'!$A:$A,$A3,'Card Data'!$K:$K,"&lt;&gt;",'Card Data'!$J:$J,"&lt;&gt;Investigator")</f>
        <v>118</v>
      </c>
      <c r="I3" s="27">
        <f>SUMIFS('Card Data'!$E:$E,'Card Data'!$A:$A,$A3,'Card Data'!$K:$K,"")+SUMIFS('Card Data'!$E:$E,'Card Data'!$A:$A,$A3)-J3-K3-L3</f>
        <v>299</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23</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4753</v>
      </c>
      <c r="B4" s="14" t="s">
        <v>4754</v>
      </c>
      <c r="C4" s="35" t="s">
        <v>2107</v>
      </c>
      <c r="D4" s="14"/>
      <c r="E4" s="16" t="s">
        <v>4752</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A5" s="17" t="s">
        <v>4922</v>
      </c>
      <c r="B5" s="17" t="s">
        <v>4923</v>
      </c>
      <c r="C5" s="18" t="s">
        <v>2107</v>
      </c>
      <c r="E5" s="17" t="s">
        <v>4923</v>
      </c>
      <c r="G5" s="27">
        <f>SUMIF('Card Data'!$A:$A,$A5,'Card Data'!$E:$E)</f>
        <v>4</v>
      </c>
      <c r="H5" s="27">
        <f>SUMIFS('Card Data'!$E:$E,'Card Data'!$A:$A,$A5,'Card Data'!$K:$K,"&lt;&gt;",'Card Data'!$J:$J,"&lt;&gt;Investigator")</f>
        <v>3</v>
      </c>
      <c r="I5" s="27">
        <f>SUMIFS('Card Data'!$E:$E,'Card Data'!$A:$A,$A5,'Card Data'!$K:$K,"",'Card Data'!$J:$J,"&lt;&gt;Campaign")+SUMIFS('Card Data'!$E:$E,'Card Data'!$A:$A,$A5,'Card Data'!$K:$K,"Burden")-J5</f>
        <v>0</v>
      </c>
      <c r="J5" s="27">
        <f>SUMIFS('Card Data'!$E:$E,'Card Data'!$J:$J,J$2,'Card Data'!$A:$A,$A5,'Card Data'!$AC:$AC,"&lt;&gt;*Side Quest.*")</f>
        <v>0</v>
      </c>
      <c r="K5" s="27">
        <f>COUNTIFS('Card Data'!$J:$J,K$2,'Card Data'!$A:$A,$A5,'Card Data'!$AC:$AC,"&lt;&gt;*Side Quest.*")</f>
        <v>0</v>
      </c>
      <c r="L5" s="27">
        <f>COUNTIFS('Card Data'!$J:$J,L$2,'Card Data'!$A:$A,$A5,'Card Data'!$AC:$AC,"&lt;&gt;*Side Quest.*")</f>
        <v>0</v>
      </c>
      <c r="M5" s="29"/>
      <c r="N5" s="27">
        <f>COUNTIFS('Card Data'!$J:$J,N$2,'Card Data'!$A:$A,$A5)</f>
        <v>1</v>
      </c>
      <c r="O5" s="27">
        <f>COUNTIFS('Card Data'!$J:$J,O$2,'Card Data'!$A:$A,$A5)</f>
        <v>1</v>
      </c>
      <c r="P5" s="27">
        <f>COUNTIFS('Card Data'!$J:$J,P$2,'Card Data'!$A:$A,$A5)</f>
        <v>1</v>
      </c>
      <c r="Q5" s="27">
        <f>COUNTIFS('Card Data'!$J:$J,Q$2,'Card Data'!$A:$A,$A5)</f>
        <v>0</v>
      </c>
      <c r="R5" s="27">
        <f>COUNTIFS('Card Data'!$J:$J,R$2,'Card Data'!$A:$A,$A5)</f>
        <v>0</v>
      </c>
      <c r="S5" s="27">
        <f>COUNTIFS('Card Data'!$J:$J,S$2,'Card Data'!$A:$A,$A5)</f>
        <v>0</v>
      </c>
      <c r="T5" s="27">
        <f>COUNTIFS('Card Data'!$J:$J,T$2,'Card Data'!$A:$A,$A5)</f>
        <v>0</v>
      </c>
      <c r="U5" s="29"/>
      <c r="V5" s="27">
        <f>COUNTIFS('Card Data'!$K:$K,V$2,'Card Data'!$A:$A,$A5)</f>
        <v>0</v>
      </c>
      <c r="W5" s="27">
        <f>COUNTIFS('Card Data'!$K:$K,W$2,'Card Data'!$A:$A,$A5)</f>
        <v>0</v>
      </c>
      <c r="X5" s="27">
        <f>COUNTIFS('Card Data'!$K:$K,X$2,'Card Data'!$A:$A,$A5)</f>
        <v>0</v>
      </c>
      <c r="Y5" s="27">
        <f>COUNTIFS('Card Data'!$K:$K,Y$2,'Card Data'!$A:$A,$A5)</f>
        <v>2</v>
      </c>
      <c r="Z5" s="27">
        <f>COUNTIFS('Card Data'!$K:$K,Z$2,'Card Data'!$A:$A,$A5)</f>
        <v>0</v>
      </c>
      <c r="AA5" s="27">
        <f>COUNTIFS('Card Data'!$K:$K,AA$2,'Card Data'!$A:$A,$A5)</f>
        <v>2</v>
      </c>
    </row>
    <row r="6" spans="1:27" s="17" customFormat="1">
      <c r="A6" s="17" t="s">
        <v>4994</v>
      </c>
      <c r="B6" s="17" t="s">
        <v>4928</v>
      </c>
      <c r="C6" s="18" t="s">
        <v>2107</v>
      </c>
      <c r="E6" s="17" t="s">
        <v>4995</v>
      </c>
      <c r="G6" s="27">
        <f>SUMIF('Card Data'!$A:$A,$A6,'Card Data'!$E:$E)</f>
        <v>61</v>
      </c>
      <c r="H6" s="27">
        <f>SUMIFS('Card Data'!$E:$E,'Card Data'!$A:$A,$A6,'Card Data'!$K:$K,"&lt;&gt;",'Card Data'!$J:$J,"&lt;&gt;Investigator")</f>
        <v>8</v>
      </c>
      <c r="I6" s="27">
        <f>SUMIFS('Card Data'!$E:$E,'Card Data'!$A:$A,$A6,'Card Data'!$K:$K,"",'Card Data'!$J:$J,"&lt;&gt;Campaign")+SUMIFS('Card Data'!$E:$E,'Card Data'!$A:$A,$A6,'Card Data'!$K:$K,"Burden")-J6</f>
        <v>44</v>
      </c>
      <c r="J6" s="27">
        <f>SUMIFS('Card Data'!$E:$E,'Card Data'!$J:$J,J$2,'Card Data'!$A:$A,$A6,'Card Data'!$AC:$AC,"&lt;&gt;*Side Quest.*")</f>
        <v>3</v>
      </c>
      <c r="K6" s="27">
        <f>COUNTIFS('Card Data'!$J:$J,K$2,'Card Data'!$A:$A,$A6,'Card Data'!$AC:$AC,"&lt;&gt;*Side Quest.*")</f>
        <v>3</v>
      </c>
      <c r="L6" s="27">
        <f>COUNTIFS('Card Data'!$J:$J,L$2,'Card Data'!$A:$A,$A6,'Card Data'!$AC:$AC,"&lt;&gt;*Side Quest.*")</f>
        <v>1</v>
      </c>
      <c r="M6" s="29"/>
      <c r="N6" s="27">
        <f>COUNTIFS('Card Data'!$J:$J,N$2,'Card Data'!$A:$A,$A6)</f>
        <v>0</v>
      </c>
      <c r="O6" s="27">
        <f>COUNTIFS('Card Data'!$J:$J,O$2,'Card Data'!$A:$A,$A6)</f>
        <v>6</v>
      </c>
      <c r="P6" s="27">
        <f>COUNTIFS('Card Data'!$J:$J,P$2,'Card Data'!$A:$A,$A6)</f>
        <v>0</v>
      </c>
      <c r="Q6" s="27">
        <f>COUNTIFS('Card Data'!$J:$J,Q$2,'Card Data'!$A:$A,$A6)</f>
        <v>0</v>
      </c>
      <c r="R6" s="27">
        <f>COUNTIFS('Card Data'!$J:$J,R$2,'Card Data'!$A:$A,$A6)</f>
        <v>8</v>
      </c>
      <c r="S6" s="27">
        <f>COUNTIFS('Card Data'!$J:$J,S$2,'Card Data'!$A:$A,$A6)</f>
        <v>9</v>
      </c>
      <c r="T6" s="27">
        <f>COUNTIFS('Card Data'!$J:$J,T$2,'Card Data'!$A:$A,$A6)</f>
        <v>7</v>
      </c>
      <c r="U6" s="29"/>
      <c r="V6" s="27">
        <f>COUNTIFS('Card Data'!$K:$K,V$2,'Card Data'!$A:$A,$A6)</f>
        <v>0</v>
      </c>
      <c r="W6" s="27">
        <f>COUNTIFS('Card Data'!$K:$K,W$2,'Card Data'!$A:$A,$A6)</f>
        <v>0</v>
      </c>
      <c r="X6" s="27">
        <f>COUNTIFS('Card Data'!$K:$K,X$2,'Card Data'!$A:$A,$A6)</f>
        <v>0</v>
      </c>
      <c r="Y6" s="27">
        <f>COUNTIFS('Card Data'!$K:$K,Y$2,'Card Data'!$A:$A,$A6)</f>
        <v>0</v>
      </c>
      <c r="Z6" s="27">
        <f>COUNTIFS('Card Data'!$K:$K,Z$2,'Card Data'!$A:$A,$A6)</f>
        <v>0</v>
      </c>
      <c r="AA6" s="27">
        <f>COUNTIFS('Card Data'!$K:$K,AA$2,'Card Data'!$A:$A,$A6)</f>
        <v>6</v>
      </c>
    </row>
    <row r="7" spans="1:27">
      <c r="A7" s="15" t="s">
        <v>5084</v>
      </c>
      <c r="B7" s="15" t="s">
        <v>5085</v>
      </c>
      <c r="C7" s="18" t="s">
        <v>2107</v>
      </c>
      <c r="E7" s="15" t="s">
        <v>5086</v>
      </c>
      <c r="G7" s="27">
        <f>SUMIF('Card Data'!$A:$A,$A7,'Card Data'!$E:$E)</f>
        <v>281</v>
      </c>
      <c r="H7" s="27">
        <f>SUMIFS('Card Data'!$E:$E,'Card Data'!$A:$A,$A7,'Card Data'!$K:$K,"&lt;&gt;",'Card Data'!$J:$J,"&lt;&gt;Investigator")</f>
        <v>119</v>
      </c>
      <c r="I7" s="27">
        <f>SUMIFS('Card Data'!$E:$E,'Card Data'!$A:$A,$A7,'Card Data'!$K:$K,"",'Card Data'!$J:$J,"&lt;&gt;Campaign")+SUMIFS('Card Data'!$E:$E,'Card Data'!$A:$A,$A7,'Card Data'!$K:$K,"Burden")-J7</f>
        <v>143</v>
      </c>
      <c r="J7" s="27">
        <f>SUMIFS('Card Data'!$E:$E,'Card Data'!$J:$J,J$2,'Card Data'!$A:$A,$A7,'Card Data'!$AC:$AC,"&lt;&gt;*Side Quest.*")</f>
        <v>14</v>
      </c>
      <c r="K7" s="27">
        <f>COUNTIFS('Card Data'!$J:$J,K$2,'Card Data'!$A:$A,$A7,'Card Data'!$AC:$AC,"&lt;&gt;*Side Quest.*")</f>
        <v>13</v>
      </c>
      <c r="L7" s="27">
        <f>COUNTIFS('Card Data'!$J:$J,L$2,'Card Data'!$A:$A,$A7,'Card Data'!$AC:$AC,"&lt;&gt;*Side Quest.*")</f>
        <v>4</v>
      </c>
      <c r="M7" s="29"/>
      <c r="N7" s="27">
        <f>COUNTIFS('Card Data'!$J:$J,N$2,'Card Data'!$A:$A,$A7)</f>
        <v>5</v>
      </c>
      <c r="O7" s="27">
        <f>COUNTIFS('Card Data'!$J:$J,O$2,'Card Data'!$A:$A,$A7)</f>
        <v>41</v>
      </c>
      <c r="P7" s="27">
        <f>COUNTIFS('Card Data'!$J:$J,P$2,'Card Data'!$A:$A,$A7)</f>
        <v>18</v>
      </c>
      <c r="Q7" s="27">
        <f>COUNTIFS('Card Data'!$J:$J,Q$2,'Card Data'!$A:$A,$A7)</f>
        <v>2</v>
      </c>
      <c r="R7" s="27">
        <f>COUNTIFS('Card Data'!$J:$J,R$2,'Card Data'!$A:$A,$A7)</f>
        <v>14</v>
      </c>
      <c r="S7" s="27">
        <f>COUNTIFS('Card Data'!$J:$J,S$2,'Card Data'!$A:$A,$A7)</f>
        <v>41</v>
      </c>
      <c r="T7" s="27">
        <f>COUNTIFS('Card Data'!$J:$J,T$2,'Card Data'!$A:$A,$A7)</f>
        <v>31</v>
      </c>
      <c r="U7" s="29"/>
      <c r="V7" s="27">
        <f>COUNTIFS('Card Data'!$K:$K,V$2,'Card Data'!$A:$A,$A7)</f>
        <v>10</v>
      </c>
      <c r="W7" s="27">
        <f>COUNTIFS('Card Data'!$K:$K,W$2,'Card Data'!$A:$A,$A7)</f>
        <v>10</v>
      </c>
      <c r="X7" s="27">
        <f>COUNTIFS('Card Data'!$K:$K,X$2,'Card Data'!$A:$A,$A7)</f>
        <v>10</v>
      </c>
      <c r="Y7" s="27">
        <f>COUNTIFS('Card Data'!$K:$K,Y$2,'Card Data'!$A:$A,$A7)</f>
        <v>10</v>
      </c>
      <c r="Z7" s="27">
        <f>COUNTIFS('Card Data'!$K:$K,Z$2,'Card Data'!$A:$A,$A7)</f>
        <v>11</v>
      </c>
      <c r="AA7" s="27">
        <f>COUNTIFS('Card Data'!$K:$K,AA$2,'Card Data'!$A:$A,$A7)</f>
        <v>24</v>
      </c>
    </row>
    <row r="8" spans="1:27">
      <c r="G8" s="27">
        <f>SUMIF('Card Data'!$A:$A,$A8,'Card Data'!$E:$E)</f>
        <v>0</v>
      </c>
      <c r="H8" s="27">
        <f>SUMIFS('Card Data'!$E:$E,'Card Data'!$A:$A,$A8,'Card Data'!$K:$K,"&lt;&gt;",'Card Data'!$J:$J,"&lt;&gt;Investigator")</f>
        <v>0</v>
      </c>
      <c r="I8" s="27">
        <f>SUMIFS('Card Data'!$E:$E,'Card Data'!$A:$A,$A8,'Card Data'!$K:$K,"",'Card Data'!$J:$J,"&lt;&gt;Campaign")+SUMIFS('Card Data'!$E:$E,'Card Data'!$A:$A,$A8,'Card Data'!$K:$K,"Burden")-J8</f>
        <v>0</v>
      </c>
      <c r="J8" s="27">
        <f>SUMIFS('Card Data'!$E:$E,'Card Data'!$J:$J,J$2,'Card Data'!$A:$A,$A8,'Card Data'!$AC:$AC,"&lt;&gt;*Side Quest.*")</f>
        <v>0</v>
      </c>
      <c r="K8" s="27">
        <f>COUNTIFS('Card Data'!$J:$J,K$2,'Card Data'!$A:$A,$A8,'Card Data'!$AC:$AC,"&lt;&gt;*Side Quest.*")</f>
        <v>0</v>
      </c>
      <c r="L8" s="27">
        <f>COUNTIFS('Card Data'!$J:$J,L$2,'Card Data'!$A:$A,$A8,'Card Data'!$AC:$AC,"&lt;&gt;*Side Quest.*")</f>
        <v>0</v>
      </c>
      <c r="M8" s="29"/>
      <c r="N8" s="27">
        <f>COUNTIFS('Card Data'!$J:$J,N$2,'Card Data'!$A:$A,$A8)</f>
        <v>0</v>
      </c>
      <c r="O8" s="27">
        <f>COUNTIFS('Card Data'!$J:$J,O$2,'Card Data'!$A:$A,$A8)</f>
        <v>0</v>
      </c>
      <c r="P8" s="27">
        <f>COUNTIFS('Card Data'!$J:$J,P$2,'Card Data'!$A:$A,$A8)</f>
        <v>0</v>
      </c>
      <c r="Q8" s="27">
        <f>COUNTIFS('Card Data'!$J:$J,Q$2,'Card Data'!$A:$A,$A8)</f>
        <v>0</v>
      </c>
      <c r="R8" s="27">
        <f>COUNTIFS('Card Data'!$J:$J,R$2,'Card Data'!$A:$A,$A8)</f>
        <v>0</v>
      </c>
      <c r="S8" s="27">
        <f>COUNTIFS('Card Data'!$J:$J,S$2,'Card Data'!$A:$A,$A8)</f>
        <v>0</v>
      </c>
      <c r="T8" s="27">
        <f>COUNTIFS('Card Data'!$J:$J,T$2,'Card Data'!$A:$A,$A8)</f>
        <v>0</v>
      </c>
      <c r="U8" s="29"/>
      <c r="V8" s="27">
        <f>COUNTIFS('Card Data'!$K:$K,V$2,'Card Data'!$A:$A,$A8)</f>
        <v>0</v>
      </c>
      <c r="W8" s="27">
        <f>COUNTIFS('Card Data'!$K:$K,W$2,'Card Data'!$A:$A,$A8)</f>
        <v>0</v>
      </c>
      <c r="X8" s="27">
        <f>COUNTIFS('Card Data'!$K:$K,X$2,'Card Data'!$A:$A,$A8)</f>
        <v>0</v>
      </c>
      <c r="Y8" s="27">
        <f>COUNTIFS('Card Data'!$K:$K,Y$2,'Card Data'!$A:$A,$A8)</f>
        <v>0</v>
      </c>
      <c r="Z8" s="27">
        <f>COUNTIFS('Card Data'!$K:$K,Z$2,'Card Data'!$A:$A,$A8)</f>
        <v>0</v>
      </c>
      <c r="AA8" s="27">
        <f>COUNTIFS('Card Data'!$K:$K,AA$2,'Card Data'!$A:$A,$A8)</f>
        <v>0</v>
      </c>
    </row>
    <row r="9" spans="1:27">
      <c r="G9" s="27">
        <f>SUMIF('Card Data'!$A:$A,$A9,'Card Data'!$E:$E)</f>
        <v>0</v>
      </c>
      <c r="H9" s="27">
        <f>SUMIFS('Card Data'!$E:$E,'Card Data'!$A:$A,$A9,'Card Data'!$K:$K,"&lt;&gt;",'Card Data'!$J:$J,"&lt;&gt;Investigator")</f>
        <v>0</v>
      </c>
      <c r="I9" s="27">
        <f>SUMIFS('Card Data'!$E:$E,'Card Data'!$A:$A,$A9,'Card Data'!$K:$K,"",'Card Data'!$J:$J,"&lt;&gt;Campaign")+SUMIFS('Card Data'!$E:$E,'Card Data'!$A:$A,$A9,'Card Data'!$K:$K,"Burden")-J9</f>
        <v>0</v>
      </c>
      <c r="J9" s="27">
        <f>SUMIFS('Card Data'!$E:$E,'Card Data'!$J:$J,J$2,'Card Data'!$A:$A,$A9,'Card Data'!$AC:$AC,"&lt;&gt;*Side Quest.*")</f>
        <v>0</v>
      </c>
      <c r="K9" s="27">
        <f>COUNTIFS('Card Data'!$J:$J,K$2,'Card Data'!$A:$A,$A9,'Card Data'!$AC:$AC,"&lt;&gt;*Side Quest.*")</f>
        <v>0</v>
      </c>
      <c r="L9" s="27">
        <f>COUNTIFS('Card Data'!$J:$J,L$2,'Card Data'!$A:$A,$A9,'Card Data'!$AC:$AC,"&lt;&gt;*Side Quest.*")</f>
        <v>0</v>
      </c>
      <c r="M9" s="29"/>
      <c r="N9" s="27">
        <f>COUNTIFS('Card Data'!$J:$J,N$2,'Card Data'!$A:$A,$A9)</f>
        <v>0</v>
      </c>
      <c r="O9" s="27">
        <f>COUNTIFS('Card Data'!$J:$J,O$2,'Card Data'!$A:$A,$A9)</f>
        <v>0</v>
      </c>
      <c r="P9" s="27">
        <f>COUNTIFS('Card Data'!$J:$J,P$2,'Card Data'!$A:$A,$A9)</f>
        <v>0</v>
      </c>
      <c r="Q9" s="27">
        <f>COUNTIFS('Card Data'!$J:$J,Q$2,'Card Data'!$A:$A,$A9)</f>
        <v>0</v>
      </c>
      <c r="R9" s="27">
        <f>COUNTIFS('Card Data'!$J:$J,R$2,'Card Data'!$A:$A,$A9)</f>
        <v>0</v>
      </c>
      <c r="S9" s="27">
        <f>COUNTIFS('Card Data'!$J:$J,S$2,'Card Data'!$A:$A,$A9)</f>
        <v>0</v>
      </c>
      <c r="T9" s="27">
        <f>COUNTIFS('Card Data'!$J:$J,T$2,'Card Data'!$A:$A,$A9)</f>
        <v>0</v>
      </c>
      <c r="U9" s="29"/>
      <c r="V9" s="27">
        <f>COUNTIFS('Card Data'!$K:$K,V$2,'Card Data'!$A:$A,$A9)</f>
        <v>0</v>
      </c>
      <c r="W9" s="27">
        <f>COUNTIFS('Card Data'!$K:$K,W$2,'Card Data'!$A:$A,$A9)</f>
        <v>0</v>
      </c>
      <c r="X9" s="27">
        <f>COUNTIFS('Card Data'!$K:$K,X$2,'Card Data'!$A:$A,$A9)</f>
        <v>0</v>
      </c>
      <c r="Y9" s="27">
        <f>COUNTIFS('Card Data'!$K:$K,Y$2,'Card Data'!$A:$A,$A9)</f>
        <v>0</v>
      </c>
      <c r="Z9" s="27">
        <f>COUNTIFS('Card Data'!$K:$K,Z$2,'Card Data'!$A:$A,$A9)</f>
        <v>0</v>
      </c>
      <c r="AA9" s="27">
        <f>COUNTIFS('Card Data'!$K:$K,AA$2,'Card Data'!$A:$A,$A9)</f>
        <v>0</v>
      </c>
    </row>
    <row r="10" spans="1:27">
      <c r="G10" s="27">
        <f>SUMIF('Card Data'!$A:$A,$A10,'Card Data'!$E:$E)</f>
        <v>0</v>
      </c>
      <c r="H10" s="27">
        <f>SUMIFS('Card Data'!$E:$E,'Card Data'!$A:$A,$A10,'Card Data'!$K:$K,"&lt;&gt;",'Card Data'!$J:$J,"&lt;&gt;Investigator")</f>
        <v>0</v>
      </c>
      <c r="I10" s="27">
        <f>SUMIFS('Card Data'!$E:$E,'Card Data'!$A:$A,$A10,'Card Data'!$K:$K,"",'Card Data'!$J:$J,"&lt;&gt;Campaign")+SUMIFS('Card Data'!$E:$E,'Card Data'!$A:$A,$A10,'Card Data'!$K:$K,"Burden")-J10</f>
        <v>0</v>
      </c>
      <c r="J10" s="27">
        <f>SUMIFS('Card Data'!$E:$E,'Card Data'!$J:$J,J$2,'Card Data'!$A:$A,$A10,'Card Data'!$AC:$AC,"&lt;&gt;*Side Quest.*")</f>
        <v>0</v>
      </c>
      <c r="K10" s="27">
        <f>COUNTIFS('Card Data'!$J:$J,K$2,'Card Data'!$A:$A,$A10,'Card Data'!$AC:$AC,"&lt;&gt;*Side Quest.*")</f>
        <v>0</v>
      </c>
      <c r="L10" s="27">
        <f>COUNTIFS('Card Data'!$J:$J,L$2,'Card Data'!$A:$A,$A10,'Card Data'!$AC:$AC,"&lt;&gt;*Side Quest.*")</f>
        <v>0</v>
      </c>
      <c r="M10" s="29"/>
      <c r="N10" s="27">
        <f>COUNTIFS('Card Data'!$J:$J,N$2,'Card Data'!$A:$A,$A10)</f>
        <v>0</v>
      </c>
      <c r="O10" s="27">
        <f>COUNTIFS('Card Data'!$J:$J,O$2,'Card Data'!$A:$A,$A10)</f>
        <v>0</v>
      </c>
      <c r="P10" s="27">
        <f>COUNTIFS('Card Data'!$J:$J,P$2,'Card Data'!$A:$A,$A10)</f>
        <v>0</v>
      </c>
      <c r="Q10" s="27">
        <f>COUNTIFS('Card Data'!$J:$J,Q$2,'Card Data'!$A:$A,$A10)</f>
        <v>0</v>
      </c>
      <c r="R10" s="27">
        <f>COUNTIFS('Card Data'!$J:$J,R$2,'Card Data'!$A:$A,$A10)</f>
        <v>0</v>
      </c>
      <c r="S10" s="27">
        <f>COUNTIFS('Card Data'!$J:$J,S$2,'Card Data'!$A:$A,$A10)</f>
        <v>0</v>
      </c>
      <c r="T10" s="27">
        <f>COUNTIFS('Card Data'!$J:$J,T$2,'Card Data'!$A:$A,$A10)</f>
        <v>0</v>
      </c>
      <c r="U10" s="29"/>
      <c r="V10" s="27">
        <f>COUNTIFS('Card Data'!$K:$K,V$2,'Card Data'!$A:$A,$A10)</f>
        <v>0</v>
      </c>
      <c r="W10" s="27">
        <f>COUNTIFS('Card Data'!$K:$K,W$2,'Card Data'!$A:$A,$A10)</f>
        <v>0</v>
      </c>
      <c r="X10" s="27">
        <f>COUNTIFS('Card Data'!$K:$K,X$2,'Card Data'!$A:$A,$A10)</f>
        <v>0</v>
      </c>
      <c r="Y10" s="27">
        <f>COUNTIFS('Card Data'!$K:$K,Y$2,'Card Data'!$A:$A,$A10)</f>
        <v>0</v>
      </c>
      <c r="Z10" s="27">
        <f>COUNTIFS('Card Data'!$K:$K,Z$2,'Card Data'!$A:$A,$A10)</f>
        <v>0</v>
      </c>
      <c r="AA10" s="27">
        <f>COUNTIFS('Card Data'!$K:$K,AA$2,'Card Data'!$A:$A,$A10)</f>
        <v>0</v>
      </c>
    </row>
    <row r="11" spans="1:27">
      <c r="G11" s="27">
        <f>SUMIF('Card Data'!$A:$A,$A11,'Card Data'!$E:$E)</f>
        <v>0</v>
      </c>
      <c r="H11" s="27">
        <f>SUMIFS('Card Data'!$E:$E,'Card Data'!$A:$A,$A11,'Card Data'!$K:$K,"&lt;&gt;",'Card Data'!$J:$J,"&lt;&gt;Investigator")</f>
        <v>0</v>
      </c>
      <c r="I11" s="27">
        <f>SUMIFS('Card Data'!$E:$E,'Card Data'!$A:$A,$A11,'Card Data'!$K:$K,"",'Card Data'!$J:$J,"&lt;&gt;Campaign")+SUMIFS('Card Data'!$E:$E,'Card Data'!$A:$A,$A11,'Card Data'!$K:$K,"Burden")-J11</f>
        <v>0</v>
      </c>
      <c r="J11" s="27">
        <f>SUMIFS('Card Data'!$E:$E,'Card Data'!$J:$J,J$2,'Card Data'!$A:$A,$A11,'Card Data'!$AC:$AC,"&lt;&gt;*Side Quest.*")</f>
        <v>0</v>
      </c>
      <c r="K11" s="27">
        <f>COUNTIFS('Card Data'!$J:$J,K$2,'Card Data'!$A:$A,$A11,'Card Data'!$AC:$AC,"&lt;&gt;*Side Quest.*")</f>
        <v>0</v>
      </c>
      <c r="L11" s="27">
        <f>COUNTIFS('Card Data'!$J:$J,L$2,'Card Data'!$A:$A,$A11,'Card Data'!$AC:$AC,"&lt;&gt;*Side Quest.*")</f>
        <v>0</v>
      </c>
      <c r="M11" s="29"/>
      <c r="N11" s="27">
        <f>COUNTIFS('Card Data'!$J:$J,N$2,'Card Data'!$A:$A,$A11)</f>
        <v>0</v>
      </c>
      <c r="O11" s="27">
        <f>COUNTIFS('Card Data'!$J:$J,O$2,'Card Data'!$A:$A,$A11)</f>
        <v>0</v>
      </c>
      <c r="P11" s="27">
        <f>COUNTIFS('Card Data'!$J:$J,P$2,'Card Data'!$A:$A,$A11)</f>
        <v>0</v>
      </c>
      <c r="Q11" s="27">
        <f>COUNTIFS('Card Data'!$J:$J,Q$2,'Card Data'!$A:$A,$A11)</f>
        <v>0</v>
      </c>
      <c r="R11" s="27">
        <f>COUNTIFS('Card Data'!$J:$J,R$2,'Card Data'!$A:$A,$A11)</f>
        <v>0</v>
      </c>
      <c r="S11" s="27">
        <f>COUNTIFS('Card Data'!$J:$J,S$2,'Card Data'!$A:$A,$A11)</f>
        <v>0</v>
      </c>
      <c r="T11" s="27">
        <f>COUNTIFS('Card Data'!$J:$J,T$2,'Card Data'!$A:$A,$A11)</f>
        <v>0</v>
      </c>
      <c r="U11" s="29"/>
      <c r="V11" s="27">
        <f>COUNTIFS('Card Data'!$K:$K,V$2,'Card Data'!$A:$A,$A11)</f>
        <v>0</v>
      </c>
      <c r="W11" s="27">
        <f>COUNTIFS('Card Data'!$K:$K,W$2,'Card Data'!$A:$A,$A11)</f>
        <v>0</v>
      </c>
      <c r="X11" s="27">
        <f>COUNTIFS('Card Data'!$K:$K,X$2,'Card Data'!$A:$A,$A11)</f>
        <v>0</v>
      </c>
      <c r="Y11" s="27">
        <f>COUNTIFS('Card Data'!$K:$K,Y$2,'Card Data'!$A:$A,$A11)</f>
        <v>0</v>
      </c>
      <c r="Z11" s="27">
        <f>COUNTIFS('Card Data'!$K:$K,Z$2,'Card Data'!$A:$A,$A11)</f>
        <v>0</v>
      </c>
      <c r="AA11" s="27">
        <f>COUNTIFS('Card Data'!$K:$K,AA$2,'Card Data'!$A:$A,$A11)</f>
        <v>0</v>
      </c>
    </row>
    <row r="12" spans="1:27">
      <c r="G12" s="27">
        <f>SUMIF('Card Data'!$A:$A,$A12,'Card Data'!$E:$E)</f>
        <v>0</v>
      </c>
      <c r="H12" s="27">
        <f>SUMIFS('Card Data'!$E:$E,'Card Data'!$A:$A,$A12,'Card Data'!$K:$K,"&lt;&gt;",'Card Data'!$J:$J,"&lt;&gt;Investigator")</f>
        <v>0</v>
      </c>
      <c r="I12" s="27">
        <f>SUMIFS('Card Data'!$E:$E,'Card Data'!$A:$A,$A12,'Card Data'!$K:$K,"",'Card Data'!$J:$J,"&lt;&gt;Campaign")+SUMIFS('Card Data'!$E:$E,'Card Data'!$A:$A,$A12,'Card Data'!$K:$K,"Burden")-J12</f>
        <v>0</v>
      </c>
      <c r="J12" s="27">
        <f>SUMIFS('Card Data'!$E:$E,'Card Data'!$J:$J,J$2,'Card Data'!$A:$A,$A12,'Card Data'!$AC:$AC,"&lt;&gt;*Side Quest.*")</f>
        <v>0</v>
      </c>
      <c r="K12" s="27">
        <f>COUNTIFS('Card Data'!$J:$J,K$2,'Card Data'!$A:$A,$A12,'Card Data'!$AC:$AC,"&lt;&gt;*Side Quest.*")</f>
        <v>0</v>
      </c>
      <c r="L12" s="27">
        <f>COUNTIFS('Card Data'!$J:$J,L$2,'Card Data'!$A:$A,$A12,'Card Data'!$AC:$AC,"&lt;&gt;*Side Quest.*")</f>
        <v>0</v>
      </c>
      <c r="M12" s="29"/>
      <c r="N12" s="27">
        <f>COUNTIFS('Card Data'!$J:$J,N$2,'Card Data'!$A:$A,$A12)</f>
        <v>0</v>
      </c>
      <c r="O12" s="27">
        <f>COUNTIFS('Card Data'!$J:$J,O$2,'Card Data'!$A:$A,$A12)</f>
        <v>0</v>
      </c>
      <c r="P12" s="27">
        <f>COUNTIFS('Card Data'!$J:$J,P$2,'Card Data'!$A:$A,$A12)</f>
        <v>0</v>
      </c>
      <c r="Q12" s="27">
        <f>COUNTIFS('Card Data'!$J:$J,Q$2,'Card Data'!$A:$A,$A12)</f>
        <v>0</v>
      </c>
      <c r="R12" s="27">
        <f>COUNTIFS('Card Data'!$J:$J,R$2,'Card Data'!$A:$A,$A12)</f>
        <v>0</v>
      </c>
      <c r="S12" s="27">
        <f>COUNTIFS('Card Data'!$J:$J,S$2,'Card Data'!$A:$A,$A12)</f>
        <v>0</v>
      </c>
      <c r="T12" s="27">
        <f>COUNTIFS('Card Data'!$J:$J,T$2,'Card Data'!$A:$A,$A12)</f>
        <v>0</v>
      </c>
      <c r="U12" s="29"/>
      <c r="V12" s="27">
        <f>COUNTIFS('Card Data'!$K:$K,V$2,'Card Data'!$A:$A,$A12)</f>
        <v>0</v>
      </c>
      <c r="W12" s="27">
        <f>COUNTIFS('Card Data'!$K:$K,W$2,'Card Data'!$A:$A,$A12)</f>
        <v>0</v>
      </c>
      <c r="X12" s="27">
        <f>COUNTIFS('Card Data'!$K:$K,X$2,'Card Data'!$A:$A,$A12)</f>
        <v>0</v>
      </c>
      <c r="Y12" s="27">
        <f>COUNTIFS('Card Data'!$K:$K,Y$2,'Card Data'!$A:$A,$A12)</f>
        <v>0</v>
      </c>
      <c r="Z12" s="27">
        <f>COUNTIFS('Card Data'!$K:$K,Z$2,'Card Data'!$A:$A,$A12)</f>
        <v>0</v>
      </c>
      <c r="AA12" s="27">
        <f>COUNTIFS('Card Data'!$K:$K,AA$2,'Card Data'!$A:$A,$A12)</f>
        <v>0</v>
      </c>
    </row>
    <row r="13" spans="1:27">
      <c r="G13" s="27">
        <f>SUMIF('Card Data'!$A:$A,$A13,'Card Data'!$E:$E)</f>
        <v>0</v>
      </c>
      <c r="H13" s="27">
        <f>SUMIFS('Card Data'!$E:$E,'Card Data'!$A:$A,$A13,'Card Data'!$K:$K,"&lt;&gt;",'Card Data'!$J:$J,"&lt;&gt;Investigator")</f>
        <v>0</v>
      </c>
      <c r="I13" s="27">
        <f>SUMIFS('Card Data'!$E:$E,'Card Data'!$A:$A,$A13,'Card Data'!$K:$K,"",'Card Data'!$J:$J,"&lt;&gt;Campaign")+SUMIFS('Card Data'!$E:$E,'Card Data'!$A:$A,$A13,'Card Data'!$K:$K,"Burden")-J13</f>
        <v>0</v>
      </c>
      <c r="J13" s="27">
        <f>SUMIFS('Card Data'!$E:$E,'Card Data'!$J:$J,J$2,'Card Data'!$A:$A,$A13,'Card Data'!$AC:$AC,"&lt;&gt;*Side Quest.*")</f>
        <v>0</v>
      </c>
      <c r="K13" s="27">
        <f>COUNTIFS('Card Data'!$J:$J,K$2,'Card Data'!$A:$A,$A13,'Card Data'!$AC:$AC,"&lt;&gt;*Side Quest.*")</f>
        <v>0</v>
      </c>
      <c r="L13" s="27">
        <f>COUNTIFS('Card Data'!$J:$J,L$2,'Card Data'!$A:$A,$A13,'Card Data'!$AC:$AC,"&lt;&gt;*Side Quest.*")</f>
        <v>0</v>
      </c>
      <c r="M13" s="29"/>
      <c r="N13" s="27">
        <f>COUNTIFS('Card Data'!$J:$J,N$2,'Card Data'!$A:$A,$A13)</f>
        <v>0</v>
      </c>
      <c r="O13" s="27">
        <f>COUNTIFS('Card Data'!$J:$J,O$2,'Card Data'!$A:$A,$A13)</f>
        <v>0</v>
      </c>
      <c r="P13" s="27">
        <f>COUNTIFS('Card Data'!$J:$J,P$2,'Card Data'!$A:$A,$A13)</f>
        <v>0</v>
      </c>
      <c r="Q13" s="27">
        <f>COUNTIFS('Card Data'!$J:$J,Q$2,'Card Data'!$A:$A,$A13)</f>
        <v>0</v>
      </c>
      <c r="R13" s="27">
        <f>COUNTIFS('Card Data'!$J:$J,R$2,'Card Data'!$A:$A,$A13)</f>
        <v>0</v>
      </c>
      <c r="S13" s="27">
        <f>COUNTIFS('Card Data'!$J:$J,S$2,'Card Data'!$A:$A,$A13)</f>
        <v>0</v>
      </c>
      <c r="T13" s="27">
        <f>COUNTIFS('Card Data'!$J:$J,T$2,'Card Data'!$A:$A,$A13)</f>
        <v>0</v>
      </c>
      <c r="U13" s="29"/>
      <c r="V13" s="27">
        <f>COUNTIFS('Card Data'!$K:$K,V$2,'Card Data'!$A:$A,$A13)</f>
        <v>0</v>
      </c>
      <c r="W13" s="27">
        <f>COUNTIFS('Card Data'!$K:$K,W$2,'Card Data'!$A:$A,$A13)</f>
        <v>0</v>
      </c>
      <c r="X13" s="27">
        <f>COUNTIFS('Card Data'!$K:$K,X$2,'Card Data'!$A:$A,$A13)</f>
        <v>0</v>
      </c>
      <c r="Y13" s="27">
        <f>COUNTIFS('Card Data'!$K:$K,Y$2,'Card Data'!$A:$A,$A13)</f>
        <v>0</v>
      </c>
      <c r="Z13" s="27">
        <f>COUNTIFS('Card Data'!$K:$K,Z$2,'Card Data'!$A:$A,$A13)</f>
        <v>0</v>
      </c>
      <c r="AA13" s="27">
        <f>COUNTIFS('Card Data'!$K:$K,AA$2,'Card Data'!$A:$A,$A13)</f>
        <v>0</v>
      </c>
    </row>
  </sheetData>
  <mergeCells count="3">
    <mergeCell ref="G1:J1"/>
    <mergeCell ref="N1:T1"/>
    <mergeCell ref="V1:AA1"/>
  </mergeCells>
  <conditionalFormatting sqref="V2">
    <cfRule type="cellIs" dxfId="275" priority="29" operator="equal">
      <formula>"Fellowship"</formula>
    </cfRule>
    <cfRule type="cellIs" dxfId="274" priority="30" operator="equal">
      <formula>"Neutral"</formula>
    </cfRule>
    <cfRule type="cellIs" dxfId="273" priority="31" operator="equal">
      <formula>"Baggins"</formula>
    </cfRule>
    <cfRule type="cellIs" dxfId="272" priority="32" operator="equal">
      <formula>"Lore"</formula>
    </cfRule>
    <cfRule type="cellIs" dxfId="271" priority="33" operator="equal">
      <formula>"Spirit"</formula>
    </cfRule>
    <cfRule type="cellIs" dxfId="270" priority="34" operator="equal">
      <formula>"Tactics"</formula>
    </cfRule>
    <cfRule type="cellIs" dxfId="269" priority="35" operator="equal">
      <formula>"Leadership"</formula>
    </cfRule>
  </conditionalFormatting>
  <conditionalFormatting sqref="W2">
    <cfRule type="cellIs" dxfId="268" priority="22" operator="equal">
      <formula>"Fellowship"</formula>
    </cfRule>
    <cfRule type="cellIs" dxfId="267" priority="23" operator="equal">
      <formula>"Neutral"</formula>
    </cfRule>
    <cfRule type="cellIs" dxfId="266" priority="24" operator="equal">
      <formula>"Baggins"</formula>
    </cfRule>
    <cfRule type="cellIs" dxfId="265" priority="25" operator="equal">
      <formula>"Lore"</formula>
    </cfRule>
    <cfRule type="cellIs" dxfId="264" priority="26" operator="equal">
      <formula>"Spirit"</formula>
    </cfRule>
    <cfRule type="cellIs" dxfId="263" priority="27" operator="equal">
      <formula>"Tactics"</formula>
    </cfRule>
    <cfRule type="cellIs" dxfId="262" priority="28" operator="equal">
      <formula>"Leadership"</formula>
    </cfRule>
  </conditionalFormatting>
  <conditionalFormatting sqref="X2">
    <cfRule type="cellIs" dxfId="261" priority="15" operator="equal">
      <formula>"Fellowship"</formula>
    </cfRule>
    <cfRule type="cellIs" dxfId="260" priority="16" operator="equal">
      <formula>"Neutral"</formula>
    </cfRule>
    <cfRule type="cellIs" dxfId="259" priority="17" operator="equal">
      <formula>"Baggins"</formula>
    </cfRule>
    <cfRule type="cellIs" dxfId="258" priority="18" operator="equal">
      <formula>"Lore"</formula>
    </cfRule>
    <cfRule type="cellIs" dxfId="257" priority="19" operator="equal">
      <formula>"Spirit"</formula>
    </cfRule>
    <cfRule type="cellIs" dxfId="256" priority="20" operator="equal">
      <formula>"Tactics"</formula>
    </cfRule>
    <cfRule type="cellIs" dxfId="255" priority="21" operator="equal">
      <formula>"Leadership"</formula>
    </cfRule>
  </conditionalFormatting>
  <conditionalFormatting sqref="Y2:Z2">
    <cfRule type="cellIs" dxfId="254" priority="8" operator="equal">
      <formula>"Fellowship"</formula>
    </cfRule>
    <cfRule type="cellIs" dxfId="253" priority="9" operator="equal">
      <formula>"Neutral"</formula>
    </cfRule>
    <cfRule type="cellIs" dxfId="252" priority="10" operator="equal">
      <formula>"Baggins"</formula>
    </cfRule>
    <cfRule type="cellIs" dxfId="251" priority="11" operator="equal">
      <formula>"Lore"</formula>
    </cfRule>
    <cfRule type="cellIs" dxfId="250" priority="12" operator="equal">
      <formula>"Spirit"</formula>
    </cfRule>
    <cfRule type="cellIs" dxfId="249" priority="13" operator="equal">
      <formula>"Tactics"</formula>
    </cfRule>
    <cfRule type="cellIs" dxfId="248" priority="14" operator="equal">
      <formula>"Leadership"</formula>
    </cfRule>
  </conditionalFormatting>
  <conditionalFormatting sqref="AA2">
    <cfRule type="cellIs" dxfId="247" priority="1" operator="equal">
      <formula>"Fellowship"</formula>
    </cfRule>
    <cfRule type="cellIs" dxfId="246" priority="2" operator="equal">
      <formula>"Neutral"</formula>
    </cfRule>
    <cfRule type="cellIs" dxfId="245" priority="3" operator="equal">
      <formula>"Baggins"</formula>
    </cfRule>
    <cfRule type="cellIs" dxfId="244" priority="4" operator="equal">
      <formula>"Lore"</formula>
    </cfRule>
    <cfRule type="cellIs" dxfId="243" priority="5" operator="equal">
      <formula>"Spirit"</formula>
    </cfRule>
    <cfRule type="cellIs" dxfId="242" priority="6" operator="equal">
      <formula>"Tactics"</formula>
    </cfRule>
    <cfRule type="cellIs" dxfId="24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9"/>
  <sheetViews>
    <sheetView tabSelected="1" workbookViewId="0">
      <pane xSplit="7" ySplit="1" topLeftCell="H2" activePane="bottomRight" state="frozen"/>
      <selection activeCell="E1" sqref="E1"/>
      <selection pane="topRight" activeCell="F1" sqref="F1"/>
      <selection pane="bottomLeft" activeCell="E2" sqref="E2"/>
      <selection pane="bottomRight" activeCell="F432" sqref="F432"/>
    </sheetView>
  </sheetViews>
  <sheetFormatPr baseColWidth="10" defaultColWidth="9.140625" defaultRowHeight="12" outlineLevelCol="1"/>
  <cols>
    <col min="1" max="1" width="32" style="39" customWidth="1" outlineLevel="1"/>
    <col min="2" max="2" width="33.140625" style="39" customWidth="1" outlineLevel="1"/>
    <col min="3" max="3" width="5.710937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30.140625" style="40" customWidth="1"/>
    <col min="31" max="31" width="49.5703125" style="39" customWidth="1"/>
    <col min="32" max="32" width="31.8554687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36.8554687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4472</v>
      </c>
      <c r="Y1" s="44" t="s">
        <v>4091</v>
      </c>
      <c r="Z1" s="52" t="s">
        <v>20</v>
      </c>
      <c r="AA1" s="46" t="s">
        <v>4084</v>
      </c>
      <c r="AB1" s="46" t="s">
        <v>4471</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4472</v>
      </c>
      <c r="AZ1" s="47" t="s">
        <v>4091</v>
      </c>
      <c r="BA1" s="55" t="s">
        <v>20</v>
      </c>
      <c r="BB1" s="49" t="s">
        <v>4084</v>
      </c>
      <c r="BC1" s="49" t="s">
        <v>4471</v>
      </c>
      <c r="BD1" s="49" t="s">
        <v>6</v>
      </c>
      <c r="BE1" s="48" t="s">
        <v>7</v>
      </c>
      <c r="BF1" s="49" t="s">
        <v>15</v>
      </c>
      <c r="BG1" s="49" t="s">
        <v>4092</v>
      </c>
      <c r="BH1" s="49" t="s">
        <v>21</v>
      </c>
      <c r="BI1" s="56" t="s">
        <v>4473</v>
      </c>
    </row>
    <row r="2" spans="1:61" ht="36.75" customHeight="1">
      <c r="A2" s="57" t="s">
        <v>4037</v>
      </c>
      <c r="B2" s="57" t="s">
        <v>4324</v>
      </c>
      <c r="C2" s="57" t="s">
        <v>57</v>
      </c>
      <c r="D2" s="58">
        <v>1</v>
      </c>
      <c r="E2" s="57">
        <v>1</v>
      </c>
      <c r="F2" s="57"/>
      <c r="G2" s="57" t="s">
        <v>4038</v>
      </c>
      <c r="H2" s="59" t="s">
        <v>4081</v>
      </c>
      <c r="I2" s="39" t="s">
        <v>4077</v>
      </c>
      <c r="J2" s="39" t="s">
        <v>4057</v>
      </c>
      <c r="K2" s="39" t="s">
        <v>4052</v>
      </c>
      <c r="O2" s="60">
        <v>3</v>
      </c>
      <c r="P2" s="61">
        <v>3</v>
      </c>
      <c r="Q2" s="62">
        <v>4</v>
      </c>
      <c r="R2" s="63">
        <v>2</v>
      </c>
      <c r="S2" s="43">
        <v>9</v>
      </c>
      <c r="T2" s="60">
        <v>5</v>
      </c>
      <c r="AA2" s="101"/>
      <c r="AC2" s="39" t="s">
        <v>4082</v>
      </c>
      <c r="AE2" s="39" t="s">
        <v>4093</v>
      </c>
      <c r="AH2" s="59" t="s">
        <v>4038</v>
      </c>
      <c r="AI2" s="59" t="s">
        <v>4081</v>
      </c>
      <c r="AJ2" s="39" t="s">
        <v>4077</v>
      </c>
      <c r="AK2" s="39" t="s">
        <v>4057</v>
      </c>
      <c r="AL2" s="39" t="s">
        <v>4052</v>
      </c>
      <c r="AN2" s="40"/>
      <c r="BD2" s="40"/>
      <c r="BE2" s="39"/>
      <c r="BF2" s="39" t="s">
        <v>5755</v>
      </c>
    </row>
    <row r="3" spans="1:61" ht="72">
      <c r="A3" s="39" t="s">
        <v>4037</v>
      </c>
      <c r="B3" s="39" t="s">
        <v>4325</v>
      </c>
      <c r="C3" s="39" t="s">
        <v>57</v>
      </c>
      <c r="D3" s="40">
        <v>2</v>
      </c>
      <c r="E3" s="39">
        <v>1</v>
      </c>
      <c r="G3" s="39" t="s">
        <v>4094</v>
      </c>
      <c r="H3" s="39" t="s">
        <v>4095</v>
      </c>
      <c r="I3" s="39" t="s">
        <v>4077</v>
      </c>
      <c r="J3" s="39" t="s">
        <v>4057</v>
      </c>
      <c r="K3" s="39" t="s">
        <v>4053</v>
      </c>
      <c r="O3" s="60">
        <v>3</v>
      </c>
      <c r="P3" s="61">
        <v>5</v>
      </c>
      <c r="Q3" s="62">
        <v>2</v>
      </c>
      <c r="R3" s="63">
        <v>2</v>
      </c>
      <c r="S3" s="43">
        <v>5</v>
      </c>
      <c r="T3" s="60">
        <v>9</v>
      </c>
      <c r="AA3" s="101"/>
      <c r="AC3" s="39" t="s">
        <v>4096</v>
      </c>
      <c r="AE3" s="39" t="s">
        <v>4097</v>
      </c>
      <c r="AH3" s="39" t="s">
        <v>4094</v>
      </c>
      <c r="AI3" s="39" t="s">
        <v>4095</v>
      </c>
      <c r="AJ3" s="39" t="s">
        <v>4077</v>
      </c>
      <c r="AK3" s="39" t="s">
        <v>4057</v>
      </c>
      <c r="AL3" s="39" t="s">
        <v>4053</v>
      </c>
      <c r="AN3" s="40"/>
      <c r="BD3" s="40"/>
      <c r="BE3" s="39"/>
      <c r="BF3" s="39" t="s">
        <v>5756</v>
      </c>
    </row>
    <row r="4" spans="1:61" ht="60">
      <c r="A4" s="39" t="s">
        <v>4037</v>
      </c>
      <c r="B4" s="39" t="s">
        <v>4326</v>
      </c>
      <c r="C4" s="39" t="s">
        <v>57</v>
      </c>
      <c r="D4" s="40">
        <v>3</v>
      </c>
      <c r="E4" s="39">
        <v>1</v>
      </c>
      <c r="G4" s="39" t="s">
        <v>4098</v>
      </c>
      <c r="H4" s="39" t="s">
        <v>4099</v>
      </c>
      <c r="I4" s="39" t="s">
        <v>4077</v>
      </c>
      <c r="J4" s="39" t="s">
        <v>4057</v>
      </c>
      <c r="K4" s="39" t="s">
        <v>4055</v>
      </c>
      <c r="O4" s="60">
        <v>2</v>
      </c>
      <c r="P4" s="61">
        <v>3</v>
      </c>
      <c r="Q4" s="62">
        <v>3</v>
      </c>
      <c r="R4" s="63">
        <v>4</v>
      </c>
      <c r="S4" s="43">
        <v>8</v>
      </c>
      <c r="T4" s="60">
        <v>6</v>
      </c>
      <c r="AA4" s="101"/>
      <c r="AC4" s="39" t="s">
        <v>4100</v>
      </c>
      <c r="AE4" s="39" t="s">
        <v>4101</v>
      </c>
      <c r="AH4" s="39" t="s">
        <v>4098</v>
      </c>
      <c r="AI4" s="39" t="s">
        <v>4099</v>
      </c>
      <c r="AJ4" s="39" t="s">
        <v>4077</v>
      </c>
      <c r="AK4" s="39" t="s">
        <v>4057</v>
      </c>
      <c r="AL4" s="39" t="s">
        <v>4055</v>
      </c>
      <c r="AN4" s="40"/>
      <c r="BD4" s="40"/>
      <c r="BE4" s="39"/>
      <c r="BF4" s="39" t="s">
        <v>5757</v>
      </c>
    </row>
    <row r="5" spans="1:61" ht="72">
      <c r="A5" s="39" t="s">
        <v>4037</v>
      </c>
      <c r="B5" s="39" t="s">
        <v>4327</v>
      </c>
      <c r="C5" s="39" t="s">
        <v>57</v>
      </c>
      <c r="D5" s="40">
        <v>4</v>
      </c>
      <c r="E5" s="39">
        <v>1</v>
      </c>
      <c r="G5" s="39" t="s">
        <v>4102</v>
      </c>
      <c r="H5" s="39" t="s">
        <v>4103</v>
      </c>
      <c r="I5" s="39" t="s">
        <v>4077</v>
      </c>
      <c r="J5" s="39" t="s">
        <v>4057</v>
      </c>
      <c r="K5" s="39" t="s">
        <v>4054</v>
      </c>
      <c r="O5" s="60">
        <v>5</v>
      </c>
      <c r="P5" s="61">
        <v>2</v>
      </c>
      <c r="Q5" s="62">
        <v>2</v>
      </c>
      <c r="R5" s="63">
        <v>3</v>
      </c>
      <c r="S5" s="43">
        <v>6</v>
      </c>
      <c r="T5" s="60">
        <v>8</v>
      </c>
      <c r="AA5" s="101"/>
      <c r="AC5" s="39" t="s">
        <v>4104</v>
      </c>
      <c r="AE5" s="39" t="s">
        <v>4105</v>
      </c>
      <c r="AH5" s="39" t="s">
        <v>4102</v>
      </c>
      <c r="AI5" s="39" t="s">
        <v>4103</v>
      </c>
      <c r="AJ5" s="39" t="s">
        <v>4077</v>
      </c>
      <c r="AK5" s="39" t="s">
        <v>4057</v>
      </c>
      <c r="AL5" s="39" t="s">
        <v>4054</v>
      </c>
      <c r="AN5" s="40"/>
      <c r="BD5" s="40"/>
      <c r="BE5" s="39"/>
      <c r="BF5" s="39" t="s">
        <v>5758</v>
      </c>
    </row>
    <row r="6" spans="1:61" ht="72">
      <c r="A6" s="39" t="s">
        <v>4037</v>
      </c>
      <c r="B6" s="39" t="s">
        <v>4328</v>
      </c>
      <c r="C6" s="39" t="s">
        <v>57</v>
      </c>
      <c r="D6" s="39">
        <v>5</v>
      </c>
      <c r="E6" s="39">
        <v>1</v>
      </c>
      <c r="G6" s="39" t="s">
        <v>4106</v>
      </c>
      <c r="H6" s="39" t="s">
        <v>4107</v>
      </c>
      <c r="I6" s="39" t="s">
        <v>4077</v>
      </c>
      <c r="J6" s="39" t="s">
        <v>4057</v>
      </c>
      <c r="K6" s="39" t="s">
        <v>4056</v>
      </c>
      <c r="N6" s="39"/>
      <c r="O6" s="60">
        <v>4</v>
      </c>
      <c r="P6" s="61">
        <v>3</v>
      </c>
      <c r="Q6" s="62">
        <v>1</v>
      </c>
      <c r="R6" s="63">
        <v>4</v>
      </c>
      <c r="S6" s="43">
        <v>7</v>
      </c>
      <c r="T6" s="60">
        <v>7</v>
      </c>
      <c r="AA6" s="101"/>
      <c r="AC6" s="39" t="s">
        <v>4108</v>
      </c>
      <c r="AD6" s="39"/>
      <c r="AE6" s="39" t="s">
        <v>4109</v>
      </c>
      <c r="AH6" s="39" t="s">
        <v>4106</v>
      </c>
      <c r="AI6" s="39" t="s">
        <v>4107</v>
      </c>
      <c r="AJ6" s="39" t="s">
        <v>4077</v>
      </c>
      <c r="AK6" s="39" t="s">
        <v>4057</v>
      </c>
      <c r="AL6" s="39" t="s">
        <v>4056</v>
      </c>
      <c r="AN6" s="40"/>
      <c r="AO6" s="39"/>
      <c r="BD6" s="40"/>
      <c r="BE6" s="39"/>
      <c r="BF6" s="39" t="s">
        <v>5759</v>
      </c>
    </row>
    <row r="7" spans="1:61" ht="36">
      <c r="A7" s="39" t="s">
        <v>4037</v>
      </c>
      <c r="B7" s="39" t="s">
        <v>4329</v>
      </c>
      <c r="C7" s="39" t="s">
        <v>57</v>
      </c>
      <c r="D7" s="39">
        <v>6</v>
      </c>
      <c r="E7" s="39">
        <v>1</v>
      </c>
      <c r="G7" s="39" t="s">
        <v>4110</v>
      </c>
      <c r="I7" s="39" t="s">
        <v>4077</v>
      </c>
      <c r="J7" s="39" t="s">
        <v>4111</v>
      </c>
      <c r="K7" s="39" t="s">
        <v>26</v>
      </c>
      <c r="N7" s="39">
        <v>3</v>
      </c>
      <c r="AA7" s="103" t="s">
        <v>4877</v>
      </c>
      <c r="AB7" s="39" t="s">
        <v>4112</v>
      </c>
      <c r="AC7" s="39" t="s">
        <v>4113</v>
      </c>
      <c r="AD7" s="39" t="s">
        <v>5614</v>
      </c>
      <c r="AE7" s="39" t="s">
        <v>5612</v>
      </c>
      <c r="AN7" s="40"/>
      <c r="AO7" s="39"/>
      <c r="BD7" s="40"/>
      <c r="BE7" s="39"/>
    </row>
    <row r="8" spans="1:61" ht="72">
      <c r="A8" s="39" t="s">
        <v>4037</v>
      </c>
      <c r="B8" s="39" t="s">
        <v>4330</v>
      </c>
      <c r="C8" s="39" t="s">
        <v>57</v>
      </c>
      <c r="D8" s="39">
        <v>7</v>
      </c>
      <c r="E8" s="39">
        <v>1</v>
      </c>
      <c r="G8" s="39" t="s">
        <v>4114</v>
      </c>
      <c r="J8" s="39" t="s">
        <v>28</v>
      </c>
      <c r="K8" s="39" t="s">
        <v>26</v>
      </c>
      <c r="M8" s="39" t="s">
        <v>4477</v>
      </c>
      <c r="N8" s="39"/>
      <c r="AA8" s="101"/>
      <c r="AC8" s="39" t="s">
        <v>4115</v>
      </c>
      <c r="AD8" s="39"/>
      <c r="AE8" s="39" t="s">
        <v>4116</v>
      </c>
      <c r="AN8" s="40"/>
      <c r="AO8" s="39"/>
      <c r="BD8" s="40"/>
      <c r="BE8" s="39"/>
    </row>
    <row r="9" spans="1:61" ht="24">
      <c r="A9" s="39" t="s">
        <v>4037</v>
      </c>
      <c r="B9" s="39" t="s">
        <v>4331</v>
      </c>
      <c r="C9" s="39" t="s">
        <v>57</v>
      </c>
      <c r="D9" s="39">
        <v>8</v>
      </c>
      <c r="E9" s="39">
        <v>1</v>
      </c>
      <c r="G9" s="39" t="s">
        <v>4117</v>
      </c>
      <c r="I9" s="39" t="s">
        <v>4077</v>
      </c>
      <c r="J9" s="39" t="s">
        <v>4111</v>
      </c>
      <c r="K9" s="39" t="s">
        <v>26</v>
      </c>
      <c r="N9" s="39">
        <v>2</v>
      </c>
      <c r="AA9" s="103" t="s">
        <v>4878</v>
      </c>
      <c r="AC9" s="39" t="s">
        <v>4118</v>
      </c>
      <c r="AD9" s="39" t="s">
        <v>5616</v>
      </c>
      <c r="AE9" s="39" t="s">
        <v>5615</v>
      </c>
      <c r="AN9" s="40"/>
      <c r="AO9" s="39"/>
      <c r="BD9" s="40"/>
      <c r="BE9" s="39"/>
    </row>
    <row r="10" spans="1:61" ht="72">
      <c r="A10" s="39" t="s">
        <v>4037</v>
      </c>
      <c r="B10" s="39" t="s">
        <v>4332</v>
      </c>
      <c r="C10" s="39" t="s">
        <v>57</v>
      </c>
      <c r="D10" s="39">
        <v>9</v>
      </c>
      <c r="E10" s="39">
        <v>1</v>
      </c>
      <c r="G10" s="39" t="s">
        <v>4119</v>
      </c>
      <c r="H10" s="39" t="s">
        <v>4120</v>
      </c>
      <c r="J10" s="39" t="s">
        <v>4111</v>
      </c>
      <c r="K10" s="39" t="s">
        <v>26</v>
      </c>
      <c r="M10" s="39" t="s">
        <v>4477</v>
      </c>
      <c r="N10" s="68" t="s">
        <v>38</v>
      </c>
      <c r="AA10" s="101"/>
      <c r="AB10" s="39" t="s">
        <v>4112</v>
      </c>
      <c r="AC10" s="39" t="s">
        <v>4121</v>
      </c>
      <c r="AD10" s="39"/>
      <c r="AE10" s="39" t="s">
        <v>4122</v>
      </c>
      <c r="AN10" s="40"/>
      <c r="AO10" s="39"/>
      <c r="BD10" s="40"/>
      <c r="BE10" s="39"/>
    </row>
    <row r="11" spans="1:61" ht="36">
      <c r="A11" s="39" t="s">
        <v>4037</v>
      </c>
      <c r="B11" s="39" t="s">
        <v>4478</v>
      </c>
      <c r="C11" s="39" t="s">
        <v>57</v>
      </c>
      <c r="D11" s="39">
        <v>10</v>
      </c>
      <c r="E11" s="39">
        <v>1</v>
      </c>
      <c r="G11" s="39" t="s">
        <v>4474</v>
      </c>
      <c r="J11" s="39" t="s">
        <v>27</v>
      </c>
      <c r="K11" s="39" t="s">
        <v>26</v>
      </c>
      <c r="N11" s="39">
        <v>1</v>
      </c>
      <c r="AA11" s="103" t="s">
        <v>4879</v>
      </c>
      <c r="AC11" s="39" t="s">
        <v>4154</v>
      </c>
      <c r="AD11" s="39" t="s">
        <v>4475</v>
      </c>
      <c r="AE11" s="39" t="s">
        <v>4476</v>
      </c>
      <c r="AN11" s="40"/>
      <c r="AO11" s="39"/>
      <c r="BD11" s="40"/>
      <c r="BE11" s="39"/>
    </row>
    <row r="12" spans="1:61" ht="72">
      <c r="A12" s="39" t="s">
        <v>4037</v>
      </c>
      <c r="B12" s="39" t="s">
        <v>4333</v>
      </c>
      <c r="C12" s="39" t="s">
        <v>57</v>
      </c>
      <c r="D12" s="39">
        <v>11</v>
      </c>
      <c r="E12" s="39">
        <v>1</v>
      </c>
      <c r="G12" s="39" t="s">
        <v>4123</v>
      </c>
      <c r="J12" s="39" t="s">
        <v>28</v>
      </c>
      <c r="K12" s="39" t="s">
        <v>26</v>
      </c>
      <c r="M12" s="39" t="s">
        <v>4477</v>
      </c>
      <c r="N12" s="39"/>
      <c r="AA12" s="101"/>
      <c r="AC12" s="39" t="s">
        <v>4115</v>
      </c>
      <c r="AD12" s="39"/>
      <c r="AE12" s="39" t="s">
        <v>4124</v>
      </c>
      <c r="AN12" s="40"/>
      <c r="AO12" s="39"/>
      <c r="BD12" s="40"/>
      <c r="BE12" s="39"/>
    </row>
    <row r="13" spans="1:61" ht="24">
      <c r="A13" s="39" t="s">
        <v>4037</v>
      </c>
      <c r="B13" s="39" t="s">
        <v>4334</v>
      </c>
      <c r="C13" s="39" t="s">
        <v>57</v>
      </c>
      <c r="D13" s="39">
        <v>12</v>
      </c>
      <c r="E13" s="39">
        <v>1</v>
      </c>
      <c r="G13" s="39" t="s">
        <v>4125</v>
      </c>
      <c r="H13" s="39" t="s">
        <v>4126</v>
      </c>
      <c r="I13" s="39" t="s">
        <v>4077</v>
      </c>
      <c r="J13" s="39" t="s">
        <v>4111</v>
      </c>
      <c r="K13" s="39" t="s">
        <v>26</v>
      </c>
      <c r="N13" s="39">
        <v>3</v>
      </c>
      <c r="AA13" s="103" t="s">
        <v>4880</v>
      </c>
      <c r="AB13" s="39" t="s">
        <v>4127</v>
      </c>
      <c r="AC13" s="39" t="s">
        <v>4128</v>
      </c>
      <c r="AD13" s="39" t="s">
        <v>5618</v>
      </c>
      <c r="AE13" s="39" t="s">
        <v>5617</v>
      </c>
      <c r="AN13" s="40"/>
      <c r="AO13" s="39"/>
      <c r="BD13" s="40"/>
      <c r="BE13" s="39"/>
    </row>
    <row r="14" spans="1:61" ht="48">
      <c r="A14" s="39" t="s">
        <v>4037</v>
      </c>
      <c r="B14" s="39" t="s">
        <v>4335</v>
      </c>
      <c r="C14" s="39" t="s">
        <v>57</v>
      </c>
      <c r="D14" s="39">
        <v>13</v>
      </c>
      <c r="E14" s="39">
        <v>1</v>
      </c>
      <c r="G14" s="39" t="s">
        <v>4129</v>
      </c>
      <c r="J14" s="39" t="s">
        <v>27</v>
      </c>
      <c r="K14" s="39" t="s">
        <v>26</v>
      </c>
      <c r="M14" s="39" t="s">
        <v>4477</v>
      </c>
      <c r="N14" s="39">
        <v>2</v>
      </c>
      <c r="AA14" s="101"/>
      <c r="AC14" s="39" t="s">
        <v>4130</v>
      </c>
      <c r="AD14" s="39"/>
      <c r="AE14" s="39" t="s">
        <v>4131</v>
      </c>
      <c r="AN14" s="40"/>
      <c r="AO14" s="39"/>
      <c r="BD14" s="40"/>
      <c r="BE14" s="39"/>
    </row>
    <row r="15" spans="1:61" ht="48">
      <c r="A15" s="39" t="s">
        <v>4037</v>
      </c>
      <c r="B15" s="39" t="s">
        <v>4336</v>
      </c>
      <c r="C15" s="39" t="s">
        <v>57</v>
      </c>
      <c r="D15" s="39">
        <v>14</v>
      </c>
      <c r="E15" s="39">
        <v>1</v>
      </c>
      <c r="G15" s="39" t="s">
        <v>4132</v>
      </c>
      <c r="I15" s="39" t="s">
        <v>4077</v>
      </c>
      <c r="J15" s="39" t="s">
        <v>4111</v>
      </c>
      <c r="K15" s="39" t="s">
        <v>26</v>
      </c>
      <c r="N15" s="39">
        <v>2</v>
      </c>
      <c r="AA15" s="103" t="s">
        <v>4881</v>
      </c>
      <c r="AB15" s="39" t="s">
        <v>4127</v>
      </c>
      <c r="AC15" s="39" t="s">
        <v>4128</v>
      </c>
      <c r="AD15" s="39" t="s">
        <v>5620</v>
      </c>
      <c r="AE15" s="39" t="s">
        <v>5619</v>
      </c>
      <c r="AN15" s="40"/>
      <c r="AO15" s="39"/>
      <c r="BD15" s="40"/>
      <c r="BE15" s="39"/>
    </row>
    <row r="16" spans="1:61" ht="24">
      <c r="A16" s="39" t="s">
        <v>4037</v>
      </c>
      <c r="B16" s="39" t="s">
        <v>4337</v>
      </c>
      <c r="C16" s="39" t="s">
        <v>57</v>
      </c>
      <c r="D16" s="39">
        <v>15</v>
      </c>
      <c r="E16" s="39">
        <v>1</v>
      </c>
      <c r="G16" s="39" t="s">
        <v>4133</v>
      </c>
      <c r="J16" s="39" t="s">
        <v>28</v>
      </c>
      <c r="K16" s="39" t="s">
        <v>26</v>
      </c>
      <c r="M16" s="39" t="s">
        <v>4477</v>
      </c>
      <c r="N16" s="39"/>
      <c r="AA16" s="101"/>
      <c r="AC16" s="39" t="s">
        <v>4134</v>
      </c>
      <c r="AD16" s="39"/>
      <c r="AE16" s="39" t="s">
        <v>4135</v>
      </c>
      <c r="AN16" s="40"/>
      <c r="AO16" s="39"/>
      <c r="BD16" s="40"/>
      <c r="BE16" s="39"/>
    </row>
    <row r="17" spans="1:57" ht="24">
      <c r="A17" s="39" t="s">
        <v>4037</v>
      </c>
      <c r="B17" s="39" t="s">
        <v>4338</v>
      </c>
      <c r="C17" s="39" t="s">
        <v>57</v>
      </c>
      <c r="D17" s="39">
        <v>16</v>
      </c>
      <c r="E17" s="39">
        <v>1</v>
      </c>
      <c r="G17" s="39" t="s">
        <v>4136</v>
      </c>
      <c r="J17" s="39" t="s">
        <v>4111</v>
      </c>
      <c r="K17" s="39" t="s">
        <v>4052</v>
      </c>
      <c r="N17" s="39">
        <v>4</v>
      </c>
      <c r="AA17" s="103" t="s">
        <v>4061</v>
      </c>
      <c r="AB17" s="39" t="s">
        <v>4112</v>
      </c>
      <c r="AC17" s="39" t="s">
        <v>4113</v>
      </c>
      <c r="AD17" s="39" t="s">
        <v>5613</v>
      </c>
      <c r="AE17" s="39" t="s">
        <v>5621</v>
      </c>
      <c r="AN17" s="40"/>
      <c r="AO17" s="39"/>
      <c r="BD17" s="40"/>
      <c r="BE17" s="39"/>
    </row>
    <row r="18" spans="1:57" ht="24">
      <c r="A18" s="39" t="s">
        <v>4037</v>
      </c>
      <c r="B18" s="39" t="s">
        <v>4339</v>
      </c>
      <c r="C18" s="39" t="s">
        <v>57</v>
      </c>
      <c r="D18" s="39">
        <v>17</v>
      </c>
      <c r="E18" s="39">
        <v>1</v>
      </c>
      <c r="G18" s="39" t="s">
        <v>4137</v>
      </c>
      <c r="J18" s="39" t="s">
        <v>4111</v>
      </c>
      <c r="K18" s="39" t="s">
        <v>4052</v>
      </c>
      <c r="N18" s="39">
        <v>2</v>
      </c>
      <c r="AA18" s="103" t="s">
        <v>4882</v>
      </c>
      <c r="AC18" s="39" t="s">
        <v>4138</v>
      </c>
      <c r="AD18" s="39"/>
      <c r="AE18" s="39" t="s">
        <v>4139</v>
      </c>
      <c r="AN18" s="40"/>
      <c r="AO18" s="39"/>
      <c r="BD18" s="40"/>
      <c r="BE18" s="39"/>
    </row>
    <row r="19" spans="1:57" ht="36">
      <c r="A19" s="39" t="s">
        <v>4037</v>
      </c>
      <c r="B19" s="39" t="s">
        <v>4340</v>
      </c>
      <c r="C19" s="39" t="s">
        <v>57</v>
      </c>
      <c r="D19" s="39">
        <v>18</v>
      </c>
      <c r="E19" s="39">
        <v>1</v>
      </c>
      <c r="G19" s="39" t="s">
        <v>4140</v>
      </c>
      <c r="J19" s="39" t="s">
        <v>4111</v>
      </c>
      <c r="K19" s="39" t="s">
        <v>4052</v>
      </c>
      <c r="N19" s="39">
        <v>4</v>
      </c>
      <c r="S19" s="43">
        <v>2</v>
      </c>
      <c r="T19" s="60">
        <v>2</v>
      </c>
      <c r="AA19" s="103" t="s">
        <v>4060</v>
      </c>
      <c r="AB19" s="39" t="s">
        <v>25</v>
      </c>
      <c r="AC19" s="39" t="s">
        <v>4141</v>
      </c>
      <c r="AD19" s="39"/>
      <c r="AE19" s="39" t="s">
        <v>4142</v>
      </c>
      <c r="AN19" s="40"/>
      <c r="AO19" s="39"/>
      <c r="BD19" s="40"/>
      <c r="BE19" s="39"/>
    </row>
    <row r="20" spans="1:57" ht="24">
      <c r="A20" s="39" t="s">
        <v>4037</v>
      </c>
      <c r="B20" s="39" t="s">
        <v>4341</v>
      </c>
      <c r="C20" s="39" t="s">
        <v>57</v>
      </c>
      <c r="D20" s="39">
        <v>19</v>
      </c>
      <c r="E20" s="39">
        <v>1</v>
      </c>
      <c r="G20" s="39" t="s">
        <v>4143</v>
      </c>
      <c r="J20" s="39" t="s">
        <v>4111</v>
      </c>
      <c r="K20" s="39" t="s">
        <v>4052</v>
      </c>
      <c r="N20" s="39">
        <v>2</v>
      </c>
      <c r="AA20" s="103" t="s">
        <v>4058</v>
      </c>
      <c r="AC20" s="39" t="s">
        <v>4144</v>
      </c>
      <c r="AD20" s="39" t="s">
        <v>5623</v>
      </c>
      <c r="AE20" s="39" t="s">
        <v>5622</v>
      </c>
      <c r="AN20" s="40"/>
      <c r="AO20" s="39"/>
      <c r="BD20" s="40"/>
      <c r="BE20" s="39"/>
    </row>
    <row r="21" spans="1:57" ht="36">
      <c r="A21" s="39" t="s">
        <v>4037</v>
      </c>
      <c r="B21" s="39" t="s">
        <v>4342</v>
      </c>
      <c r="C21" s="39" t="s">
        <v>57</v>
      </c>
      <c r="D21" s="39">
        <v>20</v>
      </c>
      <c r="E21" s="39">
        <v>1</v>
      </c>
      <c r="G21" s="39" t="s">
        <v>4145</v>
      </c>
      <c r="J21" s="39" t="s">
        <v>4111</v>
      </c>
      <c r="K21" s="39" t="s">
        <v>4052</v>
      </c>
      <c r="N21" s="39">
        <v>3</v>
      </c>
      <c r="AA21" s="103" t="s">
        <v>4060</v>
      </c>
      <c r="AB21" s="39" t="s">
        <v>4112</v>
      </c>
      <c r="AC21" s="39" t="s">
        <v>4146</v>
      </c>
      <c r="AD21" s="39"/>
      <c r="AE21" s="39" t="s">
        <v>4147</v>
      </c>
      <c r="AN21" s="40"/>
      <c r="AO21" s="39"/>
      <c r="BD21" s="40"/>
      <c r="BE21" s="39"/>
    </row>
    <row r="22" spans="1:57" ht="24">
      <c r="A22" s="39" t="s">
        <v>4037</v>
      </c>
      <c r="B22" s="39" t="s">
        <v>4343</v>
      </c>
      <c r="C22" s="39" t="s">
        <v>57</v>
      </c>
      <c r="D22" s="39">
        <v>21</v>
      </c>
      <c r="E22" s="39">
        <v>1</v>
      </c>
      <c r="G22" s="39" t="s">
        <v>4148</v>
      </c>
      <c r="J22" s="39" t="s">
        <v>4111</v>
      </c>
      <c r="K22" s="39" t="s">
        <v>4052</v>
      </c>
      <c r="N22" s="39">
        <v>3</v>
      </c>
      <c r="S22" s="43">
        <v>3</v>
      </c>
      <c r="T22" s="60">
        <v>1</v>
      </c>
      <c r="AA22" s="103" t="s">
        <v>4060</v>
      </c>
      <c r="AB22" s="39" t="s">
        <v>25</v>
      </c>
      <c r="AC22" s="39" t="s">
        <v>4149</v>
      </c>
      <c r="AD22" s="39"/>
      <c r="AE22" s="39" t="s">
        <v>4150</v>
      </c>
      <c r="AN22" s="40"/>
      <c r="AO22" s="39"/>
      <c r="BD22" s="40"/>
      <c r="BE22" s="39"/>
    </row>
    <row r="23" spans="1:57" ht="15.75">
      <c r="A23" s="39" t="s">
        <v>4037</v>
      </c>
      <c r="B23" s="39" t="s">
        <v>4344</v>
      </c>
      <c r="C23" s="39" t="s">
        <v>57</v>
      </c>
      <c r="D23" s="39">
        <v>22</v>
      </c>
      <c r="E23" s="39">
        <v>1</v>
      </c>
      <c r="G23" s="39" t="s">
        <v>4151</v>
      </c>
      <c r="J23" s="39" t="s">
        <v>27</v>
      </c>
      <c r="K23" s="39" t="s">
        <v>4052</v>
      </c>
      <c r="N23" s="39">
        <v>1</v>
      </c>
      <c r="AA23" s="103" t="s">
        <v>4883</v>
      </c>
      <c r="AC23" s="39" t="s">
        <v>4152</v>
      </c>
      <c r="AD23" s="39" t="s">
        <v>5625</v>
      </c>
      <c r="AE23" s="39" t="s">
        <v>5624</v>
      </c>
      <c r="AN23" s="40"/>
      <c r="AO23" s="39"/>
      <c r="BD23" s="40"/>
      <c r="BE23" s="39"/>
    </row>
    <row r="24" spans="1:57" ht="36">
      <c r="A24" s="39" t="s">
        <v>4037</v>
      </c>
      <c r="B24" s="39" t="s">
        <v>4345</v>
      </c>
      <c r="C24" s="39" t="s">
        <v>57</v>
      </c>
      <c r="D24" s="39">
        <v>23</v>
      </c>
      <c r="E24" s="39">
        <v>1</v>
      </c>
      <c r="G24" s="39" t="s">
        <v>4153</v>
      </c>
      <c r="J24" s="39" t="s">
        <v>27</v>
      </c>
      <c r="K24" s="39" t="s">
        <v>4052</v>
      </c>
      <c r="N24" s="39">
        <v>1</v>
      </c>
      <c r="AA24" s="103" t="s">
        <v>4884</v>
      </c>
      <c r="AC24" s="39" t="s">
        <v>4154</v>
      </c>
      <c r="AD24" s="39"/>
      <c r="AE24" s="39" t="s">
        <v>4155</v>
      </c>
      <c r="AN24" s="40"/>
      <c r="AO24" s="39"/>
      <c r="BD24" s="40"/>
      <c r="BE24" s="39"/>
    </row>
    <row r="25" spans="1:57" ht="36">
      <c r="A25" s="39" t="s">
        <v>4037</v>
      </c>
      <c r="B25" s="39" t="s">
        <v>4346</v>
      </c>
      <c r="C25" s="39" t="s">
        <v>57</v>
      </c>
      <c r="D25" s="39">
        <v>24</v>
      </c>
      <c r="E25" s="39">
        <v>1</v>
      </c>
      <c r="G25" s="39" t="s">
        <v>4156</v>
      </c>
      <c r="J25" s="39" t="s">
        <v>27</v>
      </c>
      <c r="K25" s="39" t="s">
        <v>4052</v>
      </c>
      <c r="N25" s="39">
        <v>5</v>
      </c>
      <c r="AA25" s="103" t="s">
        <v>4058</v>
      </c>
      <c r="AC25" s="39" t="s">
        <v>4154</v>
      </c>
      <c r="AD25" s="39"/>
      <c r="AE25" s="39" t="s">
        <v>4157</v>
      </c>
      <c r="AN25" s="40"/>
      <c r="AO25" s="39"/>
      <c r="BD25" s="40"/>
      <c r="BE25" s="39"/>
    </row>
    <row r="26" spans="1:57" ht="24">
      <c r="A26" s="39" t="s">
        <v>4037</v>
      </c>
      <c r="B26" s="39" t="s">
        <v>4347</v>
      </c>
      <c r="C26" s="39" t="s">
        <v>57</v>
      </c>
      <c r="D26" s="39">
        <v>25</v>
      </c>
      <c r="E26" s="39">
        <v>1</v>
      </c>
      <c r="G26" s="39" t="s">
        <v>4158</v>
      </c>
      <c r="J26" s="39" t="s">
        <v>4159</v>
      </c>
      <c r="K26" s="39" t="s">
        <v>4052</v>
      </c>
      <c r="N26" s="39"/>
      <c r="AA26" s="103" t="s">
        <v>4060</v>
      </c>
      <c r="AC26" s="39" t="s">
        <v>4160</v>
      </c>
      <c r="AD26" s="39"/>
      <c r="AE26" s="39" t="s">
        <v>4161</v>
      </c>
      <c r="AN26" s="40"/>
      <c r="AO26" s="39"/>
      <c r="BD26" s="40"/>
      <c r="BE26" s="39"/>
    </row>
    <row r="27" spans="1:57" ht="24">
      <c r="A27" s="39" t="s">
        <v>4037</v>
      </c>
      <c r="B27" s="39" t="s">
        <v>4348</v>
      </c>
      <c r="C27" s="39" t="s">
        <v>57</v>
      </c>
      <c r="D27" s="39">
        <v>26</v>
      </c>
      <c r="E27" s="39">
        <v>1</v>
      </c>
      <c r="G27" s="39" t="s">
        <v>4162</v>
      </c>
      <c r="J27" s="39" t="s">
        <v>27</v>
      </c>
      <c r="K27" s="39" t="s">
        <v>4052</v>
      </c>
      <c r="L27" s="39">
        <v>1</v>
      </c>
      <c r="N27" s="39">
        <v>2</v>
      </c>
      <c r="AA27" s="103" t="s">
        <v>4059</v>
      </c>
      <c r="AC27" s="39" t="s">
        <v>4163</v>
      </c>
      <c r="AD27" s="39"/>
      <c r="AE27" s="39" t="s">
        <v>4164</v>
      </c>
      <c r="AN27" s="40"/>
      <c r="AO27" s="39"/>
      <c r="BD27" s="40"/>
      <c r="BE27" s="39"/>
    </row>
    <row r="28" spans="1:57" ht="48">
      <c r="A28" s="39" t="s">
        <v>4037</v>
      </c>
      <c r="B28" s="39" t="s">
        <v>4349</v>
      </c>
      <c r="C28" s="39" t="s">
        <v>57</v>
      </c>
      <c r="D28" s="39">
        <v>27</v>
      </c>
      <c r="E28" s="39">
        <v>1</v>
      </c>
      <c r="G28" s="39" t="s">
        <v>4165</v>
      </c>
      <c r="J28" s="39" t="s">
        <v>4111</v>
      </c>
      <c r="K28" s="39" t="s">
        <v>4052</v>
      </c>
      <c r="L28" s="39">
        <v>2</v>
      </c>
      <c r="N28" s="39">
        <v>3</v>
      </c>
      <c r="AA28" s="103" t="s">
        <v>4885</v>
      </c>
      <c r="AB28" s="39" t="s">
        <v>4127</v>
      </c>
      <c r="AC28" s="39" t="s">
        <v>4118</v>
      </c>
      <c r="AD28" s="39"/>
      <c r="AE28" s="39" t="s">
        <v>4166</v>
      </c>
      <c r="AN28" s="40"/>
      <c r="AO28" s="39"/>
      <c r="BD28" s="40"/>
      <c r="BE28" s="39"/>
    </row>
    <row r="29" spans="1:57" ht="36">
      <c r="A29" s="39" t="s">
        <v>4037</v>
      </c>
      <c r="B29" s="39" t="s">
        <v>4350</v>
      </c>
      <c r="C29" s="39" t="s">
        <v>57</v>
      </c>
      <c r="D29" s="39">
        <v>28</v>
      </c>
      <c r="E29" s="39">
        <v>1</v>
      </c>
      <c r="G29" s="39" t="s">
        <v>4140</v>
      </c>
      <c r="J29" s="39" t="s">
        <v>4111</v>
      </c>
      <c r="K29" s="39" t="s">
        <v>4052</v>
      </c>
      <c r="L29" s="39">
        <v>2</v>
      </c>
      <c r="N29" s="39">
        <v>4</v>
      </c>
      <c r="S29" s="43">
        <v>3</v>
      </c>
      <c r="T29" s="60">
        <v>2</v>
      </c>
      <c r="AA29" s="103" t="s">
        <v>4886</v>
      </c>
      <c r="AB29" s="39" t="s">
        <v>25</v>
      </c>
      <c r="AC29" s="39" t="s">
        <v>4141</v>
      </c>
      <c r="AD29" s="39"/>
      <c r="AE29" s="39" t="s">
        <v>4167</v>
      </c>
      <c r="AN29" s="40"/>
      <c r="AO29" s="39"/>
      <c r="BD29" s="40"/>
      <c r="BE29" s="39"/>
    </row>
    <row r="30" spans="1:57" ht="72">
      <c r="A30" s="39" t="s">
        <v>4037</v>
      </c>
      <c r="B30" s="39" t="s">
        <v>4351</v>
      </c>
      <c r="C30" s="39" t="s">
        <v>57</v>
      </c>
      <c r="D30" s="39">
        <v>29</v>
      </c>
      <c r="E30" s="39">
        <v>1</v>
      </c>
      <c r="G30" s="39" t="s">
        <v>4168</v>
      </c>
      <c r="J30" s="39" t="s">
        <v>4111</v>
      </c>
      <c r="K30" s="39" t="s">
        <v>4052</v>
      </c>
      <c r="L30" s="39">
        <v>4</v>
      </c>
      <c r="N30" s="39">
        <v>5</v>
      </c>
      <c r="AA30" s="103" t="s">
        <v>4887</v>
      </c>
      <c r="AB30" s="39" t="s">
        <v>4169</v>
      </c>
      <c r="AC30" s="39" t="s">
        <v>4113</v>
      </c>
      <c r="AD30" s="39" t="s">
        <v>5627</v>
      </c>
      <c r="AE30" s="39" t="s">
        <v>5626</v>
      </c>
      <c r="AN30" s="40"/>
      <c r="AO30" s="39"/>
      <c r="BD30" s="40"/>
      <c r="BE30" s="39"/>
    </row>
    <row r="31" spans="1:57" ht="15.75">
      <c r="A31" s="39" t="s">
        <v>4037</v>
      </c>
      <c r="B31" s="39" t="s">
        <v>4352</v>
      </c>
      <c r="C31" s="39" t="s">
        <v>57</v>
      </c>
      <c r="D31" s="39">
        <v>30</v>
      </c>
      <c r="E31" s="39">
        <v>1</v>
      </c>
      <c r="G31" s="39" t="s">
        <v>4170</v>
      </c>
      <c r="J31" s="39" t="s">
        <v>4111</v>
      </c>
      <c r="K31" s="39" t="s">
        <v>4053</v>
      </c>
      <c r="N31" s="39">
        <v>1</v>
      </c>
      <c r="AA31" s="103" t="s">
        <v>4059</v>
      </c>
      <c r="AB31" s="39" t="s">
        <v>4112</v>
      </c>
      <c r="AC31" s="39" t="s">
        <v>4171</v>
      </c>
      <c r="AD31" s="39" t="s">
        <v>4847</v>
      </c>
      <c r="AE31" s="39" t="s">
        <v>5628</v>
      </c>
      <c r="AN31" s="40"/>
      <c r="AO31" s="39"/>
      <c r="BD31" s="40"/>
      <c r="BE31" s="39"/>
    </row>
    <row r="32" spans="1:57" ht="48">
      <c r="A32" s="39" t="s">
        <v>4037</v>
      </c>
      <c r="B32" s="39" t="s">
        <v>4353</v>
      </c>
      <c r="C32" s="39" t="s">
        <v>57</v>
      </c>
      <c r="D32" s="39">
        <v>31</v>
      </c>
      <c r="E32" s="39">
        <v>1</v>
      </c>
      <c r="G32" s="39" t="s">
        <v>4172</v>
      </c>
      <c r="J32" s="39" t="s">
        <v>4111</v>
      </c>
      <c r="K32" s="39" t="s">
        <v>4053</v>
      </c>
      <c r="N32" s="39">
        <v>3</v>
      </c>
      <c r="AA32" s="103" t="s">
        <v>4058</v>
      </c>
      <c r="AB32" s="39" t="s">
        <v>4112</v>
      </c>
      <c r="AC32" s="39" t="s">
        <v>4121</v>
      </c>
      <c r="AD32" s="39"/>
      <c r="AE32" s="39" t="s">
        <v>4173</v>
      </c>
      <c r="AN32" s="40"/>
      <c r="AO32" s="39"/>
      <c r="BD32" s="40"/>
      <c r="BE32" s="39"/>
    </row>
    <row r="33" spans="1:57" ht="24">
      <c r="A33" s="39" t="s">
        <v>4037</v>
      </c>
      <c r="B33" s="39" t="s">
        <v>4354</v>
      </c>
      <c r="C33" s="39" t="s">
        <v>57</v>
      </c>
      <c r="D33" s="39">
        <v>32</v>
      </c>
      <c r="E33" s="39">
        <v>1</v>
      </c>
      <c r="G33" s="39" t="s">
        <v>4174</v>
      </c>
      <c r="J33" s="39" t="s">
        <v>4111</v>
      </c>
      <c r="K33" s="39" t="s">
        <v>4053</v>
      </c>
      <c r="N33" s="39">
        <v>2</v>
      </c>
      <c r="S33" s="43">
        <v>1</v>
      </c>
      <c r="T33" s="60">
        <v>1</v>
      </c>
      <c r="AA33" s="103" t="s">
        <v>4061</v>
      </c>
      <c r="AB33" s="39" t="s">
        <v>25</v>
      </c>
      <c r="AC33" s="39" t="s">
        <v>4175</v>
      </c>
      <c r="AD33" s="39"/>
      <c r="AE33" s="39" t="s">
        <v>4176</v>
      </c>
      <c r="AN33" s="40"/>
      <c r="AO33" s="39"/>
      <c r="BD33" s="40"/>
      <c r="BE33" s="39"/>
    </row>
    <row r="34" spans="1:57" ht="24">
      <c r="A34" s="39" t="s">
        <v>4037</v>
      </c>
      <c r="B34" s="39" t="s">
        <v>4355</v>
      </c>
      <c r="C34" s="39" t="s">
        <v>57</v>
      </c>
      <c r="D34" s="39">
        <v>33</v>
      </c>
      <c r="E34" s="39">
        <v>1</v>
      </c>
      <c r="G34" s="39" t="s">
        <v>4177</v>
      </c>
      <c r="H34" s="39" t="s">
        <v>4178</v>
      </c>
      <c r="I34" s="39" t="s">
        <v>4077</v>
      </c>
      <c r="J34" s="39" t="s">
        <v>4111</v>
      </c>
      <c r="K34" s="39" t="s">
        <v>4053</v>
      </c>
      <c r="N34" s="39">
        <v>4</v>
      </c>
      <c r="S34" s="43">
        <v>1</v>
      </c>
      <c r="T34" s="60">
        <v>2</v>
      </c>
      <c r="AA34" s="103" t="s">
        <v>4059</v>
      </c>
      <c r="AB34" s="39" t="s">
        <v>25</v>
      </c>
      <c r="AC34" s="39" t="s">
        <v>4175</v>
      </c>
      <c r="AD34" s="39"/>
      <c r="AE34" s="39" t="s">
        <v>4179</v>
      </c>
      <c r="AN34" s="40"/>
      <c r="AO34" s="39"/>
      <c r="BD34" s="40"/>
      <c r="BE34" s="39"/>
    </row>
    <row r="35" spans="1:57" ht="24">
      <c r="A35" s="39" t="s">
        <v>4037</v>
      </c>
      <c r="B35" s="39" t="s">
        <v>4356</v>
      </c>
      <c r="C35" s="39" t="s">
        <v>57</v>
      </c>
      <c r="D35" s="39">
        <v>34</v>
      </c>
      <c r="E35" s="39">
        <v>1</v>
      </c>
      <c r="G35" s="39" t="s">
        <v>4180</v>
      </c>
      <c r="J35" s="39" t="s">
        <v>4111</v>
      </c>
      <c r="K35" s="39" t="s">
        <v>4053</v>
      </c>
      <c r="N35" s="39">
        <v>2</v>
      </c>
      <c r="AA35" s="103" t="s">
        <v>4888</v>
      </c>
      <c r="AC35" s="39" t="s">
        <v>4138</v>
      </c>
      <c r="AD35" s="39"/>
      <c r="AE35" s="39" t="s">
        <v>4181</v>
      </c>
      <c r="AN35" s="40"/>
      <c r="AO35" s="39"/>
      <c r="BD35" s="40"/>
      <c r="BE35" s="39"/>
    </row>
    <row r="36" spans="1:57" ht="36">
      <c r="A36" s="39" t="s">
        <v>4037</v>
      </c>
      <c r="B36" s="39" t="s">
        <v>4357</v>
      </c>
      <c r="C36" s="39" t="s">
        <v>57</v>
      </c>
      <c r="D36" s="39">
        <v>35</v>
      </c>
      <c r="E36" s="39">
        <v>1</v>
      </c>
      <c r="G36" s="39" t="s">
        <v>4182</v>
      </c>
      <c r="J36" s="39" t="s">
        <v>4111</v>
      </c>
      <c r="K36" s="39" t="s">
        <v>4053</v>
      </c>
      <c r="N36" s="39">
        <v>2</v>
      </c>
      <c r="AA36" s="103" t="s">
        <v>4060</v>
      </c>
      <c r="AB36" s="39" t="s">
        <v>4112</v>
      </c>
      <c r="AC36" s="39" t="s">
        <v>4121</v>
      </c>
      <c r="AD36" s="39"/>
      <c r="AE36" s="39" t="s">
        <v>4183</v>
      </c>
      <c r="AN36" s="40"/>
      <c r="AO36" s="39"/>
      <c r="BD36" s="40"/>
      <c r="BE36" s="39"/>
    </row>
    <row r="37" spans="1:57" ht="24">
      <c r="A37" s="39" t="s">
        <v>4037</v>
      </c>
      <c r="B37" s="69" t="s">
        <v>4358</v>
      </c>
      <c r="C37" s="39" t="s">
        <v>57</v>
      </c>
      <c r="D37" s="39">
        <v>36</v>
      </c>
      <c r="E37" s="39">
        <v>1</v>
      </c>
      <c r="G37" s="39" t="s">
        <v>4184</v>
      </c>
      <c r="J37" s="39" t="s">
        <v>27</v>
      </c>
      <c r="K37" s="39" t="s">
        <v>4053</v>
      </c>
      <c r="N37" s="39">
        <v>1</v>
      </c>
      <c r="AA37" s="103" t="s">
        <v>4886</v>
      </c>
      <c r="AC37" s="39" t="s">
        <v>4185</v>
      </c>
      <c r="AD37" s="39" t="s">
        <v>4486</v>
      </c>
      <c r="AE37" s="39" t="s">
        <v>5629</v>
      </c>
      <c r="AN37" s="40"/>
      <c r="AO37" s="39"/>
      <c r="BD37" s="40"/>
      <c r="BE37" s="39"/>
    </row>
    <row r="38" spans="1:57" ht="15.75">
      <c r="A38" s="39" t="s">
        <v>4037</v>
      </c>
      <c r="B38" s="39" t="s">
        <v>4359</v>
      </c>
      <c r="C38" s="39" t="s">
        <v>57</v>
      </c>
      <c r="D38" s="39">
        <v>37</v>
      </c>
      <c r="E38" s="39">
        <v>1</v>
      </c>
      <c r="G38" s="39" t="s">
        <v>4186</v>
      </c>
      <c r="J38" s="39" t="s">
        <v>27</v>
      </c>
      <c r="K38" s="39" t="s">
        <v>4053</v>
      </c>
      <c r="N38" s="39">
        <v>2</v>
      </c>
      <c r="O38" s="70"/>
      <c r="P38" s="71"/>
      <c r="Q38" s="72"/>
      <c r="T38" s="70"/>
      <c r="U38" s="73"/>
      <c r="V38" s="74"/>
      <c r="W38" s="75"/>
      <c r="Z38" s="76"/>
      <c r="AA38" s="103" t="s">
        <v>4883</v>
      </c>
      <c r="AC38" s="39" t="s">
        <v>4185</v>
      </c>
      <c r="AD38" s="39" t="s">
        <v>4486</v>
      </c>
      <c r="AE38" s="39" t="s">
        <v>4742</v>
      </c>
      <c r="AN38" s="40"/>
      <c r="AO38" s="39"/>
      <c r="AP38" s="70"/>
      <c r="AQ38" s="71"/>
      <c r="AR38" s="72"/>
      <c r="AU38" s="70"/>
      <c r="AV38" s="77"/>
      <c r="AW38" s="78"/>
      <c r="AX38" s="75"/>
      <c r="BA38" s="76"/>
      <c r="BD38" s="40"/>
      <c r="BE38" s="39"/>
    </row>
    <row r="39" spans="1:57" ht="36">
      <c r="A39" s="39" t="s">
        <v>4037</v>
      </c>
      <c r="B39" s="39" t="s">
        <v>4360</v>
      </c>
      <c r="C39" s="39" t="s">
        <v>57</v>
      </c>
      <c r="D39" s="39">
        <v>38</v>
      </c>
      <c r="E39" s="39">
        <v>1</v>
      </c>
      <c r="G39" s="39" t="s">
        <v>4187</v>
      </c>
      <c r="J39" s="39" t="s">
        <v>27</v>
      </c>
      <c r="K39" s="39" t="s">
        <v>4053</v>
      </c>
      <c r="N39" s="39">
        <v>0</v>
      </c>
      <c r="O39" s="70"/>
      <c r="P39" s="71"/>
      <c r="Q39" s="72"/>
      <c r="T39" s="70"/>
      <c r="U39" s="73"/>
      <c r="V39" s="74"/>
      <c r="W39" s="75"/>
      <c r="Z39" s="76"/>
      <c r="AA39" s="103" t="s">
        <v>4889</v>
      </c>
      <c r="AC39" s="39" t="s">
        <v>4188</v>
      </c>
      <c r="AD39" s="39" t="s">
        <v>5633</v>
      </c>
      <c r="AE39" s="39" t="s">
        <v>5632</v>
      </c>
      <c r="AN39" s="40"/>
      <c r="AO39" s="39"/>
      <c r="AP39" s="70"/>
      <c r="AQ39" s="71"/>
      <c r="AR39" s="72"/>
      <c r="AU39" s="70"/>
      <c r="AV39" s="77"/>
      <c r="AW39" s="78"/>
      <c r="AX39" s="75"/>
      <c r="BA39" s="76"/>
      <c r="BD39" s="40"/>
      <c r="BE39" s="39"/>
    </row>
    <row r="40" spans="1:57" ht="24">
      <c r="A40" s="39" t="s">
        <v>4037</v>
      </c>
      <c r="B40" s="39" t="s">
        <v>4361</v>
      </c>
      <c r="C40" s="39" t="s">
        <v>57</v>
      </c>
      <c r="D40" s="39">
        <v>39</v>
      </c>
      <c r="E40" s="39">
        <v>1</v>
      </c>
      <c r="G40" s="39" t="s">
        <v>4189</v>
      </c>
      <c r="J40" s="39" t="s">
        <v>4159</v>
      </c>
      <c r="K40" s="39" t="s">
        <v>4053</v>
      </c>
      <c r="N40" s="39"/>
      <c r="O40" s="70"/>
      <c r="P40" s="71"/>
      <c r="Q40" s="72"/>
      <c r="T40" s="70"/>
      <c r="U40" s="73"/>
      <c r="V40" s="74"/>
      <c r="W40" s="75"/>
      <c r="Z40" s="76"/>
      <c r="AA40" s="103" t="s">
        <v>4059</v>
      </c>
      <c r="AC40" s="39" t="s">
        <v>4160</v>
      </c>
      <c r="AD40" s="39"/>
      <c r="AE40" s="39" t="s">
        <v>4190</v>
      </c>
      <c r="AN40" s="40"/>
      <c r="AO40" s="39"/>
      <c r="AP40" s="70"/>
      <c r="AQ40" s="71"/>
      <c r="AR40" s="72"/>
      <c r="AU40" s="70"/>
      <c r="AV40" s="77"/>
      <c r="AW40" s="78"/>
      <c r="AX40" s="75"/>
      <c r="BA40" s="76"/>
      <c r="BD40" s="40"/>
      <c r="BE40" s="39"/>
    </row>
    <row r="41" spans="1:57" ht="36">
      <c r="A41" s="39" t="s">
        <v>4037</v>
      </c>
      <c r="B41" s="39" t="s">
        <v>4362</v>
      </c>
      <c r="C41" s="39" t="s">
        <v>57</v>
      </c>
      <c r="D41" s="39">
        <v>40</v>
      </c>
      <c r="E41" s="39">
        <v>1</v>
      </c>
      <c r="G41" s="39" t="s">
        <v>4170</v>
      </c>
      <c r="J41" s="39" t="s">
        <v>4111</v>
      </c>
      <c r="K41" s="39" t="s">
        <v>4053</v>
      </c>
      <c r="L41" s="39">
        <v>1</v>
      </c>
      <c r="N41" s="39">
        <v>0</v>
      </c>
      <c r="O41" s="70"/>
      <c r="P41" s="71"/>
      <c r="Q41" s="72"/>
      <c r="T41" s="70"/>
      <c r="U41" s="73"/>
      <c r="V41" s="74"/>
      <c r="W41" s="75"/>
      <c r="Z41" s="76"/>
      <c r="AA41" s="103" t="s">
        <v>4059</v>
      </c>
      <c r="AB41" s="39" t="s">
        <v>4112</v>
      </c>
      <c r="AC41" s="39" t="s">
        <v>4171</v>
      </c>
      <c r="AD41" s="39" t="s">
        <v>4847</v>
      </c>
      <c r="AE41" s="39" t="s">
        <v>5630</v>
      </c>
      <c r="AN41" s="40"/>
      <c r="AO41" s="39"/>
      <c r="AP41" s="70"/>
      <c r="AQ41" s="71"/>
      <c r="AR41" s="72"/>
      <c r="AU41" s="70"/>
      <c r="AV41" s="77"/>
      <c r="AW41" s="78"/>
      <c r="AX41" s="75"/>
      <c r="BA41" s="76"/>
      <c r="BD41" s="40"/>
      <c r="BE41" s="39"/>
    </row>
    <row r="42" spans="1:57" ht="24">
      <c r="A42" s="39" t="s">
        <v>4037</v>
      </c>
      <c r="B42" s="39" t="s">
        <v>4479</v>
      </c>
      <c r="C42" s="39" t="s">
        <v>57</v>
      </c>
      <c r="D42" s="39">
        <v>41</v>
      </c>
      <c r="E42" s="39">
        <v>1</v>
      </c>
      <c r="G42" s="39" t="s">
        <v>4480</v>
      </c>
      <c r="H42" s="39" t="s">
        <v>4481</v>
      </c>
      <c r="I42" s="39" t="s">
        <v>4077</v>
      </c>
      <c r="J42" s="39" t="s">
        <v>4111</v>
      </c>
      <c r="K42" s="39" t="s">
        <v>4053</v>
      </c>
      <c r="L42" s="39">
        <v>2</v>
      </c>
      <c r="N42" s="39">
        <v>3</v>
      </c>
      <c r="O42" s="70"/>
      <c r="P42" s="71"/>
      <c r="Q42" s="72"/>
      <c r="T42" s="70"/>
      <c r="U42" s="73"/>
      <c r="V42" s="74"/>
      <c r="W42" s="75"/>
      <c r="Z42" s="76"/>
      <c r="AA42" s="103" t="s">
        <v>4878</v>
      </c>
      <c r="AB42" s="39" t="s">
        <v>4482</v>
      </c>
      <c r="AC42" s="39" t="s">
        <v>4128</v>
      </c>
      <c r="AD42" s="39"/>
      <c r="AE42" s="39" t="s">
        <v>4483</v>
      </c>
      <c r="AN42" s="40"/>
      <c r="AO42" s="39"/>
      <c r="AP42" s="70"/>
      <c r="AQ42" s="71"/>
      <c r="AR42" s="72"/>
      <c r="AU42" s="70"/>
      <c r="AV42" s="77"/>
      <c r="AW42" s="78"/>
      <c r="AX42" s="75"/>
      <c r="BA42" s="76"/>
      <c r="BD42" s="40"/>
      <c r="BE42" s="39"/>
    </row>
    <row r="43" spans="1:57" ht="36">
      <c r="A43" s="39" t="s">
        <v>4037</v>
      </c>
      <c r="B43" s="39" t="s">
        <v>4363</v>
      </c>
      <c r="C43" s="39" t="s">
        <v>57</v>
      </c>
      <c r="D43" s="39">
        <v>42</v>
      </c>
      <c r="E43" s="39">
        <v>1</v>
      </c>
      <c r="G43" s="39" t="s">
        <v>4191</v>
      </c>
      <c r="J43" s="39" t="s">
        <v>4111</v>
      </c>
      <c r="K43" s="39" t="s">
        <v>4053</v>
      </c>
      <c r="L43" s="39">
        <v>2</v>
      </c>
      <c r="N43" s="39">
        <v>2</v>
      </c>
      <c r="O43" s="70"/>
      <c r="P43" s="71"/>
      <c r="Q43" s="72"/>
      <c r="T43" s="70"/>
      <c r="U43" s="73"/>
      <c r="V43" s="74"/>
      <c r="W43" s="75"/>
      <c r="Z43" s="76"/>
      <c r="AA43" s="103" t="s">
        <v>4062</v>
      </c>
      <c r="AB43" s="39" t="s">
        <v>4112</v>
      </c>
      <c r="AC43" s="39" t="s">
        <v>4121</v>
      </c>
      <c r="AD43" s="39"/>
      <c r="AE43" s="39" t="s">
        <v>4192</v>
      </c>
      <c r="AN43" s="40"/>
      <c r="AO43" s="39"/>
      <c r="AP43" s="70"/>
      <c r="AQ43" s="71"/>
      <c r="AR43" s="72"/>
      <c r="AU43" s="70"/>
      <c r="AV43" s="77"/>
      <c r="AW43" s="78"/>
      <c r="AX43" s="75"/>
      <c r="BA43" s="76"/>
      <c r="BD43" s="40"/>
      <c r="BE43" s="39"/>
    </row>
    <row r="44" spans="1:57" ht="24">
      <c r="A44" s="39" t="s">
        <v>4037</v>
      </c>
      <c r="B44" s="39" t="s">
        <v>4484</v>
      </c>
      <c r="C44" s="39" t="s">
        <v>57</v>
      </c>
      <c r="D44" s="39">
        <v>43</v>
      </c>
      <c r="E44" s="39">
        <v>1</v>
      </c>
      <c r="G44" s="39" t="s">
        <v>4485</v>
      </c>
      <c r="J44" s="39" t="s">
        <v>27</v>
      </c>
      <c r="K44" s="39" t="s">
        <v>4053</v>
      </c>
      <c r="L44" s="39">
        <v>4</v>
      </c>
      <c r="N44" s="39">
        <v>0</v>
      </c>
      <c r="O44" s="70"/>
      <c r="P44" s="71"/>
      <c r="Q44" s="72"/>
      <c r="T44" s="70"/>
      <c r="U44" s="73"/>
      <c r="V44" s="74"/>
      <c r="W44" s="75"/>
      <c r="Z44" s="76"/>
      <c r="AA44" s="101"/>
      <c r="AC44" s="39" t="s">
        <v>4185</v>
      </c>
      <c r="AD44" s="39" t="s">
        <v>4486</v>
      </c>
      <c r="AE44" s="39" t="s">
        <v>4487</v>
      </c>
      <c r="AN44" s="40"/>
      <c r="AO44" s="39"/>
      <c r="AP44" s="70"/>
      <c r="AQ44" s="71"/>
      <c r="AR44" s="72"/>
      <c r="AU44" s="70"/>
      <c r="AV44" s="77"/>
      <c r="AW44" s="78"/>
      <c r="AX44" s="75"/>
      <c r="BA44" s="76"/>
      <c r="BD44" s="40"/>
      <c r="BE44" s="39"/>
    </row>
    <row r="45" spans="1:57" ht="24">
      <c r="A45" s="39" t="s">
        <v>4037</v>
      </c>
      <c r="B45" s="39" t="s">
        <v>4364</v>
      </c>
      <c r="C45" s="39" t="s">
        <v>57</v>
      </c>
      <c r="D45" s="39">
        <v>44</v>
      </c>
      <c r="E45" s="39">
        <v>1</v>
      </c>
      <c r="G45" s="39" t="s">
        <v>4193</v>
      </c>
      <c r="J45" s="39" t="s">
        <v>4111</v>
      </c>
      <c r="K45" s="39" t="s">
        <v>4055</v>
      </c>
      <c r="N45" s="39">
        <v>1</v>
      </c>
      <c r="O45" s="70"/>
      <c r="P45" s="71"/>
      <c r="Q45" s="72"/>
      <c r="T45" s="70"/>
      <c r="U45" s="73"/>
      <c r="V45" s="74"/>
      <c r="W45" s="75"/>
      <c r="Z45" s="76"/>
      <c r="AA45" s="103" t="s">
        <v>4061</v>
      </c>
      <c r="AB45" s="39" t="s">
        <v>4112</v>
      </c>
      <c r="AC45" s="39" t="s">
        <v>4194</v>
      </c>
      <c r="AD45" s="39" t="s">
        <v>4847</v>
      </c>
      <c r="AE45" s="39" t="s">
        <v>5631</v>
      </c>
      <c r="AN45" s="40"/>
      <c r="AO45" s="39"/>
      <c r="AP45" s="70"/>
      <c r="AQ45" s="71"/>
      <c r="AR45" s="72"/>
      <c r="AU45" s="70"/>
      <c r="AV45" s="77"/>
      <c r="AW45" s="78"/>
      <c r="AX45" s="75"/>
      <c r="BA45" s="76"/>
      <c r="BD45" s="40"/>
      <c r="BE45" s="39"/>
    </row>
    <row r="46" spans="1:57" ht="24">
      <c r="A46" s="39" t="s">
        <v>4037</v>
      </c>
      <c r="B46" s="39" t="s">
        <v>4365</v>
      </c>
      <c r="C46" s="39" t="s">
        <v>57</v>
      </c>
      <c r="D46" s="39">
        <v>45</v>
      </c>
      <c r="E46" s="39">
        <v>1</v>
      </c>
      <c r="G46" s="39" t="s">
        <v>4195</v>
      </c>
      <c r="J46" s="39" t="s">
        <v>4111</v>
      </c>
      <c r="K46" s="39" t="s">
        <v>4055</v>
      </c>
      <c r="N46" s="39">
        <v>1</v>
      </c>
      <c r="O46" s="70"/>
      <c r="P46" s="71"/>
      <c r="Q46" s="72"/>
      <c r="T46" s="70"/>
      <c r="U46" s="73"/>
      <c r="V46" s="74"/>
      <c r="W46" s="75"/>
      <c r="Z46" s="76"/>
      <c r="AA46" s="103" t="s">
        <v>4059</v>
      </c>
      <c r="AC46" s="39" t="s">
        <v>4196</v>
      </c>
      <c r="AD46" s="39"/>
      <c r="AE46" s="39" t="s">
        <v>4197</v>
      </c>
      <c r="AN46" s="40"/>
      <c r="AO46" s="39"/>
      <c r="AP46" s="70"/>
      <c r="AQ46" s="71"/>
      <c r="AR46" s="72"/>
      <c r="AU46" s="70"/>
      <c r="AV46" s="77"/>
      <c r="AW46" s="78"/>
      <c r="AX46" s="75"/>
      <c r="BA46" s="76"/>
      <c r="BD46" s="40"/>
      <c r="BE46" s="39"/>
    </row>
    <row r="47" spans="1:57" ht="24">
      <c r="A47" s="39" t="s">
        <v>4037</v>
      </c>
      <c r="B47" s="39" t="s">
        <v>4366</v>
      </c>
      <c r="C47" s="39" t="s">
        <v>57</v>
      </c>
      <c r="D47" s="39">
        <v>46</v>
      </c>
      <c r="E47" s="39">
        <v>1</v>
      </c>
      <c r="G47" s="39" t="s">
        <v>4198</v>
      </c>
      <c r="J47" s="39" t="s">
        <v>4111</v>
      </c>
      <c r="K47" s="39" t="s">
        <v>4055</v>
      </c>
      <c r="N47" s="39">
        <v>2</v>
      </c>
      <c r="O47" s="70"/>
      <c r="P47" s="71"/>
      <c r="Q47" s="72"/>
      <c r="T47" s="70"/>
      <c r="U47" s="73"/>
      <c r="V47" s="74"/>
      <c r="W47" s="75"/>
      <c r="Z47" s="76"/>
      <c r="AA47" s="103" t="s">
        <v>4061</v>
      </c>
      <c r="AC47" s="39" t="s">
        <v>4196</v>
      </c>
      <c r="AD47" s="39"/>
      <c r="AE47" s="39" t="s">
        <v>4199</v>
      </c>
      <c r="AN47" s="40"/>
      <c r="AO47" s="39"/>
      <c r="AP47" s="70"/>
      <c r="AQ47" s="71"/>
      <c r="AR47" s="72"/>
      <c r="AU47" s="70"/>
      <c r="AV47" s="77"/>
      <c r="AW47" s="78"/>
      <c r="AX47" s="75"/>
      <c r="BA47" s="76"/>
      <c r="BD47" s="40"/>
      <c r="BE47" s="39"/>
    </row>
    <row r="48" spans="1:57" ht="24">
      <c r="A48" s="39" t="s">
        <v>4037</v>
      </c>
      <c r="B48" s="39" t="s">
        <v>4367</v>
      </c>
      <c r="C48" s="39" t="s">
        <v>57</v>
      </c>
      <c r="D48" s="39">
        <v>47</v>
      </c>
      <c r="E48" s="39">
        <v>1</v>
      </c>
      <c r="G48" s="39" t="s">
        <v>4200</v>
      </c>
      <c r="J48" s="39" t="s">
        <v>4111</v>
      </c>
      <c r="K48" s="39" t="s">
        <v>4055</v>
      </c>
      <c r="N48" s="39">
        <v>3</v>
      </c>
      <c r="O48" s="70"/>
      <c r="P48" s="71"/>
      <c r="Q48" s="72"/>
      <c r="T48" s="70"/>
      <c r="U48" s="73"/>
      <c r="V48" s="74"/>
      <c r="W48" s="75"/>
      <c r="Z48" s="76"/>
      <c r="AA48" s="103" t="s">
        <v>4060</v>
      </c>
      <c r="AB48" s="39" t="s">
        <v>4112</v>
      </c>
      <c r="AC48" s="39" t="s">
        <v>4743</v>
      </c>
      <c r="AD48" s="39" t="s">
        <v>4744</v>
      </c>
      <c r="AE48" s="39" t="s">
        <v>4745</v>
      </c>
      <c r="AN48" s="40"/>
      <c r="AO48" s="39"/>
      <c r="AP48" s="70"/>
      <c r="AQ48" s="71"/>
      <c r="AR48" s="72"/>
      <c r="AU48" s="70"/>
      <c r="AV48" s="77"/>
      <c r="AW48" s="78"/>
      <c r="AX48" s="75"/>
      <c r="BA48" s="76"/>
      <c r="BD48" s="40"/>
      <c r="BE48" s="39"/>
    </row>
    <row r="49" spans="1:57" ht="15.75">
      <c r="A49" s="39" t="s">
        <v>4037</v>
      </c>
      <c r="B49" s="39" t="s">
        <v>4368</v>
      </c>
      <c r="C49" s="39" t="s">
        <v>57</v>
      </c>
      <c r="D49" s="39">
        <v>48</v>
      </c>
      <c r="E49" s="39">
        <v>1</v>
      </c>
      <c r="G49" s="39" t="s">
        <v>4201</v>
      </c>
      <c r="H49" s="39" t="s">
        <v>4202</v>
      </c>
      <c r="I49" s="39" t="s">
        <v>4077</v>
      </c>
      <c r="J49" s="39" t="s">
        <v>4111</v>
      </c>
      <c r="K49" s="39" t="s">
        <v>4055</v>
      </c>
      <c r="N49" s="39">
        <v>6</v>
      </c>
      <c r="O49" s="70"/>
      <c r="P49" s="71"/>
      <c r="Q49" s="72"/>
      <c r="S49" s="43">
        <v>2</v>
      </c>
      <c r="T49" s="70">
        <v>2</v>
      </c>
      <c r="U49" s="73"/>
      <c r="V49" s="74"/>
      <c r="W49" s="75"/>
      <c r="Z49" s="76"/>
      <c r="AA49" s="103" t="s">
        <v>4059</v>
      </c>
      <c r="AB49" s="39" t="s">
        <v>25</v>
      </c>
      <c r="AC49" s="39" t="s">
        <v>4203</v>
      </c>
      <c r="AD49" s="39"/>
      <c r="AE49" s="39" t="s">
        <v>4204</v>
      </c>
      <c r="AN49" s="40"/>
      <c r="AO49" s="39"/>
      <c r="AP49" s="70"/>
      <c r="AQ49" s="71"/>
      <c r="AR49" s="72"/>
      <c r="AU49" s="70"/>
      <c r="AV49" s="77"/>
      <c r="AW49" s="78"/>
      <c r="AX49" s="75"/>
      <c r="BA49" s="76"/>
      <c r="BD49" s="40"/>
      <c r="BE49" s="39"/>
    </row>
    <row r="50" spans="1:57" ht="24">
      <c r="A50" s="39" t="s">
        <v>4037</v>
      </c>
      <c r="B50" s="39" t="s">
        <v>4369</v>
      </c>
      <c r="C50" s="39" t="s">
        <v>57</v>
      </c>
      <c r="D50" s="39">
        <v>49</v>
      </c>
      <c r="E50" s="39">
        <v>1</v>
      </c>
      <c r="G50" s="39" t="s">
        <v>4205</v>
      </c>
      <c r="J50" s="39" t="s">
        <v>4111</v>
      </c>
      <c r="K50" s="39" t="s">
        <v>4055</v>
      </c>
      <c r="N50" s="39">
        <v>2</v>
      </c>
      <c r="O50" s="70"/>
      <c r="P50" s="71"/>
      <c r="Q50" s="72"/>
      <c r="T50" s="70"/>
      <c r="U50" s="73"/>
      <c r="V50" s="74"/>
      <c r="W50" s="75"/>
      <c r="Z50" s="76"/>
      <c r="AA50" s="103" t="s">
        <v>4886</v>
      </c>
      <c r="AC50" s="39" t="s">
        <v>4138</v>
      </c>
      <c r="AD50" s="39"/>
      <c r="AE50" s="39" t="s">
        <v>4206</v>
      </c>
      <c r="AN50" s="40"/>
      <c r="AO50" s="39"/>
      <c r="AP50" s="70"/>
      <c r="AQ50" s="71"/>
      <c r="AR50" s="72"/>
      <c r="AU50" s="70"/>
      <c r="AV50" s="77"/>
      <c r="AW50" s="78"/>
      <c r="AX50" s="75"/>
      <c r="BA50" s="76"/>
      <c r="BD50" s="40"/>
      <c r="BE50" s="39"/>
    </row>
    <row r="51" spans="1:57" ht="24">
      <c r="A51" s="39" t="s">
        <v>4037</v>
      </c>
      <c r="B51" s="39" t="s">
        <v>4370</v>
      </c>
      <c r="C51" s="39" t="s">
        <v>57</v>
      </c>
      <c r="D51" s="39">
        <v>50</v>
      </c>
      <c r="E51" s="39">
        <v>1</v>
      </c>
      <c r="G51" s="39" t="s">
        <v>4207</v>
      </c>
      <c r="J51" s="39" t="s">
        <v>27</v>
      </c>
      <c r="K51" s="39" t="s">
        <v>4055</v>
      </c>
      <c r="N51" s="39">
        <v>2</v>
      </c>
      <c r="O51" s="70"/>
      <c r="P51" s="71"/>
      <c r="Q51" s="72"/>
      <c r="T51" s="70"/>
      <c r="U51" s="73"/>
      <c r="V51" s="74"/>
      <c r="W51" s="75"/>
      <c r="Z51" s="76"/>
      <c r="AA51" s="103" t="s">
        <v>4888</v>
      </c>
      <c r="AC51" s="39" t="s">
        <v>4154</v>
      </c>
      <c r="AD51" s="39" t="s">
        <v>4486</v>
      </c>
      <c r="AE51" s="39" t="s">
        <v>4746</v>
      </c>
      <c r="AN51" s="40"/>
      <c r="AO51" s="39"/>
      <c r="AP51" s="70"/>
      <c r="AQ51" s="71"/>
      <c r="AR51" s="72"/>
      <c r="AU51" s="70"/>
      <c r="AV51" s="77"/>
      <c r="AW51" s="78"/>
      <c r="AX51" s="75"/>
      <c r="BA51" s="76"/>
      <c r="BD51" s="40"/>
      <c r="BE51" s="39"/>
    </row>
    <row r="52" spans="1:57" ht="24">
      <c r="A52" s="39" t="s">
        <v>4037</v>
      </c>
      <c r="B52" s="39" t="s">
        <v>4371</v>
      </c>
      <c r="C52" s="39" t="s">
        <v>57</v>
      </c>
      <c r="D52" s="39">
        <v>51</v>
      </c>
      <c r="E52" s="39">
        <v>1</v>
      </c>
      <c r="G52" s="39" t="s">
        <v>4208</v>
      </c>
      <c r="J52" s="39" t="s">
        <v>27</v>
      </c>
      <c r="K52" s="39" t="s">
        <v>4055</v>
      </c>
      <c r="N52" s="39">
        <v>3</v>
      </c>
      <c r="O52" s="70"/>
      <c r="P52" s="71"/>
      <c r="Q52" s="72"/>
      <c r="T52" s="70"/>
      <c r="U52" s="73"/>
      <c r="V52" s="74"/>
      <c r="W52" s="75"/>
      <c r="Z52" s="76"/>
      <c r="AA52" s="103" t="s">
        <v>4886</v>
      </c>
      <c r="AC52" s="39" t="s">
        <v>4154</v>
      </c>
      <c r="AD52" s="39"/>
      <c r="AE52" s="39" t="s">
        <v>4209</v>
      </c>
      <c r="AN52" s="40"/>
      <c r="AO52" s="39"/>
      <c r="AP52" s="70"/>
      <c r="AQ52" s="71"/>
      <c r="AR52" s="72"/>
      <c r="AU52" s="70"/>
      <c r="AV52" s="77"/>
      <c r="AW52" s="78"/>
      <c r="AX52" s="75"/>
      <c r="BA52" s="76"/>
      <c r="BD52" s="40"/>
      <c r="BE52" s="39"/>
    </row>
    <row r="53" spans="1:57" ht="15.75">
      <c r="A53" s="39" t="s">
        <v>4037</v>
      </c>
      <c r="B53" s="39" t="s">
        <v>4372</v>
      </c>
      <c r="C53" s="39" t="s">
        <v>57</v>
      </c>
      <c r="D53" s="39">
        <v>52</v>
      </c>
      <c r="E53" s="39">
        <v>1</v>
      </c>
      <c r="G53" s="39" t="s">
        <v>4210</v>
      </c>
      <c r="J53" s="39" t="s">
        <v>27</v>
      </c>
      <c r="K53" s="39" t="s">
        <v>4055</v>
      </c>
      <c r="N53" s="39">
        <v>2</v>
      </c>
      <c r="O53" s="70"/>
      <c r="P53" s="71"/>
      <c r="Q53" s="72"/>
      <c r="T53" s="70"/>
      <c r="U53" s="73"/>
      <c r="V53" s="74"/>
      <c r="W53" s="75"/>
      <c r="Z53" s="76"/>
      <c r="AA53" s="103" t="s">
        <v>4890</v>
      </c>
      <c r="AC53" s="39" t="s">
        <v>4154</v>
      </c>
      <c r="AD53" s="39"/>
      <c r="AE53" s="39" t="s">
        <v>4747</v>
      </c>
      <c r="AN53" s="40"/>
      <c r="AO53" s="39"/>
      <c r="AP53" s="70"/>
      <c r="AQ53" s="71"/>
      <c r="AR53" s="72"/>
      <c r="AU53" s="70"/>
      <c r="AV53" s="77"/>
      <c r="AW53" s="78"/>
      <c r="AX53" s="75"/>
      <c r="BA53" s="76"/>
      <c r="BD53" s="40"/>
      <c r="BE53" s="39"/>
    </row>
    <row r="54" spans="1:57" ht="24">
      <c r="A54" s="39" t="s">
        <v>4037</v>
      </c>
      <c r="B54" s="39" t="s">
        <v>4373</v>
      </c>
      <c r="C54" s="39" t="s">
        <v>57</v>
      </c>
      <c r="D54" s="39">
        <v>53</v>
      </c>
      <c r="E54" s="39">
        <v>1</v>
      </c>
      <c r="G54" s="39" t="s">
        <v>4211</v>
      </c>
      <c r="J54" s="39" t="s">
        <v>4159</v>
      </c>
      <c r="K54" s="39" t="s">
        <v>4055</v>
      </c>
      <c r="N54" s="39"/>
      <c r="O54" s="70"/>
      <c r="P54" s="71"/>
      <c r="Q54" s="72"/>
      <c r="T54" s="70"/>
      <c r="U54" s="73"/>
      <c r="V54" s="74"/>
      <c r="W54" s="75"/>
      <c r="Z54" s="76"/>
      <c r="AA54" s="103" t="s">
        <v>4062</v>
      </c>
      <c r="AC54" s="39" t="s">
        <v>4248</v>
      </c>
      <c r="AD54" s="39" t="s">
        <v>4748</v>
      </c>
      <c r="AE54" s="39" t="s">
        <v>4749</v>
      </c>
      <c r="AN54" s="40"/>
      <c r="AO54" s="39"/>
      <c r="AP54" s="70"/>
      <c r="AQ54" s="71"/>
      <c r="AR54" s="72"/>
      <c r="AU54" s="70"/>
      <c r="AV54" s="77"/>
      <c r="AW54" s="78"/>
      <c r="AX54" s="75"/>
      <c r="BA54" s="76"/>
      <c r="BD54" s="40"/>
      <c r="BE54" s="39"/>
    </row>
    <row r="55" spans="1:57" ht="15.75">
      <c r="A55" s="39" t="s">
        <v>4037</v>
      </c>
      <c r="B55" s="39" t="s">
        <v>4374</v>
      </c>
      <c r="C55" s="39" t="s">
        <v>57</v>
      </c>
      <c r="D55" s="39">
        <v>54</v>
      </c>
      <c r="E55" s="39">
        <v>1</v>
      </c>
      <c r="G55" s="39" t="s">
        <v>4201</v>
      </c>
      <c r="H55" s="39" t="s">
        <v>4202</v>
      </c>
      <c r="I55" s="39" t="s">
        <v>4077</v>
      </c>
      <c r="J55" s="39" t="s">
        <v>4111</v>
      </c>
      <c r="K55" s="39" t="s">
        <v>4055</v>
      </c>
      <c r="L55" s="39">
        <v>1</v>
      </c>
      <c r="N55" s="39">
        <v>5</v>
      </c>
      <c r="O55" s="70"/>
      <c r="P55" s="71"/>
      <c r="Q55" s="72"/>
      <c r="S55" s="43">
        <v>2</v>
      </c>
      <c r="T55" s="70">
        <v>2</v>
      </c>
      <c r="U55" s="73"/>
      <c r="V55" s="74"/>
      <c r="W55" s="75"/>
      <c r="Z55" s="76"/>
      <c r="AA55" s="103" t="s">
        <v>4059</v>
      </c>
      <c r="AB55" s="39" t="s">
        <v>25</v>
      </c>
      <c r="AC55" s="39" t="s">
        <v>4203</v>
      </c>
      <c r="AD55" s="39"/>
      <c r="AE55" s="39" t="s">
        <v>4204</v>
      </c>
      <c r="AN55" s="40"/>
      <c r="AO55" s="39"/>
      <c r="AP55" s="70"/>
      <c r="AQ55" s="71"/>
      <c r="AR55" s="72"/>
      <c r="AU55" s="70"/>
      <c r="AV55" s="77"/>
      <c r="AW55" s="78"/>
      <c r="AX55" s="75"/>
      <c r="BA55" s="76"/>
      <c r="BD55" s="40"/>
      <c r="BE55" s="39"/>
    </row>
    <row r="56" spans="1:57" ht="48">
      <c r="A56" s="39" t="s">
        <v>4037</v>
      </c>
      <c r="B56" s="39" t="s">
        <v>4488</v>
      </c>
      <c r="C56" s="39" t="s">
        <v>57</v>
      </c>
      <c r="D56" s="39">
        <v>55</v>
      </c>
      <c r="E56" s="39">
        <v>1</v>
      </c>
      <c r="G56" s="39" t="s">
        <v>4895</v>
      </c>
      <c r="J56" s="39" t="s">
        <v>4111</v>
      </c>
      <c r="K56" s="39" t="s">
        <v>4055</v>
      </c>
      <c r="L56" s="39">
        <v>1</v>
      </c>
      <c r="N56" s="39">
        <v>4</v>
      </c>
      <c r="O56" s="70"/>
      <c r="P56" s="71"/>
      <c r="Q56" s="72"/>
      <c r="S56" s="43">
        <v>2</v>
      </c>
      <c r="T56" s="70">
        <v>2</v>
      </c>
      <c r="U56" s="73"/>
      <c r="V56" s="74"/>
      <c r="W56" s="75"/>
      <c r="Z56" s="76"/>
      <c r="AA56" s="103" t="s">
        <v>4884</v>
      </c>
      <c r="AB56" s="39" t="s">
        <v>25</v>
      </c>
      <c r="AC56" s="39" t="s">
        <v>4203</v>
      </c>
      <c r="AD56" s="39"/>
      <c r="AE56" s="39" t="s">
        <v>5634</v>
      </c>
      <c r="AN56" s="40"/>
      <c r="AO56" s="39"/>
      <c r="AP56" s="70"/>
      <c r="AQ56" s="71"/>
      <c r="AR56" s="72"/>
      <c r="AU56" s="70"/>
      <c r="AV56" s="77"/>
      <c r="AW56" s="78"/>
      <c r="AX56" s="75"/>
      <c r="BA56" s="76"/>
      <c r="BD56" s="40"/>
      <c r="BE56" s="39"/>
    </row>
    <row r="57" spans="1:57" ht="24">
      <c r="A57" s="39" t="s">
        <v>4037</v>
      </c>
      <c r="B57" s="39" t="s">
        <v>4489</v>
      </c>
      <c r="C57" s="39" t="s">
        <v>57</v>
      </c>
      <c r="D57" s="39">
        <v>56</v>
      </c>
      <c r="E57" s="39">
        <v>1</v>
      </c>
      <c r="G57" s="39" t="s">
        <v>4490</v>
      </c>
      <c r="J57" s="39" t="s">
        <v>27</v>
      </c>
      <c r="K57" s="39" t="s">
        <v>4055</v>
      </c>
      <c r="L57" s="39">
        <v>3</v>
      </c>
      <c r="N57" s="39">
        <v>2</v>
      </c>
      <c r="O57" s="70"/>
      <c r="P57" s="71"/>
      <c r="Q57" s="72"/>
      <c r="T57" s="70"/>
      <c r="U57" s="73"/>
      <c r="V57" s="74"/>
      <c r="W57" s="75"/>
      <c r="Z57" s="76"/>
      <c r="AA57" s="101"/>
      <c r="AC57" s="39" t="s">
        <v>4491</v>
      </c>
      <c r="AD57" s="39" t="s">
        <v>5636</v>
      </c>
      <c r="AE57" s="39" t="s">
        <v>5635</v>
      </c>
      <c r="AN57" s="40"/>
      <c r="AO57" s="39"/>
      <c r="AP57" s="70"/>
      <c r="AQ57" s="71"/>
      <c r="AR57" s="72"/>
      <c r="AU57" s="70"/>
      <c r="AV57" s="77"/>
      <c r="AW57" s="78"/>
      <c r="AX57" s="75"/>
      <c r="BA57" s="76"/>
      <c r="BD57" s="40"/>
      <c r="BE57" s="39"/>
    </row>
    <row r="58" spans="1:57" ht="15.75">
      <c r="A58" s="39" t="s">
        <v>4037</v>
      </c>
      <c r="B58" s="39" t="s">
        <v>4375</v>
      </c>
      <c r="C58" s="39" t="s">
        <v>57</v>
      </c>
      <c r="D58" s="39">
        <v>57</v>
      </c>
      <c r="E58" s="39">
        <v>1</v>
      </c>
      <c r="G58" s="39" t="s">
        <v>4212</v>
      </c>
      <c r="J58" s="39" t="s">
        <v>27</v>
      </c>
      <c r="K58" s="39" t="s">
        <v>4055</v>
      </c>
      <c r="L58" s="39">
        <v>4</v>
      </c>
      <c r="N58" s="39">
        <v>3</v>
      </c>
      <c r="O58" s="70"/>
      <c r="P58" s="71"/>
      <c r="Q58" s="72"/>
      <c r="T58" s="70"/>
      <c r="U58" s="73"/>
      <c r="V58" s="74"/>
      <c r="W58" s="75"/>
      <c r="Z58" s="76"/>
      <c r="AA58" s="103" t="s">
        <v>4062</v>
      </c>
      <c r="AC58" s="39" t="s">
        <v>4213</v>
      </c>
      <c r="AD58" s="39"/>
      <c r="AE58" s="39" t="s">
        <v>4214</v>
      </c>
      <c r="AN58" s="40"/>
      <c r="AO58" s="39"/>
      <c r="AP58" s="70"/>
      <c r="AQ58" s="71"/>
      <c r="AR58" s="72"/>
      <c r="AU58" s="70"/>
      <c r="AV58" s="77"/>
      <c r="AW58" s="78"/>
      <c r="AX58" s="75"/>
      <c r="BA58" s="76"/>
      <c r="BD58" s="40"/>
      <c r="BE58" s="39"/>
    </row>
    <row r="59" spans="1:57" ht="36">
      <c r="A59" s="39" t="s">
        <v>4037</v>
      </c>
      <c r="B59" s="39" t="s">
        <v>4376</v>
      </c>
      <c r="C59" s="39" t="s">
        <v>57</v>
      </c>
      <c r="D59" s="39">
        <v>58</v>
      </c>
      <c r="E59" s="39">
        <v>1</v>
      </c>
      <c r="G59" s="39" t="s">
        <v>4492</v>
      </c>
      <c r="J59" s="39" t="s">
        <v>4111</v>
      </c>
      <c r="K59" s="39" t="s">
        <v>4054</v>
      </c>
      <c r="N59" s="39">
        <v>0</v>
      </c>
      <c r="O59" s="70"/>
      <c r="P59" s="71"/>
      <c r="Q59" s="72"/>
      <c r="T59" s="70"/>
      <c r="U59" s="73"/>
      <c r="V59" s="74"/>
      <c r="W59" s="75"/>
      <c r="Z59" s="76"/>
      <c r="AA59" s="103" t="s">
        <v>4059</v>
      </c>
      <c r="AC59" s="39" t="s">
        <v>4138</v>
      </c>
      <c r="AD59" s="39" t="s">
        <v>5638</v>
      </c>
      <c r="AE59" s="39" t="s">
        <v>5637</v>
      </c>
      <c r="AN59" s="40"/>
      <c r="AO59" s="39"/>
      <c r="AP59" s="70"/>
      <c r="AQ59" s="71"/>
      <c r="AR59" s="72"/>
      <c r="AU59" s="70"/>
      <c r="AV59" s="77"/>
      <c r="AW59" s="78"/>
      <c r="AX59" s="75"/>
      <c r="BA59" s="76"/>
      <c r="BD59" s="40"/>
      <c r="BE59" s="39"/>
    </row>
    <row r="60" spans="1:57" ht="15.75">
      <c r="A60" s="39" t="s">
        <v>4037</v>
      </c>
      <c r="B60" s="39" t="s">
        <v>4377</v>
      </c>
      <c r="C60" s="39" t="s">
        <v>57</v>
      </c>
      <c r="D60" s="39">
        <v>59</v>
      </c>
      <c r="E60" s="39">
        <v>1</v>
      </c>
      <c r="G60" s="39" t="s">
        <v>4215</v>
      </c>
      <c r="J60" s="39" t="s">
        <v>4111</v>
      </c>
      <c r="K60" s="39" t="s">
        <v>4054</v>
      </c>
      <c r="N60" s="39">
        <v>2</v>
      </c>
      <c r="O60" s="70"/>
      <c r="P60" s="71"/>
      <c r="Q60" s="72"/>
      <c r="S60" s="43" t="s">
        <v>38</v>
      </c>
      <c r="T60" s="70">
        <v>2</v>
      </c>
      <c r="U60" s="73"/>
      <c r="V60" s="74"/>
      <c r="W60" s="75"/>
      <c r="Z60" s="76"/>
      <c r="AA60" s="103" t="s">
        <v>4058</v>
      </c>
      <c r="AB60" s="39" t="s">
        <v>4127</v>
      </c>
      <c r="AC60" s="39" t="s">
        <v>4216</v>
      </c>
      <c r="AD60" s="39"/>
      <c r="AE60" s="39" t="s">
        <v>4217</v>
      </c>
      <c r="AN60" s="40"/>
      <c r="AO60" s="39"/>
      <c r="AP60" s="70"/>
      <c r="AQ60" s="71"/>
      <c r="AR60" s="72"/>
      <c r="AU60" s="70"/>
      <c r="AV60" s="77"/>
      <c r="AW60" s="78"/>
      <c r="AX60" s="75"/>
      <c r="BA60" s="76"/>
      <c r="BD60" s="40"/>
      <c r="BE60" s="39"/>
    </row>
    <row r="61" spans="1:57" ht="36">
      <c r="A61" s="39" t="s">
        <v>4037</v>
      </c>
      <c r="B61" s="39" t="s">
        <v>4378</v>
      </c>
      <c r="C61" s="39" t="s">
        <v>57</v>
      </c>
      <c r="D61" s="39">
        <v>60</v>
      </c>
      <c r="E61" s="39">
        <v>1</v>
      </c>
      <c r="G61" s="39" t="s">
        <v>4218</v>
      </c>
      <c r="J61" s="39" t="s">
        <v>4111</v>
      </c>
      <c r="K61" s="39" t="s">
        <v>4054</v>
      </c>
      <c r="N61" s="39">
        <v>3</v>
      </c>
      <c r="O61" s="70"/>
      <c r="P61" s="71"/>
      <c r="Q61" s="72"/>
      <c r="T61" s="70"/>
      <c r="U61" s="73"/>
      <c r="V61" s="74"/>
      <c r="W61" s="75"/>
      <c r="Z61" s="76"/>
      <c r="AA61" s="103" t="s">
        <v>4060</v>
      </c>
      <c r="AB61" s="39" t="s">
        <v>4219</v>
      </c>
      <c r="AC61" s="39" t="s">
        <v>4130</v>
      </c>
      <c r="AD61" s="39" t="s">
        <v>5639</v>
      </c>
      <c r="AE61" s="39" t="s">
        <v>5640</v>
      </c>
      <c r="AN61" s="40"/>
      <c r="AO61" s="39"/>
      <c r="AP61" s="70"/>
      <c r="AQ61" s="71"/>
      <c r="AR61" s="72"/>
      <c r="AU61" s="70"/>
      <c r="AV61" s="77"/>
      <c r="AW61" s="78"/>
      <c r="AX61" s="75"/>
      <c r="BA61" s="76"/>
      <c r="BD61" s="40"/>
      <c r="BE61" s="39"/>
    </row>
    <row r="62" spans="1:57" ht="36">
      <c r="A62" s="39" t="s">
        <v>4037</v>
      </c>
      <c r="B62" s="39" t="s">
        <v>4379</v>
      </c>
      <c r="C62" s="39" t="s">
        <v>57</v>
      </c>
      <c r="D62" s="39">
        <v>61</v>
      </c>
      <c r="E62" s="39">
        <v>1</v>
      </c>
      <c r="G62" s="39" t="s">
        <v>4220</v>
      </c>
      <c r="J62" s="39" t="s">
        <v>4111</v>
      </c>
      <c r="K62" s="39" t="s">
        <v>4054</v>
      </c>
      <c r="N62" s="39">
        <v>1</v>
      </c>
      <c r="O62" s="70"/>
      <c r="P62" s="71"/>
      <c r="Q62" s="72"/>
      <c r="T62" s="70"/>
      <c r="U62" s="73"/>
      <c r="V62" s="74"/>
      <c r="W62" s="75"/>
      <c r="Z62" s="76"/>
      <c r="AA62" s="103" t="s">
        <v>4059</v>
      </c>
      <c r="AB62" s="39" t="s">
        <v>4219</v>
      </c>
      <c r="AC62" s="39" t="s">
        <v>4130</v>
      </c>
      <c r="AD62" s="39" t="s">
        <v>5642</v>
      </c>
      <c r="AE62" s="39" t="s">
        <v>5641</v>
      </c>
      <c r="AN62" s="40"/>
      <c r="AO62" s="39"/>
      <c r="AP62" s="70"/>
      <c r="AQ62" s="71"/>
      <c r="AR62" s="72"/>
      <c r="AU62" s="70"/>
      <c r="AV62" s="77"/>
      <c r="AW62" s="78"/>
      <c r="AX62" s="75"/>
      <c r="BA62" s="76"/>
      <c r="BD62" s="40"/>
      <c r="BE62" s="39"/>
    </row>
    <row r="63" spans="1:57" ht="24">
      <c r="A63" s="39" t="s">
        <v>4037</v>
      </c>
      <c r="B63" s="39" t="s">
        <v>4380</v>
      </c>
      <c r="C63" s="39" t="s">
        <v>57</v>
      </c>
      <c r="D63" s="39">
        <v>62</v>
      </c>
      <c r="E63" s="39">
        <v>1</v>
      </c>
      <c r="G63" s="39" t="s">
        <v>4221</v>
      </c>
      <c r="J63" s="39" t="s">
        <v>4111</v>
      </c>
      <c r="K63" s="39" t="s">
        <v>4054</v>
      </c>
      <c r="N63" s="39">
        <v>2</v>
      </c>
      <c r="O63" s="70"/>
      <c r="P63" s="71"/>
      <c r="Q63" s="72"/>
      <c r="T63" s="70"/>
      <c r="U63" s="73"/>
      <c r="V63" s="74"/>
      <c r="W63" s="75"/>
      <c r="Z63" s="76"/>
      <c r="AA63" s="103" t="s">
        <v>4891</v>
      </c>
      <c r="AC63" s="39" t="s">
        <v>4138</v>
      </c>
      <c r="AD63" s="39"/>
      <c r="AE63" s="39" t="s">
        <v>4222</v>
      </c>
      <c r="AN63" s="40"/>
      <c r="AO63" s="39"/>
      <c r="AP63" s="70"/>
      <c r="AQ63" s="71"/>
      <c r="AR63" s="72"/>
      <c r="AU63" s="70"/>
      <c r="AV63" s="77"/>
      <c r="AW63" s="78"/>
      <c r="AX63" s="75"/>
      <c r="BA63" s="76"/>
      <c r="BD63" s="40"/>
      <c r="BE63" s="39"/>
    </row>
    <row r="64" spans="1:57" ht="36">
      <c r="A64" s="39" t="s">
        <v>4037</v>
      </c>
      <c r="B64" s="39" t="s">
        <v>4493</v>
      </c>
      <c r="C64" s="39" t="s">
        <v>57</v>
      </c>
      <c r="D64" s="39">
        <v>63</v>
      </c>
      <c r="E64" s="39">
        <v>1</v>
      </c>
      <c r="G64" s="39" t="s">
        <v>4494</v>
      </c>
      <c r="J64" s="39" t="s">
        <v>4111</v>
      </c>
      <c r="K64" s="39" t="s">
        <v>4054</v>
      </c>
      <c r="N64" s="39">
        <v>1</v>
      </c>
      <c r="O64" s="70"/>
      <c r="P64" s="71"/>
      <c r="Q64" s="72"/>
      <c r="S64" s="43">
        <v>1</v>
      </c>
      <c r="T64" s="70">
        <v>2</v>
      </c>
      <c r="U64" s="73"/>
      <c r="V64" s="74"/>
      <c r="W64" s="75"/>
      <c r="Z64" s="76"/>
      <c r="AA64" s="103" t="s">
        <v>4058</v>
      </c>
      <c r="AB64" s="39" t="s">
        <v>25</v>
      </c>
      <c r="AC64" s="39" t="s">
        <v>4495</v>
      </c>
      <c r="AD64" s="39"/>
      <c r="AE64" s="39" t="s">
        <v>4496</v>
      </c>
      <c r="AN64" s="40"/>
      <c r="AO64" s="39"/>
      <c r="AP64" s="70"/>
      <c r="AQ64" s="71"/>
      <c r="AR64" s="72"/>
      <c r="AU64" s="70"/>
      <c r="AV64" s="77"/>
      <c r="AW64" s="78"/>
      <c r="AX64" s="75"/>
      <c r="BA64" s="76"/>
      <c r="BD64" s="40"/>
      <c r="BE64" s="39"/>
    </row>
    <row r="65" spans="1:57" ht="24">
      <c r="A65" s="39" t="s">
        <v>4037</v>
      </c>
      <c r="B65" s="39" t="s">
        <v>4381</v>
      </c>
      <c r="C65" s="39" t="s">
        <v>57</v>
      </c>
      <c r="D65" s="39">
        <v>64</v>
      </c>
      <c r="E65" s="39">
        <v>1</v>
      </c>
      <c r="G65" s="39" t="s">
        <v>4223</v>
      </c>
      <c r="J65" s="39" t="s">
        <v>27</v>
      </c>
      <c r="K65" s="39" t="s">
        <v>4054</v>
      </c>
      <c r="N65" s="39">
        <v>0</v>
      </c>
      <c r="O65" s="70"/>
      <c r="P65" s="71"/>
      <c r="Q65" s="72"/>
      <c r="T65" s="70"/>
      <c r="U65" s="73"/>
      <c r="V65" s="74"/>
      <c r="W65" s="75"/>
      <c r="Z65" s="76"/>
      <c r="AA65" s="103" t="s">
        <v>4891</v>
      </c>
      <c r="AC65" s="39" t="s">
        <v>4152</v>
      </c>
      <c r="AD65" s="39"/>
      <c r="AE65" s="39" t="s">
        <v>4224</v>
      </c>
      <c r="AN65" s="40"/>
      <c r="AO65" s="39"/>
      <c r="AP65" s="70"/>
      <c r="AQ65" s="71"/>
      <c r="AR65" s="72"/>
      <c r="AU65" s="70"/>
      <c r="AV65" s="77"/>
      <c r="AW65" s="78"/>
      <c r="AX65" s="75"/>
      <c r="BA65" s="76"/>
      <c r="BD65" s="40"/>
      <c r="BE65" s="39"/>
    </row>
    <row r="66" spans="1:57" ht="24">
      <c r="A66" s="39" t="s">
        <v>4037</v>
      </c>
      <c r="B66" s="39" t="s">
        <v>4497</v>
      </c>
      <c r="C66" s="39" t="s">
        <v>57</v>
      </c>
      <c r="D66" s="39">
        <v>65</v>
      </c>
      <c r="E66" s="39">
        <v>1</v>
      </c>
      <c r="G66" s="39" t="s">
        <v>4498</v>
      </c>
      <c r="J66" s="39" t="s">
        <v>27</v>
      </c>
      <c r="K66" s="39" t="s">
        <v>4054</v>
      </c>
      <c r="N66" s="39">
        <v>1</v>
      </c>
      <c r="O66" s="70"/>
      <c r="P66" s="71"/>
      <c r="Q66" s="72"/>
      <c r="T66" s="70"/>
      <c r="U66" s="73"/>
      <c r="V66" s="74"/>
      <c r="W66" s="75"/>
      <c r="Z66" s="76"/>
      <c r="AA66" s="103" t="s">
        <v>4062</v>
      </c>
      <c r="AC66" s="39" t="s">
        <v>4499</v>
      </c>
      <c r="AD66" s="39" t="s">
        <v>5644</v>
      </c>
      <c r="AE66" s="39" t="s">
        <v>5643</v>
      </c>
      <c r="AN66" s="40"/>
      <c r="AO66" s="39"/>
      <c r="AP66" s="70"/>
      <c r="AQ66" s="71"/>
      <c r="AR66" s="72"/>
      <c r="AU66" s="70"/>
      <c r="AV66" s="77"/>
      <c r="AW66" s="78"/>
      <c r="AX66" s="75"/>
      <c r="BA66" s="76"/>
      <c r="BD66" s="40"/>
      <c r="BE66" s="39"/>
    </row>
    <row r="67" spans="1:57" ht="48">
      <c r="A67" s="39" t="s">
        <v>4037</v>
      </c>
      <c r="B67" s="39" t="s">
        <v>4382</v>
      </c>
      <c r="C67" s="39" t="s">
        <v>57</v>
      </c>
      <c r="D67" s="39">
        <v>66</v>
      </c>
      <c r="E67" s="39">
        <v>1</v>
      </c>
      <c r="G67" s="39" t="s">
        <v>4225</v>
      </c>
      <c r="J67" s="39" t="s">
        <v>27</v>
      </c>
      <c r="K67" s="39" t="s">
        <v>4054</v>
      </c>
      <c r="N67" s="39">
        <v>2</v>
      </c>
      <c r="O67" s="70"/>
      <c r="P67" s="71"/>
      <c r="Q67" s="72"/>
      <c r="T67" s="70"/>
      <c r="U67" s="73"/>
      <c r="V67" s="74"/>
      <c r="W67" s="75"/>
      <c r="Z67" s="76"/>
      <c r="AA67" s="103" t="s">
        <v>4884</v>
      </c>
      <c r="AC67" s="39" t="s">
        <v>4226</v>
      </c>
      <c r="AD67" s="39"/>
      <c r="AE67" s="39" t="s">
        <v>4227</v>
      </c>
      <c r="AN67" s="40"/>
      <c r="AO67" s="39"/>
      <c r="AP67" s="70"/>
      <c r="AQ67" s="71"/>
      <c r="AR67" s="72"/>
      <c r="AU67" s="70"/>
      <c r="AV67" s="77"/>
      <c r="AW67" s="78"/>
      <c r="AX67" s="75"/>
      <c r="BA67" s="76"/>
      <c r="BD67" s="40"/>
      <c r="BE67" s="39"/>
    </row>
    <row r="68" spans="1:57" ht="15.75">
      <c r="A68" s="39" t="s">
        <v>4037</v>
      </c>
      <c r="B68" s="39" t="s">
        <v>4500</v>
      </c>
      <c r="C68" s="39" t="s">
        <v>57</v>
      </c>
      <c r="D68" s="39">
        <v>67</v>
      </c>
      <c r="E68" s="39">
        <v>1</v>
      </c>
      <c r="G68" s="39" t="s">
        <v>4502</v>
      </c>
      <c r="J68" s="39" t="s">
        <v>4159</v>
      </c>
      <c r="K68" s="39" t="s">
        <v>4054</v>
      </c>
      <c r="N68" s="39"/>
      <c r="O68" s="70"/>
      <c r="P68" s="71"/>
      <c r="Q68" s="72"/>
      <c r="T68" s="70"/>
      <c r="U68" s="73"/>
      <c r="V68" s="74"/>
      <c r="W68" s="75"/>
      <c r="Z68" s="76"/>
      <c r="AA68" s="103" t="s">
        <v>4058</v>
      </c>
      <c r="AC68" s="39" t="s">
        <v>4248</v>
      </c>
      <c r="AD68" s="39"/>
      <c r="AE68" s="39" t="s">
        <v>4503</v>
      </c>
      <c r="AN68" s="40"/>
      <c r="AO68" s="39"/>
      <c r="AP68" s="70"/>
      <c r="AQ68" s="71"/>
      <c r="AR68" s="72"/>
      <c r="AU68" s="70"/>
      <c r="AV68" s="77"/>
      <c r="AW68" s="78"/>
      <c r="AX68" s="75"/>
      <c r="BA68" s="76"/>
      <c r="BD68" s="40"/>
      <c r="BE68" s="39"/>
    </row>
    <row r="69" spans="1:57" ht="36">
      <c r="A69" s="39" t="s">
        <v>4037</v>
      </c>
      <c r="B69" s="39" t="s">
        <v>4501</v>
      </c>
      <c r="C69" s="39" t="s">
        <v>57</v>
      </c>
      <c r="D69" s="39">
        <v>68</v>
      </c>
      <c r="E69" s="39">
        <v>1</v>
      </c>
      <c r="G69" s="39" t="s">
        <v>4504</v>
      </c>
      <c r="J69" s="39" t="s">
        <v>27</v>
      </c>
      <c r="K69" s="39" t="s">
        <v>4054</v>
      </c>
      <c r="L69" s="39">
        <v>1</v>
      </c>
      <c r="N69" s="39">
        <v>1</v>
      </c>
      <c r="O69" s="70"/>
      <c r="P69" s="71"/>
      <c r="Q69" s="72"/>
      <c r="T69" s="70"/>
      <c r="U69" s="73"/>
      <c r="V69" s="74"/>
      <c r="W69" s="75"/>
      <c r="Z69" s="76"/>
      <c r="AA69" s="103" t="s">
        <v>4882</v>
      </c>
      <c r="AC69" s="39" t="s">
        <v>4130</v>
      </c>
      <c r="AD69" s="39" t="s">
        <v>4505</v>
      </c>
      <c r="AE69" s="39" t="s">
        <v>4506</v>
      </c>
      <c r="AN69" s="40"/>
      <c r="AO69" s="39"/>
      <c r="AP69" s="70"/>
      <c r="AQ69" s="71"/>
      <c r="AR69" s="72"/>
      <c r="AU69" s="70"/>
      <c r="AV69" s="77"/>
      <c r="AW69" s="78"/>
      <c r="AX69" s="75"/>
      <c r="BA69" s="76"/>
      <c r="BD69" s="40"/>
      <c r="BE69" s="39"/>
    </row>
    <row r="70" spans="1:57" ht="48">
      <c r="A70" s="39" t="s">
        <v>4037</v>
      </c>
      <c r="B70" s="39" t="s">
        <v>4383</v>
      </c>
      <c r="C70" s="39" t="s">
        <v>57</v>
      </c>
      <c r="D70" s="39">
        <v>69</v>
      </c>
      <c r="E70" s="39">
        <v>1</v>
      </c>
      <c r="G70" s="39" t="s">
        <v>4225</v>
      </c>
      <c r="J70" s="39" t="s">
        <v>27</v>
      </c>
      <c r="K70" s="39" t="s">
        <v>4054</v>
      </c>
      <c r="L70" s="39">
        <v>2</v>
      </c>
      <c r="N70" s="39">
        <v>1</v>
      </c>
      <c r="O70" s="70"/>
      <c r="P70" s="71"/>
      <c r="Q70" s="72"/>
      <c r="T70" s="70"/>
      <c r="U70" s="73"/>
      <c r="V70" s="74"/>
      <c r="W70" s="75"/>
      <c r="Z70" s="76"/>
      <c r="AA70" s="103" t="s">
        <v>4884</v>
      </c>
      <c r="AC70" s="39" t="s">
        <v>4226</v>
      </c>
      <c r="AD70" s="39"/>
      <c r="AE70" s="39" t="s">
        <v>4228</v>
      </c>
      <c r="AN70" s="40"/>
      <c r="AO70" s="39"/>
      <c r="AP70" s="70"/>
      <c r="AQ70" s="71"/>
      <c r="AR70" s="72"/>
      <c r="AU70" s="70"/>
      <c r="AV70" s="77"/>
      <c r="AW70" s="78"/>
      <c r="AX70" s="75"/>
      <c r="BA70" s="76"/>
      <c r="BD70" s="40"/>
      <c r="BE70" s="39"/>
    </row>
    <row r="71" spans="1:57" ht="36">
      <c r="A71" s="39" t="s">
        <v>4037</v>
      </c>
      <c r="B71" s="39" t="s">
        <v>4507</v>
      </c>
      <c r="C71" s="39" t="s">
        <v>57</v>
      </c>
      <c r="D71" s="39">
        <v>70</v>
      </c>
      <c r="E71" s="39">
        <v>1</v>
      </c>
      <c r="G71" s="39" t="s">
        <v>4508</v>
      </c>
      <c r="J71" s="39" t="s">
        <v>4111</v>
      </c>
      <c r="K71" s="39" t="s">
        <v>4054</v>
      </c>
      <c r="L71" s="39">
        <v>3</v>
      </c>
      <c r="N71" s="39">
        <v>4</v>
      </c>
      <c r="O71" s="70"/>
      <c r="P71" s="71"/>
      <c r="Q71" s="72"/>
      <c r="T71" s="70"/>
      <c r="U71" s="73"/>
      <c r="V71" s="74"/>
      <c r="W71" s="75"/>
      <c r="Z71" s="76"/>
      <c r="AA71" s="103" t="s">
        <v>4891</v>
      </c>
      <c r="AB71" s="39" t="s">
        <v>4112</v>
      </c>
      <c r="AC71" s="39" t="s">
        <v>4121</v>
      </c>
      <c r="AD71" s="39"/>
      <c r="AE71" s="39" t="s">
        <v>5647</v>
      </c>
      <c r="AN71" s="40"/>
      <c r="AO71" s="39"/>
      <c r="AP71" s="70"/>
      <c r="AQ71" s="71"/>
      <c r="AR71" s="72"/>
      <c r="AU71" s="70"/>
      <c r="AV71" s="77"/>
      <c r="AW71" s="78"/>
      <c r="AX71" s="75"/>
      <c r="BA71" s="76"/>
      <c r="BD71" s="40"/>
      <c r="BE71" s="39"/>
    </row>
    <row r="72" spans="1:57" ht="36">
      <c r="A72" s="39" t="s">
        <v>4037</v>
      </c>
      <c r="B72" s="39" t="s">
        <v>4384</v>
      </c>
      <c r="C72" s="39" t="s">
        <v>57</v>
      </c>
      <c r="D72" s="39">
        <v>71</v>
      </c>
      <c r="E72" s="39">
        <v>1</v>
      </c>
      <c r="G72" s="39" t="s">
        <v>4229</v>
      </c>
      <c r="J72" s="39" t="s">
        <v>4111</v>
      </c>
      <c r="K72" s="39" t="s">
        <v>4054</v>
      </c>
      <c r="L72" s="39">
        <v>4</v>
      </c>
      <c r="N72" s="39">
        <v>2</v>
      </c>
      <c r="O72" s="70"/>
      <c r="P72" s="71"/>
      <c r="Q72" s="72"/>
      <c r="T72" s="70"/>
      <c r="U72" s="73"/>
      <c r="V72" s="74"/>
      <c r="W72" s="75"/>
      <c r="Z72" s="76"/>
      <c r="AA72" s="103" t="s">
        <v>4062</v>
      </c>
      <c r="AB72" s="39" t="s">
        <v>4112</v>
      </c>
      <c r="AC72" s="39" t="s">
        <v>4128</v>
      </c>
      <c r="AD72" s="39" t="s">
        <v>5645</v>
      </c>
      <c r="AE72" s="39" t="s">
        <v>5646</v>
      </c>
      <c r="AN72" s="40"/>
      <c r="AO72" s="39"/>
      <c r="AP72" s="70"/>
      <c r="AQ72" s="71"/>
      <c r="AR72" s="72"/>
      <c r="AU72" s="70"/>
      <c r="AV72" s="77"/>
      <c r="AW72" s="78"/>
      <c r="AX72" s="75"/>
      <c r="BA72" s="76"/>
      <c r="BD72" s="40"/>
      <c r="BE72" s="39"/>
    </row>
    <row r="73" spans="1:57" ht="15.75">
      <c r="A73" s="39" t="s">
        <v>4037</v>
      </c>
      <c r="B73" s="39" t="s">
        <v>4385</v>
      </c>
      <c r="C73" s="39" t="s">
        <v>57</v>
      </c>
      <c r="D73" s="39">
        <v>72</v>
      </c>
      <c r="E73" s="39">
        <v>1</v>
      </c>
      <c r="G73" s="39" t="s">
        <v>4230</v>
      </c>
      <c r="J73" s="39" t="s">
        <v>4111</v>
      </c>
      <c r="K73" s="39" t="s">
        <v>4056</v>
      </c>
      <c r="N73" s="39">
        <v>0</v>
      </c>
      <c r="O73" s="70"/>
      <c r="P73" s="71"/>
      <c r="Q73" s="72"/>
      <c r="S73" s="43">
        <v>2</v>
      </c>
      <c r="T73" s="70" t="s">
        <v>38</v>
      </c>
      <c r="U73" s="73"/>
      <c r="V73" s="74"/>
      <c r="W73" s="75"/>
      <c r="Z73" s="76"/>
      <c r="AA73" s="103" t="s">
        <v>4060</v>
      </c>
      <c r="AB73" s="39" t="s">
        <v>4231</v>
      </c>
      <c r="AC73" s="39" t="s">
        <v>4232</v>
      </c>
      <c r="AD73" s="39"/>
      <c r="AN73" s="40"/>
      <c r="AO73" s="39"/>
      <c r="AP73" s="70"/>
      <c r="AQ73" s="71"/>
      <c r="AR73" s="72"/>
      <c r="AU73" s="70"/>
      <c r="AV73" s="77"/>
      <c r="AW73" s="78"/>
      <c r="AX73" s="75"/>
      <c r="BA73" s="76"/>
      <c r="BD73" s="40"/>
      <c r="BE73" s="39"/>
    </row>
    <row r="74" spans="1:57" ht="36">
      <c r="A74" s="39" t="s">
        <v>4037</v>
      </c>
      <c r="B74" s="39" t="s">
        <v>4386</v>
      </c>
      <c r="C74" s="39" t="s">
        <v>57</v>
      </c>
      <c r="D74" s="39">
        <v>73</v>
      </c>
      <c r="E74" s="39">
        <v>1</v>
      </c>
      <c r="G74" s="39" t="s">
        <v>4233</v>
      </c>
      <c r="J74" s="39" t="s">
        <v>4111</v>
      </c>
      <c r="K74" s="39" t="s">
        <v>4056</v>
      </c>
      <c r="N74" s="39">
        <v>1</v>
      </c>
      <c r="O74" s="70"/>
      <c r="P74" s="71"/>
      <c r="Q74" s="72"/>
      <c r="T74" s="70"/>
      <c r="U74" s="73"/>
      <c r="V74" s="74"/>
      <c r="W74" s="75"/>
      <c r="Z74" s="76"/>
      <c r="AA74" s="103" t="s">
        <v>4059</v>
      </c>
      <c r="AC74" s="39" t="s">
        <v>4138</v>
      </c>
      <c r="AD74" s="39"/>
      <c r="AE74" s="39" t="s">
        <v>4234</v>
      </c>
      <c r="AN74" s="40"/>
      <c r="AO74" s="39"/>
      <c r="AP74" s="70"/>
      <c r="AQ74" s="71"/>
      <c r="AR74" s="72"/>
      <c r="AU74" s="70"/>
      <c r="AV74" s="77"/>
      <c r="AW74" s="78"/>
      <c r="AX74" s="75"/>
      <c r="BA74" s="76"/>
      <c r="BD74" s="40"/>
      <c r="BE74" s="39"/>
    </row>
    <row r="75" spans="1:57" ht="36">
      <c r="A75" s="39" t="s">
        <v>4037</v>
      </c>
      <c r="B75" s="39" t="s">
        <v>4387</v>
      </c>
      <c r="C75" s="39" t="s">
        <v>57</v>
      </c>
      <c r="D75" s="39">
        <v>74</v>
      </c>
      <c r="E75" s="39">
        <v>1</v>
      </c>
      <c r="G75" s="39" t="s">
        <v>4235</v>
      </c>
      <c r="J75" s="39" t="s">
        <v>4111</v>
      </c>
      <c r="K75" s="39" t="s">
        <v>4056</v>
      </c>
      <c r="N75" s="39">
        <v>2</v>
      </c>
      <c r="O75" s="70"/>
      <c r="P75" s="71"/>
      <c r="Q75" s="72"/>
      <c r="T75" s="70"/>
      <c r="U75" s="73"/>
      <c r="V75" s="74"/>
      <c r="W75" s="75"/>
      <c r="Z75" s="76"/>
      <c r="AA75" s="103" t="s">
        <v>4060</v>
      </c>
      <c r="AB75" s="39" t="s">
        <v>4169</v>
      </c>
      <c r="AC75" s="39" t="s">
        <v>4146</v>
      </c>
      <c r="AD75" s="39"/>
      <c r="AE75" s="39" t="s">
        <v>4236</v>
      </c>
      <c r="AN75" s="40"/>
      <c r="AO75" s="39"/>
      <c r="AP75" s="70"/>
      <c r="AQ75" s="71"/>
      <c r="AR75" s="72"/>
      <c r="AU75" s="70"/>
      <c r="AV75" s="77"/>
      <c r="AW75" s="78"/>
      <c r="AX75" s="75"/>
      <c r="BA75" s="76"/>
      <c r="BD75" s="40"/>
      <c r="BE75" s="39"/>
    </row>
    <row r="76" spans="1:57" ht="24">
      <c r="A76" s="39" t="s">
        <v>4037</v>
      </c>
      <c r="B76" s="39" t="s">
        <v>4388</v>
      </c>
      <c r="C76" s="39" t="s">
        <v>57</v>
      </c>
      <c r="D76" s="39">
        <v>75</v>
      </c>
      <c r="E76" s="39">
        <v>1</v>
      </c>
      <c r="G76" s="39" t="s">
        <v>4237</v>
      </c>
      <c r="J76" s="39" t="s">
        <v>4111</v>
      </c>
      <c r="K76" s="39" t="s">
        <v>4056</v>
      </c>
      <c r="N76" s="39">
        <v>1</v>
      </c>
      <c r="O76" s="70"/>
      <c r="P76" s="71"/>
      <c r="Q76" s="72"/>
      <c r="T76" s="70"/>
      <c r="U76" s="73"/>
      <c r="V76" s="74"/>
      <c r="W76" s="75"/>
      <c r="Z76" s="76"/>
      <c r="AA76" s="103" t="s">
        <v>4062</v>
      </c>
      <c r="AB76" s="39" t="s">
        <v>4127</v>
      </c>
      <c r="AC76" s="39" t="s">
        <v>4216</v>
      </c>
      <c r="AD76" s="39"/>
      <c r="AE76" s="39" t="s">
        <v>4238</v>
      </c>
      <c r="AN76" s="40"/>
      <c r="AO76" s="39"/>
      <c r="AP76" s="70"/>
      <c r="AQ76" s="71"/>
      <c r="AR76" s="72"/>
      <c r="AU76" s="70"/>
      <c r="AV76" s="77"/>
      <c r="AW76" s="78"/>
      <c r="AX76" s="75"/>
      <c r="BA76" s="76"/>
      <c r="BD76" s="40"/>
      <c r="BE76" s="39"/>
    </row>
    <row r="77" spans="1:57" ht="24">
      <c r="A77" s="39" t="s">
        <v>4037</v>
      </c>
      <c r="B77" s="39" t="s">
        <v>4389</v>
      </c>
      <c r="C77" s="39" t="s">
        <v>57</v>
      </c>
      <c r="D77" s="39">
        <v>76</v>
      </c>
      <c r="E77" s="39">
        <v>1</v>
      </c>
      <c r="G77" s="39" t="s">
        <v>4239</v>
      </c>
      <c r="J77" s="39" t="s">
        <v>4111</v>
      </c>
      <c r="K77" s="39" t="s">
        <v>4056</v>
      </c>
      <c r="N77" s="39">
        <v>1</v>
      </c>
      <c r="O77" s="70"/>
      <c r="P77" s="71"/>
      <c r="Q77" s="72"/>
      <c r="S77" s="43">
        <v>1</v>
      </c>
      <c r="T77" s="70" t="s">
        <v>38</v>
      </c>
      <c r="U77" s="73"/>
      <c r="V77" s="74"/>
      <c r="W77" s="75"/>
      <c r="Z77" s="76"/>
      <c r="AA77" s="103" t="s">
        <v>4061</v>
      </c>
      <c r="AB77" s="39" t="s">
        <v>25</v>
      </c>
      <c r="AC77" s="39" t="s">
        <v>4149</v>
      </c>
      <c r="AD77" s="39"/>
      <c r="AE77" s="39" t="s">
        <v>4240</v>
      </c>
      <c r="AN77" s="40"/>
      <c r="AO77" s="39"/>
      <c r="AP77" s="70"/>
      <c r="AQ77" s="71"/>
      <c r="AR77" s="72"/>
      <c r="AU77" s="70"/>
      <c r="AV77" s="77"/>
      <c r="AW77" s="78"/>
      <c r="AX77" s="75"/>
      <c r="BA77" s="76"/>
      <c r="BD77" s="40"/>
      <c r="BE77" s="39"/>
    </row>
    <row r="78" spans="1:57" ht="24">
      <c r="A78" s="39" t="s">
        <v>4037</v>
      </c>
      <c r="B78" s="39" t="s">
        <v>4390</v>
      </c>
      <c r="C78" s="39" t="s">
        <v>57</v>
      </c>
      <c r="D78" s="39">
        <v>77</v>
      </c>
      <c r="E78" s="39">
        <v>1</v>
      </c>
      <c r="G78" s="39" t="s">
        <v>4241</v>
      </c>
      <c r="J78" s="39" t="s">
        <v>4111</v>
      </c>
      <c r="K78" s="39" t="s">
        <v>4056</v>
      </c>
      <c r="N78" s="39">
        <v>2</v>
      </c>
      <c r="O78" s="70"/>
      <c r="P78" s="71"/>
      <c r="Q78" s="72"/>
      <c r="T78" s="70"/>
      <c r="U78" s="73"/>
      <c r="V78" s="74"/>
      <c r="W78" s="75"/>
      <c r="Z78" s="76"/>
      <c r="AA78" s="103" t="s">
        <v>4884</v>
      </c>
      <c r="AC78" s="39" t="s">
        <v>4138</v>
      </c>
      <c r="AD78" s="39"/>
      <c r="AE78" s="39" t="s">
        <v>4242</v>
      </c>
      <c r="AN78" s="40"/>
      <c r="AO78" s="39"/>
      <c r="AP78" s="70"/>
      <c r="AQ78" s="71"/>
      <c r="AR78" s="72"/>
      <c r="AU78" s="70"/>
      <c r="AV78" s="77"/>
      <c r="AW78" s="78"/>
      <c r="AX78" s="75"/>
      <c r="BA78" s="76"/>
      <c r="BD78" s="40"/>
      <c r="BE78" s="39"/>
    </row>
    <row r="79" spans="1:57" ht="15.75">
      <c r="A79" s="39" t="s">
        <v>4037</v>
      </c>
      <c r="B79" s="39" t="s">
        <v>4391</v>
      </c>
      <c r="C79" s="39" t="s">
        <v>57</v>
      </c>
      <c r="D79" s="39">
        <v>78</v>
      </c>
      <c r="E79" s="39">
        <v>1</v>
      </c>
      <c r="G79" s="39" t="s">
        <v>4243</v>
      </c>
      <c r="J79" s="39" t="s">
        <v>27</v>
      </c>
      <c r="K79" s="39" t="s">
        <v>4056</v>
      </c>
      <c r="N79" s="39">
        <v>5</v>
      </c>
      <c r="O79" s="70"/>
      <c r="P79" s="71"/>
      <c r="Q79" s="72"/>
      <c r="T79" s="70"/>
      <c r="U79" s="73"/>
      <c r="V79" s="74"/>
      <c r="W79" s="75"/>
      <c r="Z79" s="76"/>
      <c r="AA79" s="103" t="s">
        <v>4885</v>
      </c>
      <c r="AC79" s="39" t="s">
        <v>4154</v>
      </c>
      <c r="AD79" s="39"/>
      <c r="AE79" s="39" t="s">
        <v>4244</v>
      </c>
      <c r="AN79" s="40"/>
      <c r="AO79" s="39"/>
      <c r="AP79" s="70"/>
      <c r="AQ79" s="71"/>
      <c r="AR79" s="72"/>
      <c r="AU79" s="70"/>
      <c r="AV79" s="77"/>
      <c r="AW79" s="78"/>
      <c r="AX79" s="75"/>
      <c r="BA79" s="76"/>
      <c r="BD79" s="40"/>
      <c r="BE79" s="39"/>
    </row>
    <row r="80" spans="1:57" ht="24">
      <c r="A80" s="39" t="s">
        <v>4037</v>
      </c>
      <c r="B80" s="39" t="s">
        <v>4392</v>
      </c>
      <c r="C80" s="39" t="s">
        <v>57</v>
      </c>
      <c r="D80" s="39">
        <v>79</v>
      </c>
      <c r="E80" s="39">
        <v>1</v>
      </c>
      <c r="G80" s="39" t="s">
        <v>4245</v>
      </c>
      <c r="J80" s="39" t="s">
        <v>27</v>
      </c>
      <c r="K80" s="39" t="s">
        <v>4056</v>
      </c>
      <c r="N80" s="39">
        <v>2</v>
      </c>
      <c r="O80" s="70"/>
      <c r="P80" s="71"/>
      <c r="Q80" s="72"/>
      <c r="T80" s="70"/>
      <c r="U80" s="73"/>
      <c r="V80" s="74"/>
      <c r="W80" s="75"/>
      <c r="Z80" s="76"/>
      <c r="AA80" s="103" t="s">
        <v>4883</v>
      </c>
      <c r="AC80" s="39" t="s">
        <v>4213</v>
      </c>
      <c r="AD80" s="39" t="s">
        <v>5649</v>
      </c>
      <c r="AE80" s="39" t="s">
        <v>5648</v>
      </c>
      <c r="AN80" s="40"/>
      <c r="AO80" s="39"/>
      <c r="AP80" s="70"/>
      <c r="AQ80" s="71"/>
      <c r="AR80" s="72"/>
      <c r="AU80" s="70"/>
      <c r="AV80" s="77"/>
      <c r="AW80" s="78"/>
      <c r="AX80" s="75"/>
      <c r="BA80" s="76"/>
      <c r="BD80" s="40"/>
      <c r="BE80" s="39"/>
    </row>
    <row r="81" spans="1:57" ht="24">
      <c r="A81" s="39" t="s">
        <v>4037</v>
      </c>
      <c r="B81" s="39" t="s">
        <v>4393</v>
      </c>
      <c r="C81" s="39" t="s">
        <v>57</v>
      </c>
      <c r="D81" s="39">
        <v>80</v>
      </c>
      <c r="E81" s="39">
        <v>1</v>
      </c>
      <c r="G81" s="39" t="s">
        <v>4246</v>
      </c>
      <c r="J81" s="39" t="s">
        <v>27</v>
      </c>
      <c r="K81" s="39" t="s">
        <v>4056</v>
      </c>
      <c r="N81" s="39">
        <v>1</v>
      </c>
      <c r="O81" s="70"/>
      <c r="P81" s="71"/>
      <c r="Q81" s="72"/>
      <c r="T81" s="70"/>
      <c r="U81" s="73"/>
      <c r="V81" s="74"/>
      <c r="W81" s="75"/>
      <c r="Z81" s="76"/>
      <c r="AA81" s="101"/>
      <c r="AC81" s="39" t="s">
        <v>4213</v>
      </c>
      <c r="AD81" s="39" t="s">
        <v>5654</v>
      </c>
      <c r="AE81" s="39" t="s">
        <v>5653</v>
      </c>
      <c r="AN81" s="40"/>
      <c r="AO81" s="39"/>
      <c r="AP81" s="70"/>
      <c r="AQ81" s="71"/>
      <c r="AR81" s="72"/>
      <c r="AU81" s="70"/>
      <c r="AV81" s="77"/>
      <c r="AW81" s="78"/>
      <c r="AX81" s="75"/>
      <c r="BA81" s="76"/>
      <c r="BD81" s="40"/>
      <c r="BE81" s="39"/>
    </row>
    <row r="82" spans="1:57" ht="48">
      <c r="A82" s="39" t="s">
        <v>4037</v>
      </c>
      <c r="B82" s="39" t="s">
        <v>4394</v>
      </c>
      <c r="C82" s="39" t="s">
        <v>57</v>
      </c>
      <c r="D82" s="39">
        <v>81</v>
      </c>
      <c r="E82" s="39">
        <v>1</v>
      </c>
      <c r="G82" s="39" t="s">
        <v>4247</v>
      </c>
      <c r="J82" s="39" t="s">
        <v>4159</v>
      </c>
      <c r="K82" s="39" t="s">
        <v>4056</v>
      </c>
      <c r="N82" s="39"/>
      <c r="O82" s="70"/>
      <c r="P82" s="71"/>
      <c r="Q82" s="72"/>
      <c r="T82" s="70"/>
      <c r="U82" s="73"/>
      <c r="V82" s="74"/>
      <c r="W82" s="75"/>
      <c r="Z82" s="76"/>
      <c r="AA82" s="103" t="s">
        <v>4061</v>
      </c>
      <c r="AC82" s="39" t="s">
        <v>4248</v>
      </c>
      <c r="AD82" s="39"/>
      <c r="AE82" s="39" t="s">
        <v>5650</v>
      </c>
      <c r="AN82" s="40"/>
      <c r="AO82" s="39"/>
      <c r="AP82" s="70"/>
      <c r="AQ82" s="71"/>
      <c r="AR82" s="72"/>
      <c r="AU82" s="70"/>
      <c r="AV82" s="77"/>
      <c r="AW82" s="78"/>
      <c r="AX82" s="75"/>
      <c r="BA82" s="76"/>
      <c r="BD82" s="40"/>
      <c r="BE82" s="39"/>
    </row>
    <row r="83" spans="1:57" ht="48">
      <c r="A83" s="39" t="s">
        <v>4037</v>
      </c>
      <c r="B83" s="39" t="s">
        <v>4509</v>
      </c>
      <c r="C83" s="39" t="s">
        <v>57</v>
      </c>
      <c r="D83" s="39">
        <v>82</v>
      </c>
      <c r="E83" s="39">
        <v>1</v>
      </c>
      <c r="G83" s="39" t="s">
        <v>4510</v>
      </c>
      <c r="H83" s="39" t="s">
        <v>4511</v>
      </c>
      <c r="I83" s="39" t="s">
        <v>4077</v>
      </c>
      <c r="J83" s="39" t="s">
        <v>4111</v>
      </c>
      <c r="K83" s="39" t="s">
        <v>4056</v>
      </c>
      <c r="L83" s="39">
        <v>1</v>
      </c>
      <c r="N83" s="39">
        <v>5</v>
      </c>
      <c r="O83" s="70"/>
      <c r="P83" s="71"/>
      <c r="Q83" s="72"/>
      <c r="S83" s="43">
        <v>1</v>
      </c>
      <c r="T83" s="70">
        <v>4</v>
      </c>
      <c r="U83" s="73"/>
      <c r="V83" s="74"/>
      <c r="W83" s="75"/>
      <c r="Z83" s="76"/>
      <c r="AA83" s="103" t="s">
        <v>4058</v>
      </c>
      <c r="AB83" s="39" t="s">
        <v>25</v>
      </c>
      <c r="AC83" s="39" t="s">
        <v>4288</v>
      </c>
      <c r="AD83" s="39"/>
      <c r="AE83" s="39" t="s">
        <v>4512</v>
      </c>
      <c r="AN83" s="40"/>
      <c r="AO83" s="39"/>
      <c r="AP83" s="70"/>
      <c r="AQ83" s="71"/>
      <c r="AR83" s="72"/>
      <c r="AU83" s="70"/>
      <c r="AV83" s="77"/>
      <c r="AW83" s="78"/>
      <c r="AX83" s="75"/>
      <c r="BA83" s="76"/>
      <c r="BD83" s="40"/>
      <c r="BE83" s="39"/>
    </row>
    <row r="84" spans="1:57" ht="36">
      <c r="A84" s="39" t="s">
        <v>4037</v>
      </c>
      <c r="B84" s="39" t="s">
        <v>4395</v>
      </c>
      <c r="C84" s="39" t="s">
        <v>57</v>
      </c>
      <c r="D84" s="39">
        <v>83</v>
      </c>
      <c r="E84" s="39">
        <v>1</v>
      </c>
      <c r="G84" s="39" t="s">
        <v>4249</v>
      </c>
      <c r="J84" s="39" t="s">
        <v>27</v>
      </c>
      <c r="K84" s="39" t="s">
        <v>4056</v>
      </c>
      <c r="L84" s="39">
        <v>2</v>
      </c>
      <c r="N84" s="39">
        <v>2</v>
      </c>
      <c r="O84" s="70"/>
      <c r="P84" s="71"/>
      <c r="Q84" s="72"/>
      <c r="T84" s="70"/>
      <c r="U84" s="73"/>
      <c r="V84" s="74"/>
      <c r="W84" s="75"/>
      <c r="Z84" s="76"/>
      <c r="AA84" s="103" t="s">
        <v>4886</v>
      </c>
      <c r="AC84" s="39" t="s">
        <v>4213</v>
      </c>
      <c r="AD84" s="39" t="s">
        <v>5652</v>
      </c>
      <c r="AE84" s="39" t="s">
        <v>5651</v>
      </c>
      <c r="AN84" s="40"/>
      <c r="AO84" s="39"/>
      <c r="AP84" s="70"/>
      <c r="AQ84" s="71"/>
      <c r="AR84" s="72"/>
      <c r="AU84" s="70"/>
      <c r="AV84" s="77"/>
      <c r="AW84" s="78"/>
      <c r="AX84" s="75"/>
      <c r="BA84" s="76"/>
      <c r="BD84" s="40"/>
      <c r="BE84" s="39"/>
    </row>
    <row r="85" spans="1:57" ht="24">
      <c r="A85" s="39" t="s">
        <v>4037</v>
      </c>
      <c r="B85" s="39" t="s">
        <v>4396</v>
      </c>
      <c r="C85" s="39" t="s">
        <v>57</v>
      </c>
      <c r="D85" s="39">
        <v>84</v>
      </c>
      <c r="E85" s="39">
        <v>1</v>
      </c>
      <c r="G85" s="39" t="s">
        <v>4246</v>
      </c>
      <c r="J85" s="39" t="s">
        <v>27</v>
      </c>
      <c r="K85" s="39" t="s">
        <v>4056</v>
      </c>
      <c r="L85" s="39">
        <v>2</v>
      </c>
      <c r="N85" s="39">
        <v>1</v>
      </c>
      <c r="O85" s="70"/>
      <c r="P85" s="71"/>
      <c r="Q85" s="72"/>
      <c r="T85" s="70"/>
      <c r="U85" s="73"/>
      <c r="V85" s="74"/>
      <c r="W85" s="75"/>
      <c r="Z85" s="76"/>
      <c r="AA85" s="101"/>
      <c r="AC85" s="39" t="s">
        <v>4213</v>
      </c>
      <c r="AD85" s="39" t="s">
        <v>5654</v>
      </c>
      <c r="AE85" s="39" t="s">
        <v>5655</v>
      </c>
      <c r="AN85" s="40"/>
      <c r="AO85" s="39"/>
      <c r="AP85" s="70"/>
      <c r="AQ85" s="71"/>
      <c r="AR85" s="72"/>
      <c r="AU85" s="70"/>
      <c r="AV85" s="77"/>
      <c r="AW85" s="78"/>
      <c r="AX85" s="75"/>
      <c r="BA85" s="76"/>
      <c r="BD85" s="40"/>
      <c r="BE85" s="39"/>
    </row>
    <row r="86" spans="1:57" ht="24">
      <c r="A86" s="39" t="s">
        <v>4037</v>
      </c>
      <c r="B86" s="39" t="s">
        <v>4397</v>
      </c>
      <c r="C86" s="39" t="s">
        <v>57</v>
      </c>
      <c r="D86" s="39">
        <v>85</v>
      </c>
      <c r="E86" s="39">
        <v>1</v>
      </c>
      <c r="G86" s="39" t="s">
        <v>4250</v>
      </c>
      <c r="J86" s="39" t="s">
        <v>27</v>
      </c>
      <c r="K86" s="39" t="s">
        <v>4056</v>
      </c>
      <c r="L86" s="39">
        <v>3</v>
      </c>
      <c r="N86" s="39">
        <v>2</v>
      </c>
      <c r="O86" s="70"/>
      <c r="P86" s="71"/>
      <c r="Q86" s="72"/>
      <c r="T86" s="70"/>
      <c r="U86" s="73"/>
      <c r="V86" s="74"/>
      <c r="W86" s="75"/>
      <c r="Z86" s="76"/>
      <c r="AA86" s="103" t="s">
        <v>4892</v>
      </c>
      <c r="AC86" s="39" t="s">
        <v>4213</v>
      </c>
      <c r="AD86" s="39" t="s">
        <v>4486</v>
      </c>
      <c r="AE86" s="39" t="s">
        <v>5656</v>
      </c>
      <c r="AN86" s="40"/>
      <c r="AO86" s="39"/>
      <c r="AP86" s="70"/>
      <c r="AQ86" s="71"/>
      <c r="AR86" s="72"/>
      <c r="AU86" s="70"/>
      <c r="AV86" s="77"/>
      <c r="AW86" s="78"/>
      <c r="AX86" s="75"/>
      <c r="BA86" s="76"/>
      <c r="BD86" s="40"/>
      <c r="BE86" s="39"/>
    </row>
    <row r="87" spans="1:57" ht="36">
      <c r="A87" s="39" t="s">
        <v>4037</v>
      </c>
      <c r="B87" s="39" t="s">
        <v>4398</v>
      </c>
      <c r="C87" s="39" t="s">
        <v>57</v>
      </c>
      <c r="D87" s="39">
        <v>86</v>
      </c>
      <c r="E87" s="39">
        <v>4</v>
      </c>
      <c r="G87" s="39" t="s">
        <v>4251</v>
      </c>
      <c r="J87" s="39" t="s">
        <v>4111</v>
      </c>
      <c r="K87" s="39" t="s">
        <v>26</v>
      </c>
      <c r="N87" s="39">
        <v>1</v>
      </c>
      <c r="O87" s="70"/>
      <c r="P87" s="71"/>
      <c r="Q87" s="72"/>
      <c r="T87" s="70"/>
      <c r="U87" s="73"/>
      <c r="V87" s="74"/>
      <c r="W87" s="75"/>
      <c r="Z87" s="76"/>
      <c r="AA87" s="103" t="s">
        <v>4060</v>
      </c>
      <c r="AB87" s="39" t="s">
        <v>4112</v>
      </c>
      <c r="AC87" s="39" t="s">
        <v>4146</v>
      </c>
      <c r="AD87" s="39"/>
      <c r="AE87" s="39" t="s">
        <v>4252</v>
      </c>
      <c r="AN87" s="40"/>
      <c r="AO87" s="39"/>
      <c r="AP87" s="70"/>
      <c r="AQ87" s="71"/>
      <c r="AR87" s="72"/>
      <c r="AU87" s="70"/>
      <c r="AV87" s="77"/>
      <c r="AW87" s="78"/>
      <c r="AX87" s="75"/>
      <c r="BA87" s="76"/>
      <c r="BD87" s="40"/>
      <c r="BE87" s="39"/>
    </row>
    <row r="88" spans="1:57" ht="24">
      <c r="A88" s="39" t="s">
        <v>4037</v>
      </c>
      <c r="B88" s="39" t="s">
        <v>4399</v>
      </c>
      <c r="C88" s="39" t="s">
        <v>57</v>
      </c>
      <c r="D88" s="39">
        <v>87</v>
      </c>
      <c r="E88" s="39">
        <v>4</v>
      </c>
      <c r="G88" s="39" t="s">
        <v>4253</v>
      </c>
      <c r="J88" s="39" t="s">
        <v>4111</v>
      </c>
      <c r="K88" s="39" t="s">
        <v>26</v>
      </c>
      <c r="N88" s="39">
        <v>2</v>
      </c>
      <c r="O88" s="70"/>
      <c r="P88" s="71"/>
      <c r="Q88" s="72"/>
      <c r="T88" s="70"/>
      <c r="U88" s="73"/>
      <c r="V88" s="74"/>
      <c r="W88" s="75"/>
      <c r="Z88" s="76"/>
      <c r="AA88" s="103" t="s">
        <v>4059</v>
      </c>
      <c r="AB88" s="39" t="s">
        <v>4112</v>
      </c>
      <c r="AC88" s="39" t="s">
        <v>4171</v>
      </c>
      <c r="AD88" s="39" t="s">
        <v>5494</v>
      </c>
      <c r="AE88" s="39" t="s">
        <v>5657</v>
      </c>
      <c r="AN88" s="40"/>
      <c r="AO88" s="39"/>
      <c r="AP88" s="70"/>
      <c r="AQ88" s="71"/>
      <c r="AR88" s="72"/>
      <c r="AU88" s="70"/>
      <c r="AV88" s="77"/>
      <c r="AW88" s="78"/>
      <c r="AX88" s="75"/>
      <c r="BA88" s="76"/>
      <c r="BD88" s="40"/>
      <c r="BE88" s="39"/>
    </row>
    <row r="89" spans="1:57" ht="15">
      <c r="A89" s="39" t="s">
        <v>4037</v>
      </c>
      <c r="B89" s="39" t="s">
        <v>4400</v>
      </c>
      <c r="C89" s="39" t="s">
        <v>57</v>
      </c>
      <c r="D89" s="39">
        <v>88</v>
      </c>
      <c r="E89" s="39">
        <v>4</v>
      </c>
      <c r="G89" s="39" t="s">
        <v>4254</v>
      </c>
      <c r="J89" s="39" t="s">
        <v>27</v>
      </c>
      <c r="K89" s="39" t="s">
        <v>26</v>
      </c>
      <c r="N89" s="39">
        <v>0</v>
      </c>
      <c r="O89" s="70"/>
      <c r="P89" s="71"/>
      <c r="Q89" s="72"/>
      <c r="T89" s="70"/>
      <c r="U89" s="73"/>
      <c r="V89" s="74"/>
      <c r="W89" s="75"/>
      <c r="Z89" s="76"/>
      <c r="AA89" s="101"/>
      <c r="AC89" s="39" t="s">
        <v>4163</v>
      </c>
      <c r="AD89" s="39"/>
      <c r="AE89" s="39" t="s">
        <v>4255</v>
      </c>
      <c r="AN89" s="40"/>
      <c r="AO89" s="39"/>
      <c r="AP89" s="70"/>
      <c r="AQ89" s="71"/>
      <c r="AR89" s="72"/>
      <c r="AU89" s="70"/>
      <c r="AV89" s="77"/>
      <c r="AW89" s="78"/>
      <c r="AX89" s="75"/>
      <c r="BA89" s="76"/>
      <c r="BD89" s="40"/>
      <c r="BE89" s="39"/>
    </row>
    <row r="90" spans="1:57" ht="15.75">
      <c r="A90" s="39" t="s">
        <v>4037</v>
      </c>
      <c r="B90" s="39" t="s">
        <v>4401</v>
      </c>
      <c r="C90" s="39" t="s">
        <v>57</v>
      </c>
      <c r="D90" s="39">
        <v>89</v>
      </c>
      <c r="E90" s="39">
        <v>2</v>
      </c>
      <c r="G90" s="39" t="s">
        <v>4256</v>
      </c>
      <c r="J90" s="39" t="s">
        <v>4159</v>
      </c>
      <c r="K90" s="39" t="s">
        <v>26</v>
      </c>
      <c r="N90" s="39"/>
      <c r="O90" s="70"/>
      <c r="P90" s="71"/>
      <c r="Q90" s="72"/>
      <c r="T90" s="70"/>
      <c r="U90" s="73"/>
      <c r="V90" s="74"/>
      <c r="W90" s="75"/>
      <c r="Z90" s="76"/>
      <c r="AA90" s="103" t="s">
        <v>4893</v>
      </c>
      <c r="AC90" s="39" t="s">
        <v>4248</v>
      </c>
      <c r="AD90" s="39" t="s">
        <v>4261</v>
      </c>
      <c r="AE90" s="39" t="s">
        <v>5658</v>
      </c>
      <c r="AN90" s="40"/>
      <c r="AO90" s="39"/>
      <c r="AP90" s="70"/>
      <c r="AQ90" s="71"/>
      <c r="AR90" s="72"/>
      <c r="AU90" s="70"/>
      <c r="AV90" s="77"/>
      <c r="AW90" s="78"/>
      <c r="AX90" s="75"/>
      <c r="BA90" s="76"/>
      <c r="BD90" s="40"/>
      <c r="BE90" s="39"/>
    </row>
    <row r="91" spans="1:57" ht="15.75">
      <c r="A91" s="39" t="s">
        <v>4037</v>
      </c>
      <c r="B91" s="39" t="s">
        <v>4402</v>
      </c>
      <c r="C91" s="39" t="s">
        <v>57</v>
      </c>
      <c r="D91" s="39">
        <v>90</v>
      </c>
      <c r="E91" s="39">
        <v>2</v>
      </c>
      <c r="G91" s="39" t="s">
        <v>4257</v>
      </c>
      <c r="J91" s="39" t="s">
        <v>4159</v>
      </c>
      <c r="K91" s="39" t="s">
        <v>26</v>
      </c>
      <c r="N91" s="39"/>
      <c r="O91" s="70"/>
      <c r="P91" s="71"/>
      <c r="Q91" s="72"/>
      <c r="T91" s="70"/>
      <c r="U91" s="73"/>
      <c r="V91" s="74"/>
      <c r="W91" s="75"/>
      <c r="Z91" s="76"/>
      <c r="AA91" s="103" t="s">
        <v>4883</v>
      </c>
      <c r="AC91" s="39" t="s">
        <v>4160</v>
      </c>
      <c r="AD91" s="39" t="s">
        <v>4261</v>
      </c>
      <c r="AE91" s="39" t="s">
        <v>5658</v>
      </c>
      <c r="AN91" s="40"/>
      <c r="AO91" s="39"/>
      <c r="AP91" s="70"/>
      <c r="AQ91" s="71"/>
      <c r="AR91" s="72"/>
      <c r="AU91" s="70"/>
      <c r="AV91" s="77"/>
      <c r="AW91" s="78"/>
      <c r="AX91" s="75"/>
      <c r="BA91" s="76"/>
      <c r="BD91" s="40"/>
      <c r="BE91" s="39"/>
    </row>
    <row r="92" spans="1:57" ht="15.75">
      <c r="A92" s="39" t="s">
        <v>4037</v>
      </c>
      <c r="B92" s="39" t="s">
        <v>4403</v>
      </c>
      <c r="C92" s="39" t="s">
        <v>57</v>
      </c>
      <c r="D92" s="39">
        <v>91</v>
      </c>
      <c r="E92" s="39">
        <v>2</v>
      </c>
      <c r="G92" s="39" t="s">
        <v>4258</v>
      </c>
      <c r="J92" s="39" t="s">
        <v>4159</v>
      </c>
      <c r="K92" s="39" t="s">
        <v>26</v>
      </c>
      <c r="N92" s="39"/>
      <c r="O92" s="70"/>
      <c r="P92" s="71"/>
      <c r="Q92" s="72"/>
      <c r="T92" s="70"/>
      <c r="U92" s="73"/>
      <c r="V92" s="74"/>
      <c r="W92" s="75"/>
      <c r="Z92" s="76"/>
      <c r="AA92" s="103" t="s">
        <v>4887</v>
      </c>
      <c r="AC92" s="39" t="s">
        <v>4160</v>
      </c>
      <c r="AD92" s="39" t="s">
        <v>4261</v>
      </c>
      <c r="AE92" s="39" t="s">
        <v>5658</v>
      </c>
      <c r="AN92" s="40"/>
      <c r="AO92" s="39"/>
      <c r="AP92" s="70"/>
      <c r="AQ92" s="71"/>
      <c r="AR92" s="72"/>
      <c r="AU92" s="70"/>
      <c r="AV92" s="77"/>
      <c r="AW92" s="78"/>
      <c r="AX92" s="75"/>
      <c r="BA92" s="76"/>
      <c r="BD92" s="40"/>
      <c r="BE92" s="39"/>
    </row>
    <row r="93" spans="1:57" ht="15.75">
      <c r="A93" s="39" t="s">
        <v>4037</v>
      </c>
      <c r="B93" s="39" t="s">
        <v>4404</v>
      </c>
      <c r="C93" s="39" t="s">
        <v>57</v>
      </c>
      <c r="D93" s="39">
        <v>92</v>
      </c>
      <c r="E93" s="39">
        <v>2</v>
      </c>
      <c r="G93" s="39" t="s">
        <v>4259</v>
      </c>
      <c r="J93" s="39" t="s">
        <v>4159</v>
      </c>
      <c r="K93" s="39" t="s">
        <v>26</v>
      </c>
      <c r="N93" s="39"/>
      <c r="O93" s="70"/>
      <c r="P93" s="71"/>
      <c r="Q93" s="72"/>
      <c r="T93" s="70"/>
      <c r="U93" s="73"/>
      <c r="V93" s="74"/>
      <c r="W93" s="75"/>
      <c r="Z93" s="76"/>
      <c r="AA93" s="103" t="s">
        <v>4894</v>
      </c>
      <c r="AC93" s="39" t="s">
        <v>4248</v>
      </c>
      <c r="AD93" s="39" t="s">
        <v>4261</v>
      </c>
      <c r="AE93" s="39" t="s">
        <v>5658</v>
      </c>
      <c r="AN93" s="40"/>
      <c r="AO93" s="39"/>
      <c r="AP93" s="70"/>
      <c r="AQ93" s="71"/>
      <c r="AR93" s="72"/>
      <c r="AU93" s="70"/>
      <c r="AV93" s="77"/>
      <c r="AW93" s="78"/>
      <c r="AX93" s="75"/>
      <c r="BA93" s="76"/>
      <c r="BD93" s="40"/>
      <c r="BE93" s="39"/>
    </row>
    <row r="94" spans="1:57" ht="15.75">
      <c r="A94" s="39" t="s">
        <v>4037</v>
      </c>
      <c r="B94" s="39" t="s">
        <v>4405</v>
      </c>
      <c r="C94" s="39" t="s">
        <v>57</v>
      </c>
      <c r="D94" s="39">
        <v>93</v>
      </c>
      <c r="E94" s="39">
        <v>2</v>
      </c>
      <c r="G94" s="39" t="s">
        <v>4260</v>
      </c>
      <c r="J94" s="39" t="s">
        <v>4159</v>
      </c>
      <c r="K94" s="39" t="s">
        <v>26</v>
      </c>
      <c r="N94" s="39"/>
      <c r="O94" s="70"/>
      <c r="P94" s="71"/>
      <c r="Q94" s="72"/>
      <c r="T94" s="70"/>
      <c r="U94" s="73"/>
      <c r="V94" s="74"/>
      <c r="W94" s="75"/>
      <c r="Z94" s="76"/>
      <c r="AA94" s="103" t="s">
        <v>4881</v>
      </c>
      <c r="AC94" s="39" t="s">
        <v>4248</v>
      </c>
      <c r="AD94" s="39" t="s">
        <v>4261</v>
      </c>
      <c r="AN94" s="40"/>
      <c r="AO94" s="39"/>
      <c r="AP94" s="70"/>
      <c r="AQ94" s="71"/>
      <c r="AR94" s="72"/>
      <c r="AU94" s="70"/>
      <c r="AV94" s="77"/>
      <c r="AW94" s="78"/>
      <c r="AX94" s="75"/>
      <c r="BA94" s="76"/>
      <c r="BD94" s="40"/>
      <c r="BE94" s="39"/>
    </row>
    <row r="95" spans="1:57" ht="15.75">
      <c r="A95" s="39" t="s">
        <v>4037</v>
      </c>
      <c r="B95" s="39" t="s">
        <v>4406</v>
      </c>
      <c r="C95" s="39" t="s">
        <v>57</v>
      </c>
      <c r="D95" s="39">
        <v>94</v>
      </c>
      <c r="E95" s="39">
        <v>2</v>
      </c>
      <c r="G95" s="39" t="s">
        <v>4262</v>
      </c>
      <c r="J95" s="39" t="s">
        <v>4111</v>
      </c>
      <c r="K95" s="39" t="s">
        <v>26</v>
      </c>
      <c r="L95" s="39">
        <v>3</v>
      </c>
      <c r="N95" s="39">
        <v>2</v>
      </c>
      <c r="O95" s="70"/>
      <c r="P95" s="71"/>
      <c r="Q95" s="72"/>
      <c r="S95" s="43">
        <v>4</v>
      </c>
      <c r="T95" s="70" t="s">
        <v>38</v>
      </c>
      <c r="U95" s="73"/>
      <c r="V95" s="74"/>
      <c r="W95" s="75"/>
      <c r="Z95" s="76"/>
      <c r="AA95" s="103" t="s">
        <v>4892</v>
      </c>
      <c r="AB95" s="39" t="s">
        <v>4231</v>
      </c>
      <c r="AC95" s="39" t="s">
        <v>4232</v>
      </c>
      <c r="AD95" s="39"/>
      <c r="AN95" s="40"/>
      <c r="AO95" s="39"/>
      <c r="AP95" s="70"/>
      <c r="AQ95" s="71"/>
      <c r="AR95" s="72"/>
      <c r="AU95" s="70"/>
      <c r="AV95" s="77"/>
      <c r="AW95" s="78"/>
      <c r="AX95" s="75"/>
      <c r="BA95" s="76"/>
      <c r="BD95" s="40"/>
      <c r="BE95" s="39"/>
    </row>
    <row r="96" spans="1:57" ht="15.75">
      <c r="A96" s="39" t="s">
        <v>4037</v>
      </c>
      <c r="B96" s="39" t="s">
        <v>4407</v>
      </c>
      <c r="C96" s="39" t="s">
        <v>57</v>
      </c>
      <c r="D96" s="39">
        <v>95</v>
      </c>
      <c r="E96" s="39">
        <v>2</v>
      </c>
      <c r="G96" s="39" t="s">
        <v>4263</v>
      </c>
      <c r="J96" s="39" t="s">
        <v>4111</v>
      </c>
      <c r="K96" s="39" t="s">
        <v>26</v>
      </c>
      <c r="L96" s="39">
        <v>3</v>
      </c>
      <c r="N96" s="39">
        <v>2</v>
      </c>
      <c r="O96" s="70"/>
      <c r="P96" s="71"/>
      <c r="Q96" s="72"/>
      <c r="S96" s="43" t="s">
        <v>38</v>
      </c>
      <c r="T96" s="70">
        <v>4</v>
      </c>
      <c r="U96" s="73"/>
      <c r="V96" s="74"/>
      <c r="W96" s="75"/>
      <c r="Z96" s="76"/>
      <c r="AA96" s="103" t="s">
        <v>4885</v>
      </c>
      <c r="AB96" s="39" t="s">
        <v>4127</v>
      </c>
      <c r="AC96" s="39" t="s">
        <v>4128</v>
      </c>
      <c r="AD96" s="39"/>
      <c r="AN96" s="40"/>
      <c r="AO96" s="39"/>
      <c r="AP96" s="70"/>
      <c r="AQ96" s="71"/>
      <c r="AR96" s="72"/>
      <c r="AU96" s="70"/>
      <c r="AV96" s="77"/>
      <c r="AW96" s="78"/>
      <c r="AX96" s="75"/>
      <c r="BA96" s="76"/>
      <c r="BD96" s="40"/>
      <c r="BE96" s="39"/>
    </row>
    <row r="97" spans="1:58" ht="24">
      <c r="A97" s="39" t="s">
        <v>4037</v>
      </c>
      <c r="B97" s="39" t="s">
        <v>4408</v>
      </c>
      <c r="C97" s="39" t="s">
        <v>57</v>
      </c>
      <c r="D97" s="39">
        <v>96</v>
      </c>
      <c r="E97" s="39">
        <v>2</v>
      </c>
      <c r="G97" s="39" t="s">
        <v>4264</v>
      </c>
      <c r="J97" s="39" t="s">
        <v>28</v>
      </c>
      <c r="K97" s="39" t="s">
        <v>26</v>
      </c>
      <c r="M97" s="39" t="s">
        <v>4513</v>
      </c>
      <c r="N97" s="39"/>
      <c r="O97" s="70"/>
      <c r="P97" s="71"/>
      <c r="Q97" s="72"/>
      <c r="T97" s="70"/>
      <c r="U97" s="73"/>
      <c r="V97" s="74"/>
      <c r="W97" s="75"/>
      <c r="Z97" s="76"/>
      <c r="AA97" s="101"/>
      <c r="AC97" s="39" t="s">
        <v>4134</v>
      </c>
      <c r="AD97" s="39"/>
      <c r="AE97" s="39" t="s">
        <v>4265</v>
      </c>
      <c r="AN97" s="40"/>
      <c r="AO97" s="39"/>
      <c r="AP97" s="70"/>
      <c r="AQ97" s="71"/>
      <c r="AR97" s="72"/>
      <c r="AU97" s="70"/>
      <c r="AV97" s="77"/>
      <c r="AW97" s="78"/>
      <c r="AX97" s="75"/>
      <c r="BA97" s="76"/>
      <c r="BD97" s="40"/>
      <c r="BE97" s="39"/>
    </row>
    <row r="98" spans="1:58" ht="15">
      <c r="A98" s="39" t="s">
        <v>4037</v>
      </c>
      <c r="B98" s="39" t="s">
        <v>4409</v>
      </c>
      <c r="C98" s="39" t="s">
        <v>57</v>
      </c>
      <c r="D98" s="39">
        <v>97</v>
      </c>
      <c r="E98" s="39">
        <v>2</v>
      </c>
      <c r="G98" s="39" t="s">
        <v>4266</v>
      </c>
      <c r="J98" s="39" t="s">
        <v>28</v>
      </c>
      <c r="K98" s="39" t="s">
        <v>26</v>
      </c>
      <c r="M98" s="39" t="s">
        <v>4513</v>
      </c>
      <c r="N98" s="39"/>
      <c r="O98" s="70"/>
      <c r="P98" s="71"/>
      <c r="Q98" s="72"/>
      <c r="T98" s="70"/>
      <c r="U98" s="73"/>
      <c r="V98" s="74"/>
      <c r="W98" s="75"/>
      <c r="Z98" s="76"/>
      <c r="AA98" s="101"/>
      <c r="AC98" s="39" t="s">
        <v>4134</v>
      </c>
      <c r="AD98" s="39"/>
      <c r="AE98" s="39" t="s">
        <v>4267</v>
      </c>
      <c r="AN98" s="40"/>
      <c r="AO98" s="39"/>
      <c r="AP98" s="70"/>
      <c r="AQ98" s="71"/>
      <c r="AR98" s="72"/>
      <c r="AU98" s="70"/>
      <c r="AV98" s="77"/>
      <c r="AW98" s="78"/>
      <c r="AX98" s="75"/>
      <c r="BA98" s="76"/>
      <c r="BD98" s="40"/>
      <c r="BE98" s="39"/>
    </row>
    <row r="99" spans="1:58" ht="36">
      <c r="A99" s="39" t="s">
        <v>4037</v>
      </c>
      <c r="B99" s="39" t="s">
        <v>4410</v>
      </c>
      <c r="C99" s="39" t="s">
        <v>57</v>
      </c>
      <c r="D99" s="39">
        <v>98</v>
      </c>
      <c r="E99" s="39">
        <v>1</v>
      </c>
      <c r="G99" s="39" t="s">
        <v>4268</v>
      </c>
      <c r="J99" s="39" t="s">
        <v>28</v>
      </c>
      <c r="K99" s="39" t="s">
        <v>26</v>
      </c>
      <c r="M99" s="39" t="s">
        <v>4513</v>
      </c>
      <c r="N99" s="39"/>
      <c r="O99" s="70"/>
      <c r="P99" s="71"/>
      <c r="Q99" s="72"/>
      <c r="T99" s="70"/>
      <c r="U99" s="73"/>
      <c r="V99" s="74"/>
      <c r="W99" s="75"/>
      <c r="Z99" s="76"/>
      <c r="AA99" s="101"/>
      <c r="AC99" s="39" t="s">
        <v>4269</v>
      </c>
      <c r="AD99" s="39"/>
      <c r="AE99" s="39" t="s">
        <v>4270</v>
      </c>
      <c r="AN99" s="40"/>
      <c r="AO99" s="39"/>
      <c r="AP99" s="70"/>
      <c r="AQ99" s="71"/>
      <c r="AR99" s="72"/>
      <c r="AU99" s="70"/>
      <c r="AV99" s="77"/>
      <c r="AW99" s="78"/>
      <c r="AX99" s="75"/>
      <c r="BA99" s="76"/>
      <c r="BD99" s="40"/>
      <c r="BE99" s="39"/>
    </row>
    <row r="100" spans="1:58" ht="48">
      <c r="A100" s="39" t="s">
        <v>4037</v>
      </c>
      <c r="B100" s="39" t="s">
        <v>4411</v>
      </c>
      <c r="C100" s="39" t="s">
        <v>57</v>
      </c>
      <c r="D100" s="39">
        <v>99</v>
      </c>
      <c r="E100" s="39">
        <v>1</v>
      </c>
      <c r="G100" s="39" t="s">
        <v>4518</v>
      </c>
      <c r="J100" s="39" t="s">
        <v>28</v>
      </c>
      <c r="K100" s="39" t="s">
        <v>26</v>
      </c>
      <c r="M100" s="39" t="s">
        <v>4513</v>
      </c>
      <c r="N100" s="39"/>
      <c r="O100" s="70"/>
      <c r="P100" s="71"/>
      <c r="Q100" s="72"/>
      <c r="T100" s="70"/>
      <c r="U100" s="73"/>
      <c r="V100" s="74"/>
      <c r="W100" s="75"/>
      <c r="Z100" s="76"/>
      <c r="AA100" s="101"/>
      <c r="AC100" s="39" t="s">
        <v>4134</v>
      </c>
      <c r="AD100" s="39"/>
      <c r="AE100" s="39" t="s">
        <v>4519</v>
      </c>
      <c r="AN100" s="40"/>
      <c r="AO100" s="39"/>
      <c r="AP100" s="70"/>
      <c r="AQ100" s="71"/>
      <c r="AR100" s="72"/>
      <c r="AU100" s="70"/>
      <c r="AV100" s="77"/>
      <c r="AW100" s="78"/>
      <c r="AX100" s="75"/>
      <c r="BA100" s="76"/>
      <c r="BD100" s="40"/>
      <c r="BE100" s="39"/>
    </row>
    <row r="101" spans="1:58" ht="48">
      <c r="A101" s="39" t="s">
        <v>4037</v>
      </c>
      <c r="B101" s="39" t="s">
        <v>4514</v>
      </c>
      <c r="C101" s="39" t="s">
        <v>57</v>
      </c>
      <c r="D101" s="39">
        <v>100</v>
      </c>
      <c r="E101" s="39">
        <v>1</v>
      </c>
      <c r="G101" s="39" t="s">
        <v>4271</v>
      </c>
      <c r="J101" s="39" t="s">
        <v>28</v>
      </c>
      <c r="K101" s="39" t="s">
        <v>26</v>
      </c>
      <c r="M101" s="39" t="s">
        <v>4513</v>
      </c>
      <c r="N101" s="39"/>
      <c r="O101" s="70"/>
      <c r="P101" s="71"/>
      <c r="Q101" s="72"/>
      <c r="T101" s="70"/>
      <c r="U101" s="73"/>
      <c r="V101" s="74"/>
      <c r="W101" s="75"/>
      <c r="Z101" s="76"/>
      <c r="AA101" s="101"/>
      <c r="AC101" s="39" t="s">
        <v>4134</v>
      </c>
      <c r="AD101" s="39"/>
      <c r="AE101" s="39" t="s">
        <v>4520</v>
      </c>
      <c r="AN101" s="40"/>
      <c r="AO101" s="39"/>
      <c r="AP101" s="70"/>
      <c r="AQ101" s="71"/>
      <c r="AR101" s="72"/>
      <c r="AU101" s="70"/>
      <c r="AV101" s="77"/>
      <c r="AW101" s="78"/>
      <c r="AX101" s="75"/>
      <c r="BA101" s="76"/>
      <c r="BD101" s="40"/>
      <c r="BE101" s="39"/>
    </row>
    <row r="102" spans="1:58" ht="24">
      <c r="A102" s="39" t="s">
        <v>4037</v>
      </c>
      <c r="B102" s="39" t="s">
        <v>4515</v>
      </c>
      <c r="C102" s="39" t="s">
        <v>57</v>
      </c>
      <c r="D102" s="39">
        <v>101</v>
      </c>
      <c r="E102" s="39">
        <v>1</v>
      </c>
      <c r="G102" s="39" t="s">
        <v>4521</v>
      </c>
      <c r="J102" s="39" t="s">
        <v>29</v>
      </c>
      <c r="M102" s="39" t="s">
        <v>4513</v>
      </c>
      <c r="N102" s="39"/>
      <c r="O102" s="70"/>
      <c r="P102" s="71"/>
      <c r="Q102" s="72">
        <v>4</v>
      </c>
      <c r="R102" s="63">
        <v>3</v>
      </c>
      <c r="S102" s="43">
        <v>3</v>
      </c>
      <c r="T102" s="70"/>
      <c r="U102" s="73">
        <v>1</v>
      </c>
      <c r="V102" s="74"/>
      <c r="W102" s="75"/>
      <c r="Z102" s="76"/>
      <c r="AA102" s="101"/>
      <c r="AC102" s="39" t="s">
        <v>4522</v>
      </c>
      <c r="AD102" s="39" t="s">
        <v>4523</v>
      </c>
      <c r="AE102" s="39" t="s">
        <v>4524</v>
      </c>
      <c r="AN102" s="40"/>
      <c r="AO102" s="39"/>
      <c r="AP102" s="70"/>
      <c r="AQ102" s="71"/>
      <c r="AR102" s="72"/>
      <c r="AU102" s="70"/>
      <c r="AV102" s="77"/>
      <c r="AW102" s="78"/>
      <c r="AX102" s="75"/>
      <c r="BA102" s="76"/>
      <c r="BD102" s="40"/>
      <c r="BE102" s="39"/>
    </row>
    <row r="103" spans="1:58" ht="24">
      <c r="A103" s="39" t="s">
        <v>4037</v>
      </c>
      <c r="B103" s="39" t="s">
        <v>4516</v>
      </c>
      <c r="C103" s="39" t="s">
        <v>57</v>
      </c>
      <c r="D103" s="39">
        <v>102</v>
      </c>
      <c r="E103" s="39">
        <v>1</v>
      </c>
      <c r="G103" s="39" t="s">
        <v>4525</v>
      </c>
      <c r="J103" s="39" t="s">
        <v>29</v>
      </c>
      <c r="M103" s="39" t="s">
        <v>4513</v>
      </c>
      <c r="N103" s="39"/>
      <c r="O103" s="70"/>
      <c r="P103" s="71"/>
      <c r="Q103" s="72">
        <v>2</v>
      </c>
      <c r="R103" s="63">
        <v>3</v>
      </c>
      <c r="S103" s="43">
        <v>3</v>
      </c>
      <c r="T103" s="70"/>
      <c r="U103" s="73">
        <v>1</v>
      </c>
      <c r="V103" s="74"/>
      <c r="W103" s="75"/>
      <c r="Z103" s="76"/>
      <c r="AA103" s="101"/>
      <c r="AC103" s="39" t="s">
        <v>4526</v>
      </c>
      <c r="AD103" s="39" t="s">
        <v>4523</v>
      </c>
      <c r="AE103" s="39" t="s">
        <v>4527</v>
      </c>
      <c r="AN103" s="40"/>
      <c r="AO103" s="39"/>
      <c r="AP103" s="70"/>
      <c r="AQ103" s="71"/>
      <c r="AR103" s="72"/>
      <c r="AU103" s="70"/>
      <c r="AV103" s="77"/>
      <c r="AW103" s="78"/>
      <c r="AX103" s="75"/>
      <c r="BA103" s="76"/>
      <c r="BD103" s="40"/>
      <c r="BE103" s="39"/>
    </row>
    <row r="104" spans="1:58" ht="36">
      <c r="A104" s="39" t="s">
        <v>4037</v>
      </c>
      <c r="B104" s="39" t="s">
        <v>4517</v>
      </c>
      <c r="C104" s="39" t="s">
        <v>57</v>
      </c>
      <c r="D104" s="39">
        <v>103</v>
      </c>
      <c r="E104" s="39">
        <v>1</v>
      </c>
      <c r="G104" s="39" t="s">
        <v>4528</v>
      </c>
      <c r="J104" s="39" t="s">
        <v>29</v>
      </c>
      <c r="M104" s="39" t="s">
        <v>4513</v>
      </c>
      <c r="N104" s="39"/>
      <c r="O104" s="70"/>
      <c r="P104" s="71"/>
      <c r="Q104" s="72">
        <v>3</v>
      </c>
      <c r="R104" s="63">
        <v>2</v>
      </c>
      <c r="S104" s="43">
        <v>2</v>
      </c>
      <c r="T104" s="70"/>
      <c r="U104" s="73">
        <v>1</v>
      </c>
      <c r="V104" s="74"/>
      <c r="W104" s="75"/>
      <c r="Z104" s="76"/>
      <c r="AA104" s="101"/>
      <c r="AC104" s="39" t="s">
        <v>4529</v>
      </c>
      <c r="AD104" s="39" t="s">
        <v>4523</v>
      </c>
      <c r="AE104" s="39" t="s">
        <v>4530</v>
      </c>
      <c r="AN104" s="40"/>
      <c r="AO104" s="39"/>
      <c r="AP104" s="70"/>
      <c r="AQ104" s="71"/>
      <c r="AR104" s="72"/>
      <c r="AU104" s="70"/>
      <c r="AV104" s="77"/>
      <c r="AW104" s="78"/>
      <c r="AX104" s="75"/>
      <c r="BA104" s="76"/>
      <c r="BD104" s="40"/>
      <c r="BE104" s="39"/>
    </row>
    <row r="105" spans="1:58" ht="72">
      <c r="A105" s="39" t="s">
        <v>4037</v>
      </c>
      <c r="B105" s="39" t="s">
        <v>4412</v>
      </c>
      <c r="C105" s="39" t="s">
        <v>57</v>
      </c>
      <c r="D105" s="79">
        <v>104</v>
      </c>
      <c r="E105" s="59">
        <v>1</v>
      </c>
      <c r="F105" s="59" t="s">
        <v>4272</v>
      </c>
      <c r="G105" s="59" t="s">
        <v>4272</v>
      </c>
      <c r="H105" s="39" t="s">
        <v>4531</v>
      </c>
      <c r="J105" s="39" t="s">
        <v>4448</v>
      </c>
      <c r="AA105" s="101"/>
      <c r="AE105" s="39" t="s">
        <v>4750</v>
      </c>
      <c r="AH105" s="57" t="s">
        <v>4272</v>
      </c>
      <c r="AI105" s="59" t="s">
        <v>4532</v>
      </c>
      <c r="AK105" s="39" t="s">
        <v>4448</v>
      </c>
      <c r="AN105" s="40"/>
      <c r="AO105" s="39"/>
      <c r="AP105" s="70"/>
      <c r="AQ105" s="71"/>
      <c r="AR105" s="72"/>
      <c r="AU105" s="70"/>
      <c r="AV105" s="77"/>
      <c r="AW105" s="78"/>
      <c r="AX105" s="75"/>
      <c r="BA105" s="76"/>
      <c r="BD105" s="40"/>
      <c r="BE105" s="39"/>
      <c r="BF105" s="39" t="s">
        <v>4751</v>
      </c>
    </row>
    <row r="106" spans="1:58" ht="36">
      <c r="A106" s="39" t="s">
        <v>4037</v>
      </c>
      <c r="B106" s="39" t="s">
        <v>4413</v>
      </c>
      <c r="C106" s="39" t="s">
        <v>57</v>
      </c>
      <c r="D106" s="40">
        <v>105</v>
      </c>
      <c r="E106" s="39">
        <v>1</v>
      </c>
      <c r="F106" s="59" t="s">
        <v>4272</v>
      </c>
      <c r="G106" s="39" t="s">
        <v>4273</v>
      </c>
      <c r="J106" s="39" t="s">
        <v>4449</v>
      </c>
      <c r="L106" s="39">
        <v>1</v>
      </c>
      <c r="Y106" s="43">
        <v>3</v>
      </c>
      <c r="AA106" s="101"/>
      <c r="AH106" s="39" t="s">
        <v>4533</v>
      </c>
      <c r="AK106" s="39" t="s">
        <v>4449</v>
      </c>
      <c r="AM106" s="39">
        <v>1</v>
      </c>
      <c r="AN106" s="40"/>
      <c r="AO106" s="39"/>
      <c r="AP106" s="70"/>
      <c r="AQ106" s="71"/>
      <c r="AR106" s="72"/>
      <c r="AU106" s="70"/>
      <c r="AV106" s="77"/>
      <c r="AW106" s="78"/>
      <c r="AX106" s="75"/>
      <c r="BA106" s="76"/>
      <c r="BD106" s="40"/>
      <c r="BE106" s="39"/>
      <c r="BF106" s="39" t="s">
        <v>4534</v>
      </c>
    </row>
    <row r="107" spans="1:58" ht="48">
      <c r="A107" s="39" t="s">
        <v>4037</v>
      </c>
      <c r="B107" s="39" t="s">
        <v>4414</v>
      </c>
      <c r="C107" s="39" t="s">
        <v>57</v>
      </c>
      <c r="D107" s="40">
        <v>106</v>
      </c>
      <c r="E107" s="39">
        <v>1</v>
      </c>
      <c r="F107" s="59" t="s">
        <v>4272</v>
      </c>
      <c r="G107" s="39" t="s">
        <v>4274</v>
      </c>
      <c r="J107" s="39" t="s">
        <v>4449</v>
      </c>
      <c r="L107" s="39">
        <v>2</v>
      </c>
      <c r="Y107" s="43">
        <v>7</v>
      </c>
      <c r="AA107" s="101"/>
      <c r="AH107" s="39" t="s">
        <v>4535</v>
      </c>
      <c r="AK107" s="39" t="s">
        <v>4449</v>
      </c>
      <c r="AM107" s="39">
        <v>2</v>
      </c>
      <c r="AN107" s="40"/>
      <c r="AO107" s="39"/>
      <c r="AP107" s="70"/>
      <c r="AQ107" s="71"/>
      <c r="AR107" s="72"/>
      <c r="AU107" s="70"/>
      <c r="AV107" s="77"/>
      <c r="AW107" s="78"/>
      <c r="AX107" s="75"/>
      <c r="BA107" s="76"/>
      <c r="BD107" s="40"/>
      <c r="BE107" s="39"/>
      <c r="BF107" s="39" t="s">
        <v>4536</v>
      </c>
    </row>
    <row r="108" spans="1:58" ht="72">
      <c r="A108" s="39" t="s">
        <v>4037</v>
      </c>
      <c r="B108" s="39" t="s">
        <v>4415</v>
      </c>
      <c r="C108" s="39" t="s">
        <v>57</v>
      </c>
      <c r="D108" s="40">
        <v>107</v>
      </c>
      <c r="E108" s="39">
        <v>1</v>
      </c>
      <c r="F108" s="59" t="s">
        <v>4272</v>
      </c>
      <c r="G108" s="39" t="s">
        <v>4275</v>
      </c>
      <c r="J108" s="39" t="s">
        <v>4449</v>
      </c>
      <c r="L108" s="39">
        <v>3</v>
      </c>
      <c r="Y108" s="43">
        <v>10</v>
      </c>
      <c r="AA108" s="101"/>
      <c r="AE108" s="39" t="s">
        <v>4450</v>
      </c>
      <c r="AH108" s="39" t="s">
        <v>4537</v>
      </c>
      <c r="AK108" s="39" t="s">
        <v>4449</v>
      </c>
      <c r="AM108" s="39">
        <v>3</v>
      </c>
      <c r="AN108" s="40"/>
      <c r="AO108" s="39"/>
      <c r="AP108" s="70"/>
      <c r="AQ108" s="71"/>
      <c r="AR108" s="72"/>
      <c r="AU108" s="70"/>
      <c r="AV108" s="77"/>
      <c r="AW108" s="78"/>
      <c r="AX108" s="75"/>
      <c r="BA108" s="76"/>
      <c r="BD108" s="40"/>
      <c r="BE108" s="39"/>
      <c r="BF108" s="39" t="s">
        <v>4538</v>
      </c>
    </row>
    <row r="109" spans="1:58" ht="48">
      <c r="A109" s="39" t="s">
        <v>4037</v>
      </c>
      <c r="B109" s="39" t="s">
        <v>4416</v>
      </c>
      <c r="C109" s="39" t="s">
        <v>57</v>
      </c>
      <c r="D109" s="39">
        <v>108</v>
      </c>
      <c r="E109" s="39">
        <v>1</v>
      </c>
      <c r="F109" s="59" t="s">
        <v>4272</v>
      </c>
      <c r="G109" s="39" t="s">
        <v>4276</v>
      </c>
      <c r="J109" s="39" t="s">
        <v>4451</v>
      </c>
      <c r="L109" s="39">
        <v>1</v>
      </c>
      <c r="N109" s="39"/>
      <c r="X109" s="63" t="s">
        <v>4909</v>
      </c>
      <c r="AA109" s="101"/>
      <c r="AD109" s="39"/>
      <c r="AH109" s="39" t="s">
        <v>4539</v>
      </c>
      <c r="AK109" s="39" t="s">
        <v>4451</v>
      </c>
      <c r="AM109" s="39">
        <v>1</v>
      </c>
      <c r="AN109" s="40"/>
      <c r="AO109" s="39"/>
      <c r="AP109" s="70"/>
      <c r="AQ109" s="71"/>
      <c r="AR109" s="72"/>
      <c r="AU109" s="70"/>
      <c r="AV109" s="77"/>
      <c r="AW109" s="78"/>
      <c r="AX109" s="75"/>
      <c r="BA109" s="76"/>
      <c r="BD109" s="40"/>
      <c r="BE109" s="39"/>
      <c r="BF109" s="39" t="s">
        <v>4540</v>
      </c>
    </row>
    <row r="110" spans="1:58" ht="48">
      <c r="A110" s="39" t="s">
        <v>4037</v>
      </c>
      <c r="B110" s="39" t="s">
        <v>4417</v>
      </c>
      <c r="C110" s="39" t="s">
        <v>57</v>
      </c>
      <c r="D110" s="39">
        <v>109</v>
      </c>
      <c r="E110" s="39">
        <v>1</v>
      </c>
      <c r="F110" s="59" t="s">
        <v>4272</v>
      </c>
      <c r="G110" s="39" t="s">
        <v>4277</v>
      </c>
      <c r="J110" s="39" t="s">
        <v>4451</v>
      </c>
      <c r="L110" s="39">
        <v>2</v>
      </c>
      <c r="N110" s="39"/>
      <c r="X110" s="63" t="s">
        <v>4910</v>
      </c>
      <c r="AA110" s="101"/>
      <c r="AD110" s="39"/>
      <c r="AE110" s="39" t="s">
        <v>4452</v>
      </c>
      <c r="AH110" s="39" t="s">
        <v>4541</v>
      </c>
      <c r="AK110" s="39" t="s">
        <v>4451</v>
      </c>
      <c r="AM110" s="39">
        <v>2</v>
      </c>
      <c r="AN110" s="40"/>
      <c r="AO110" s="39"/>
      <c r="AP110" s="70"/>
      <c r="AQ110" s="71"/>
      <c r="AR110" s="72"/>
      <c r="AU110" s="70"/>
      <c r="AV110" s="77"/>
      <c r="AW110" s="78"/>
      <c r="AX110" s="75"/>
      <c r="BA110" s="76"/>
      <c r="BD110" s="40"/>
      <c r="BE110" s="39"/>
      <c r="BF110" s="39" t="s">
        <v>4542</v>
      </c>
    </row>
    <row r="111" spans="1:58" ht="36">
      <c r="A111" s="39" t="s">
        <v>4037</v>
      </c>
      <c r="B111" s="39" t="s">
        <v>4418</v>
      </c>
      <c r="C111" s="39" t="s">
        <v>57</v>
      </c>
      <c r="D111" s="39">
        <v>110</v>
      </c>
      <c r="E111" s="39">
        <v>1</v>
      </c>
      <c r="F111" s="59" t="s">
        <v>4272</v>
      </c>
      <c r="G111" s="39" t="s">
        <v>4278</v>
      </c>
      <c r="J111" s="39" t="s">
        <v>4451</v>
      </c>
      <c r="L111" s="39">
        <v>3</v>
      </c>
      <c r="N111" s="39"/>
      <c r="X111" s="80" t="s">
        <v>38</v>
      </c>
      <c r="AA111" s="101"/>
      <c r="AD111" s="39"/>
      <c r="AE111" s="39" t="s">
        <v>4453</v>
      </c>
      <c r="AH111" s="39" t="s">
        <v>4543</v>
      </c>
      <c r="AK111" s="39" t="s">
        <v>4451</v>
      </c>
      <c r="AM111" s="39">
        <v>3</v>
      </c>
      <c r="AN111" s="40"/>
      <c r="AO111" s="39"/>
      <c r="AP111" s="70"/>
      <c r="AQ111" s="71"/>
      <c r="AR111" s="72"/>
      <c r="AU111" s="70"/>
      <c r="AV111" s="77"/>
      <c r="AW111" s="78"/>
      <c r="AX111" s="75"/>
      <c r="BA111" s="76"/>
      <c r="BD111" s="40"/>
      <c r="BE111" s="39"/>
      <c r="BF111" s="39" t="s">
        <v>4544</v>
      </c>
    </row>
    <row r="112" spans="1:58" ht="24">
      <c r="A112" s="39" t="s">
        <v>4037</v>
      </c>
      <c r="B112" s="39" t="s">
        <v>4419</v>
      </c>
      <c r="C112" s="39" t="s">
        <v>57</v>
      </c>
      <c r="D112" s="39">
        <v>111</v>
      </c>
      <c r="E112" s="39">
        <v>1</v>
      </c>
      <c r="F112" s="59" t="s">
        <v>4272</v>
      </c>
      <c r="G112" s="39" t="s">
        <v>4279</v>
      </c>
      <c r="J112" s="39" t="s">
        <v>31</v>
      </c>
      <c r="N112" s="39"/>
      <c r="AA112" s="101"/>
      <c r="AD112" s="39"/>
      <c r="AH112" s="39" t="s">
        <v>4279</v>
      </c>
      <c r="AK112" s="39" t="s">
        <v>31</v>
      </c>
      <c r="AO112" s="39"/>
      <c r="AX112" s="66">
        <v>2</v>
      </c>
      <c r="AY112" s="63" t="s">
        <v>4909</v>
      </c>
      <c r="BE112" s="39"/>
    </row>
    <row r="113" spans="1:58" ht="15">
      <c r="A113" s="39" t="s">
        <v>4037</v>
      </c>
      <c r="B113" s="39" t="s">
        <v>4420</v>
      </c>
      <c r="C113" s="39" t="s">
        <v>57</v>
      </c>
      <c r="D113" s="39">
        <v>112</v>
      </c>
      <c r="E113" s="39">
        <v>1</v>
      </c>
      <c r="F113" s="59" t="s">
        <v>4272</v>
      </c>
      <c r="G113" s="39" t="s">
        <v>4280</v>
      </c>
      <c r="J113" s="39" t="s">
        <v>31</v>
      </c>
      <c r="N113" s="39"/>
      <c r="AA113" s="101"/>
      <c r="AD113" s="39"/>
      <c r="AH113" s="39" t="s">
        <v>4280</v>
      </c>
      <c r="AK113" s="39" t="s">
        <v>31</v>
      </c>
      <c r="AO113" s="39"/>
      <c r="AX113" s="66">
        <v>1</v>
      </c>
      <c r="AY113" s="63">
        <v>0</v>
      </c>
      <c r="BE113" s="39"/>
    </row>
    <row r="114" spans="1:58" ht="24">
      <c r="A114" s="39" t="s">
        <v>4037</v>
      </c>
      <c r="B114" s="39" t="s">
        <v>4421</v>
      </c>
      <c r="C114" s="39" t="s">
        <v>57</v>
      </c>
      <c r="D114" s="39">
        <v>113</v>
      </c>
      <c r="E114" s="39">
        <v>1</v>
      </c>
      <c r="F114" s="59" t="s">
        <v>4272</v>
      </c>
      <c r="G114" s="39" t="s">
        <v>4281</v>
      </c>
      <c r="J114" s="39" t="s">
        <v>31</v>
      </c>
      <c r="N114" s="39"/>
      <c r="AA114" s="101"/>
      <c r="AD114" s="39"/>
      <c r="AH114" s="39" t="s">
        <v>4281</v>
      </c>
      <c r="AK114" s="39" t="s">
        <v>31</v>
      </c>
      <c r="AO114" s="39"/>
      <c r="AX114" s="66">
        <v>1</v>
      </c>
      <c r="AY114" s="63" t="s">
        <v>4909</v>
      </c>
      <c r="BA114" s="67">
        <v>1</v>
      </c>
      <c r="BE114" s="39"/>
      <c r="BF114" s="39" t="s">
        <v>4454</v>
      </c>
    </row>
    <row r="115" spans="1:58" ht="24">
      <c r="A115" s="39" t="s">
        <v>4037</v>
      </c>
      <c r="B115" s="39" t="s">
        <v>4422</v>
      </c>
      <c r="C115" s="39" t="s">
        <v>57</v>
      </c>
      <c r="D115" s="39">
        <v>114</v>
      </c>
      <c r="E115" s="39">
        <v>1</v>
      </c>
      <c r="F115" s="59" t="s">
        <v>4272</v>
      </c>
      <c r="G115" s="39" t="s">
        <v>4282</v>
      </c>
      <c r="J115" s="39" t="s">
        <v>31</v>
      </c>
      <c r="N115" s="39"/>
      <c r="AA115" s="101"/>
      <c r="AD115" s="39"/>
      <c r="AH115" s="39" t="s">
        <v>4282</v>
      </c>
      <c r="AK115" s="39" t="s">
        <v>31</v>
      </c>
      <c r="AO115" s="39"/>
      <c r="AX115" s="66">
        <v>4</v>
      </c>
      <c r="AY115" s="63" t="s">
        <v>4909</v>
      </c>
      <c r="BA115" s="67">
        <v>1</v>
      </c>
      <c r="BE115" s="39"/>
      <c r="BF115" s="39" t="s">
        <v>4455</v>
      </c>
    </row>
    <row r="116" spans="1:58" ht="60">
      <c r="A116" s="39" t="s">
        <v>4037</v>
      </c>
      <c r="B116" s="39" t="s">
        <v>4423</v>
      </c>
      <c r="C116" s="39" t="s">
        <v>57</v>
      </c>
      <c r="D116" s="39">
        <v>115</v>
      </c>
      <c r="E116" s="39">
        <v>1</v>
      </c>
      <c r="F116" s="59" t="s">
        <v>4272</v>
      </c>
      <c r="G116" s="39" t="s">
        <v>4283</v>
      </c>
      <c r="J116" s="39" t="s">
        <v>31</v>
      </c>
      <c r="N116" s="39"/>
      <c r="AA116" s="101"/>
      <c r="AD116" s="39"/>
      <c r="AH116" s="39" t="s">
        <v>4283</v>
      </c>
      <c r="AK116" s="39" t="s">
        <v>31</v>
      </c>
      <c r="AO116" s="39"/>
      <c r="AX116" s="66">
        <v>2</v>
      </c>
      <c r="AY116" s="63">
        <v>0</v>
      </c>
      <c r="BE116" s="39"/>
      <c r="BF116" s="39" t="s">
        <v>4456</v>
      </c>
    </row>
    <row r="117" spans="1:58" ht="36">
      <c r="A117" s="39" t="s">
        <v>4037</v>
      </c>
      <c r="B117" s="39" t="s">
        <v>4424</v>
      </c>
      <c r="C117" s="39" t="s">
        <v>57</v>
      </c>
      <c r="D117" s="39">
        <v>116</v>
      </c>
      <c r="E117" s="39">
        <v>1</v>
      </c>
      <c r="F117" s="59" t="s">
        <v>4272</v>
      </c>
      <c r="G117" s="39" t="s">
        <v>4284</v>
      </c>
      <c r="J117" s="39" t="s">
        <v>29</v>
      </c>
      <c r="N117" s="39"/>
      <c r="Q117" s="62">
        <v>4</v>
      </c>
      <c r="R117" s="63">
        <v>4</v>
      </c>
      <c r="S117" s="43" t="s">
        <v>4876</v>
      </c>
      <c r="U117" s="64">
        <v>2</v>
      </c>
      <c r="V117" s="65">
        <v>2</v>
      </c>
      <c r="Z117" s="67">
        <v>2</v>
      </c>
      <c r="AA117" s="101"/>
      <c r="AC117" s="39" t="s">
        <v>4285</v>
      </c>
      <c r="AD117" s="39" t="s">
        <v>4457</v>
      </c>
      <c r="AN117" s="40"/>
      <c r="AO117" s="39"/>
      <c r="AP117" s="70"/>
      <c r="AQ117" s="71"/>
      <c r="AR117" s="72"/>
      <c r="AU117" s="70"/>
      <c r="AV117" s="77"/>
      <c r="AW117" s="78"/>
      <c r="AX117" s="75"/>
      <c r="BA117" s="76"/>
      <c r="BD117" s="40"/>
      <c r="BE117" s="39"/>
    </row>
    <row r="118" spans="1:58" ht="60">
      <c r="A118" s="39" t="s">
        <v>4037</v>
      </c>
      <c r="B118" s="39" t="s">
        <v>4425</v>
      </c>
      <c r="C118" s="39" t="s">
        <v>57</v>
      </c>
      <c r="D118" s="39">
        <v>117</v>
      </c>
      <c r="E118" s="39">
        <v>1</v>
      </c>
      <c r="F118" s="59" t="s">
        <v>4272</v>
      </c>
      <c r="G118" s="39" t="s">
        <v>4286</v>
      </c>
      <c r="H118" s="39" t="s">
        <v>4287</v>
      </c>
      <c r="I118" s="39" t="s">
        <v>4077</v>
      </c>
      <c r="J118" s="39" t="s">
        <v>4111</v>
      </c>
      <c r="N118" s="39"/>
      <c r="S118" s="43">
        <v>3</v>
      </c>
      <c r="T118" s="60">
        <v>3</v>
      </c>
      <c r="AA118" s="101"/>
      <c r="AB118" s="39" t="s">
        <v>25</v>
      </c>
      <c r="AC118" s="39" t="s">
        <v>4288</v>
      </c>
      <c r="AD118" s="39"/>
      <c r="AE118" s="39" t="s">
        <v>4458</v>
      </c>
      <c r="AN118" s="40"/>
      <c r="AO118" s="39"/>
      <c r="AP118" s="70"/>
      <c r="AQ118" s="71"/>
      <c r="AR118" s="72"/>
      <c r="AU118" s="70"/>
      <c r="AV118" s="77"/>
      <c r="AW118" s="78"/>
      <c r="AX118" s="75"/>
      <c r="BA118" s="76"/>
      <c r="BD118" s="40"/>
      <c r="BE118" s="39"/>
    </row>
    <row r="119" spans="1:58" ht="24">
      <c r="A119" s="39" t="s">
        <v>4037</v>
      </c>
      <c r="B119" s="39" t="s">
        <v>4426</v>
      </c>
      <c r="C119" s="39" t="s">
        <v>57</v>
      </c>
      <c r="D119" s="39">
        <v>118</v>
      </c>
      <c r="E119" s="39">
        <v>1</v>
      </c>
      <c r="F119" s="59" t="s">
        <v>4272</v>
      </c>
      <c r="G119" s="39" t="s">
        <v>4289</v>
      </c>
      <c r="J119" s="39" t="s">
        <v>29</v>
      </c>
      <c r="N119" s="39"/>
      <c r="Q119" s="62">
        <v>4</v>
      </c>
      <c r="R119" s="63">
        <v>1</v>
      </c>
      <c r="S119" s="43">
        <v>4</v>
      </c>
      <c r="U119" s="64">
        <v>1</v>
      </c>
      <c r="V119" s="65">
        <v>2</v>
      </c>
      <c r="Z119" s="67">
        <v>1</v>
      </c>
      <c r="AA119" s="101"/>
      <c r="AC119" s="39" t="s">
        <v>4290</v>
      </c>
      <c r="AD119" s="39" t="s">
        <v>4459</v>
      </c>
      <c r="AN119" s="40"/>
      <c r="AO119" s="39"/>
      <c r="AP119" s="70"/>
      <c r="AQ119" s="71"/>
      <c r="AR119" s="72"/>
      <c r="AU119" s="70"/>
      <c r="AV119" s="77"/>
      <c r="AW119" s="78"/>
      <c r="AX119" s="75"/>
      <c r="BA119" s="76"/>
      <c r="BD119" s="40"/>
      <c r="BE119" s="39"/>
    </row>
    <row r="120" spans="1:58" ht="24">
      <c r="A120" s="39" t="s">
        <v>4037</v>
      </c>
      <c r="B120" s="39" t="s">
        <v>4427</v>
      </c>
      <c r="C120" s="39" t="s">
        <v>57</v>
      </c>
      <c r="D120" s="39">
        <v>119</v>
      </c>
      <c r="E120" s="39">
        <v>1</v>
      </c>
      <c r="F120" s="59" t="s">
        <v>4272</v>
      </c>
      <c r="G120" s="39" t="s">
        <v>4291</v>
      </c>
      <c r="J120" s="39" t="s">
        <v>29</v>
      </c>
      <c r="N120" s="39"/>
      <c r="Q120" s="62">
        <v>3</v>
      </c>
      <c r="R120" s="63">
        <v>4</v>
      </c>
      <c r="S120" s="43">
        <v>4</v>
      </c>
      <c r="U120" s="64">
        <v>2</v>
      </c>
      <c r="V120" s="65">
        <v>1</v>
      </c>
      <c r="Z120" s="67">
        <v>1</v>
      </c>
      <c r="AA120" s="101"/>
      <c r="AC120" s="39" t="s">
        <v>4290</v>
      </c>
      <c r="AD120" s="39" t="s">
        <v>4460</v>
      </c>
      <c r="AN120" s="40"/>
      <c r="AO120" s="39"/>
      <c r="AP120" s="70"/>
      <c r="AQ120" s="71"/>
      <c r="AR120" s="72"/>
      <c r="AU120" s="70"/>
      <c r="AV120" s="77"/>
      <c r="AW120" s="78"/>
      <c r="AX120" s="75"/>
      <c r="BA120" s="76"/>
      <c r="BD120" s="40"/>
      <c r="BE120" s="39"/>
    </row>
    <row r="121" spans="1:58" ht="48">
      <c r="A121" s="39" t="s">
        <v>4037</v>
      </c>
      <c r="B121" s="39" t="s">
        <v>4722</v>
      </c>
      <c r="C121" s="39" t="s">
        <v>57</v>
      </c>
      <c r="D121" s="39">
        <v>120</v>
      </c>
      <c r="E121" s="39">
        <v>1</v>
      </c>
      <c r="F121" s="39" t="s">
        <v>4545</v>
      </c>
      <c r="G121" s="39" t="s">
        <v>4545</v>
      </c>
      <c r="H121" s="39" t="s">
        <v>4531</v>
      </c>
      <c r="J121" s="39" t="s">
        <v>4448</v>
      </c>
      <c r="N121" s="39"/>
      <c r="AA121" s="101"/>
      <c r="AD121" s="39"/>
      <c r="AE121" s="39" t="s">
        <v>4546</v>
      </c>
      <c r="AH121" s="39" t="s">
        <v>4545</v>
      </c>
      <c r="AI121" s="39" t="s">
        <v>4532</v>
      </c>
      <c r="AK121" s="39" t="s">
        <v>4448</v>
      </c>
      <c r="AN121" s="40"/>
      <c r="AO121" s="39"/>
      <c r="AP121" s="70"/>
      <c r="AQ121" s="71"/>
      <c r="AR121" s="72"/>
      <c r="AU121" s="70"/>
      <c r="AV121" s="77"/>
      <c r="AW121" s="78"/>
      <c r="AX121" s="75"/>
      <c r="BA121" s="76"/>
      <c r="BD121" s="40"/>
      <c r="BE121" s="39"/>
      <c r="BF121" s="39" t="s">
        <v>4547</v>
      </c>
    </row>
    <row r="122" spans="1:58" ht="36">
      <c r="A122" s="39" t="s">
        <v>4037</v>
      </c>
      <c r="B122" s="39" t="s">
        <v>4723</v>
      </c>
      <c r="C122" s="39" t="s">
        <v>57</v>
      </c>
      <c r="D122" s="39">
        <v>121</v>
      </c>
      <c r="E122" s="39">
        <v>1</v>
      </c>
      <c r="F122" s="39" t="s">
        <v>4545</v>
      </c>
      <c r="G122" s="39" t="s">
        <v>4548</v>
      </c>
      <c r="J122" s="39" t="s">
        <v>4449</v>
      </c>
      <c r="L122" s="39">
        <v>1</v>
      </c>
      <c r="N122" s="39"/>
      <c r="Y122" s="43">
        <v>6</v>
      </c>
      <c r="AA122" s="101"/>
      <c r="AD122" s="39"/>
      <c r="AE122" s="39" t="s">
        <v>4549</v>
      </c>
      <c r="AH122" s="39" t="s">
        <v>4550</v>
      </c>
      <c r="AI122" s="39" t="s">
        <v>4551</v>
      </c>
      <c r="AJ122" s="39" t="s">
        <v>4077</v>
      </c>
      <c r="AK122" s="39" t="s">
        <v>29</v>
      </c>
      <c r="AN122" s="40"/>
      <c r="AO122" s="39"/>
      <c r="AP122" s="70"/>
      <c r="AQ122" s="71"/>
      <c r="AR122" s="72">
        <v>4</v>
      </c>
      <c r="AS122" s="63">
        <v>2</v>
      </c>
      <c r="AT122" s="43">
        <v>4</v>
      </c>
      <c r="AU122" s="70"/>
      <c r="AV122" s="77">
        <v>2</v>
      </c>
      <c r="AW122" s="78">
        <v>1</v>
      </c>
      <c r="AX122" s="75"/>
      <c r="BA122" s="76">
        <v>2</v>
      </c>
      <c r="BD122" s="40"/>
      <c r="BE122" s="39" t="s">
        <v>4552</v>
      </c>
      <c r="BF122" s="39" t="s">
        <v>4553</v>
      </c>
    </row>
    <row r="123" spans="1:58" ht="24">
      <c r="A123" s="39" t="s">
        <v>4037</v>
      </c>
      <c r="B123" s="39" t="s">
        <v>4724</v>
      </c>
      <c r="C123" s="39" t="s">
        <v>57</v>
      </c>
      <c r="D123" s="39">
        <v>122</v>
      </c>
      <c r="E123" s="39">
        <v>1</v>
      </c>
      <c r="F123" s="39" t="s">
        <v>4545</v>
      </c>
      <c r="G123" s="39" t="s">
        <v>4554</v>
      </c>
      <c r="J123" s="39" t="s">
        <v>4449</v>
      </c>
      <c r="L123" s="39">
        <v>2</v>
      </c>
      <c r="N123" s="39"/>
      <c r="Y123" s="43">
        <v>8</v>
      </c>
      <c r="AA123" s="101"/>
      <c r="AD123" s="39"/>
      <c r="AE123" s="39" t="s">
        <v>4549</v>
      </c>
      <c r="AH123" s="39" t="s">
        <v>4555</v>
      </c>
      <c r="AK123" s="39" t="s">
        <v>4449</v>
      </c>
      <c r="AM123" s="39">
        <v>2</v>
      </c>
      <c r="AN123" s="40"/>
      <c r="AO123" s="39"/>
      <c r="AP123" s="70"/>
      <c r="AQ123" s="71"/>
      <c r="AR123" s="72"/>
      <c r="AU123" s="70"/>
      <c r="AV123" s="77"/>
      <c r="AW123" s="78"/>
      <c r="AX123" s="75"/>
      <c r="BA123" s="76"/>
      <c r="BD123" s="40"/>
      <c r="BE123" s="39"/>
      <c r="BF123" s="39" t="s">
        <v>5739</v>
      </c>
    </row>
    <row r="124" spans="1:58" ht="72">
      <c r="A124" s="39" t="s">
        <v>4037</v>
      </c>
      <c r="B124" s="39" t="s">
        <v>4725</v>
      </c>
      <c r="C124" s="39" t="s">
        <v>57</v>
      </c>
      <c r="D124" s="39">
        <v>123</v>
      </c>
      <c r="E124" s="39">
        <v>1</v>
      </c>
      <c r="F124" s="39" t="s">
        <v>4545</v>
      </c>
      <c r="G124" s="39" t="s">
        <v>4556</v>
      </c>
      <c r="J124" s="39" t="s">
        <v>4451</v>
      </c>
      <c r="L124" s="39">
        <v>1</v>
      </c>
      <c r="N124" s="39"/>
      <c r="X124" s="80" t="s">
        <v>38</v>
      </c>
      <c r="AA124" s="101"/>
      <c r="AD124" s="39"/>
      <c r="AE124" s="39" t="s">
        <v>4557</v>
      </c>
      <c r="AH124" s="39" t="s">
        <v>4558</v>
      </c>
      <c r="AK124" s="39" t="s">
        <v>4451</v>
      </c>
      <c r="AM124" s="39">
        <v>1</v>
      </c>
      <c r="AN124" s="40"/>
      <c r="AO124" s="39"/>
      <c r="AP124" s="70"/>
      <c r="AQ124" s="71"/>
      <c r="AR124" s="72"/>
      <c r="AU124" s="70"/>
      <c r="AV124" s="77"/>
      <c r="AW124" s="78"/>
      <c r="AX124" s="75"/>
      <c r="BA124" s="76"/>
      <c r="BD124" s="40"/>
      <c r="BE124" s="39"/>
      <c r="BF124" s="39" t="s">
        <v>5740</v>
      </c>
    </row>
    <row r="125" spans="1:58" ht="36">
      <c r="A125" s="39" t="s">
        <v>4037</v>
      </c>
      <c r="B125" s="39" t="s">
        <v>4726</v>
      </c>
      <c r="C125" s="39" t="s">
        <v>57</v>
      </c>
      <c r="D125" s="39">
        <v>124</v>
      </c>
      <c r="E125" s="39">
        <v>1</v>
      </c>
      <c r="F125" s="39" t="s">
        <v>4545</v>
      </c>
      <c r="G125" s="39" t="s">
        <v>4560</v>
      </c>
      <c r="J125" s="39" t="s">
        <v>31</v>
      </c>
      <c r="N125" s="39"/>
      <c r="AA125" s="101"/>
      <c r="AC125" s="39" t="s">
        <v>4293</v>
      </c>
      <c r="AD125" s="39"/>
      <c r="AH125" s="39" t="s">
        <v>4560</v>
      </c>
      <c r="AK125" s="39" t="s">
        <v>31</v>
      </c>
      <c r="AN125" s="40"/>
      <c r="AO125" s="39"/>
      <c r="AP125" s="70"/>
      <c r="AQ125" s="71"/>
      <c r="AR125" s="72"/>
      <c r="AU125" s="70"/>
      <c r="AV125" s="77"/>
      <c r="AW125" s="78"/>
      <c r="AX125" s="75">
        <v>2</v>
      </c>
      <c r="AY125" s="63" t="s">
        <v>4872</v>
      </c>
      <c r="BA125" s="76"/>
      <c r="BD125" s="40" t="s">
        <v>4293</v>
      </c>
      <c r="BE125" s="39"/>
      <c r="BF125" s="39" t="s">
        <v>4561</v>
      </c>
    </row>
    <row r="126" spans="1:58" ht="24">
      <c r="A126" s="39" t="s">
        <v>4037</v>
      </c>
      <c r="B126" s="39" t="s">
        <v>4727</v>
      </c>
      <c r="C126" s="39" t="s">
        <v>57</v>
      </c>
      <c r="D126" s="39">
        <v>125</v>
      </c>
      <c r="E126" s="39">
        <v>1</v>
      </c>
      <c r="F126" s="39" t="s">
        <v>4545</v>
      </c>
      <c r="G126" s="39" t="s">
        <v>4562</v>
      </c>
      <c r="J126" s="39" t="s">
        <v>31</v>
      </c>
      <c r="N126" s="39"/>
      <c r="AA126" s="101"/>
      <c r="AC126" s="39" t="s">
        <v>4563</v>
      </c>
      <c r="AD126" s="39"/>
      <c r="AH126" s="39" t="s">
        <v>4562</v>
      </c>
      <c r="AK126" s="39" t="s">
        <v>31</v>
      </c>
      <c r="AN126" s="40"/>
      <c r="AO126" s="39"/>
      <c r="AP126" s="70"/>
      <c r="AQ126" s="71"/>
      <c r="AR126" s="72"/>
      <c r="AU126" s="70"/>
      <c r="AV126" s="77"/>
      <c r="AW126" s="78"/>
      <c r="AX126" s="75">
        <v>1</v>
      </c>
      <c r="AY126" s="63" t="s">
        <v>4872</v>
      </c>
      <c r="BA126" s="76"/>
      <c r="BD126" s="40" t="s">
        <v>4563</v>
      </c>
      <c r="BE126" s="39"/>
    </row>
    <row r="127" spans="1:58" ht="24">
      <c r="A127" s="39" t="s">
        <v>4037</v>
      </c>
      <c r="B127" s="39" t="s">
        <v>4728</v>
      </c>
      <c r="C127" s="39" t="s">
        <v>57</v>
      </c>
      <c r="D127" s="39">
        <v>126</v>
      </c>
      <c r="E127" s="39">
        <v>1</v>
      </c>
      <c r="F127" s="39" t="s">
        <v>4545</v>
      </c>
      <c r="G127" s="39" t="s">
        <v>4564</v>
      </c>
      <c r="J127" s="39" t="s">
        <v>31</v>
      </c>
      <c r="N127" s="39"/>
      <c r="AA127" s="101"/>
      <c r="AC127" s="39" t="s">
        <v>4293</v>
      </c>
      <c r="AD127" s="39"/>
      <c r="AH127" s="39" t="s">
        <v>4564</v>
      </c>
      <c r="AI127" s="39" t="s">
        <v>4565</v>
      </c>
      <c r="AK127" s="39" t="s">
        <v>31</v>
      </c>
      <c r="AN127" s="40"/>
      <c r="AO127" s="39"/>
      <c r="AP127" s="70"/>
      <c r="AQ127" s="71"/>
      <c r="AR127" s="72"/>
      <c r="AU127" s="70"/>
      <c r="AV127" s="77"/>
      <c r="AW127" s="78"/>
      <c r="AX127" s="75">
        <v>3</v>
      </c>
      <c r="AY127" s="63" t="s">
        <v>4872</v>
      </c>
      <c r="BA127" s="76"/>
      <c r="BD127" s="40" t="s">
        <v>4293</v>
      </c>
      <c r="BE127" s="39"/>
      <c r="BF127" s="39" t="s">
        <v>4566</v>
      </c>
    </row>
    <row r="128" spans="1:58" ht="24">
      <c r="A128" s="39" t="s">
        <v>4037</v>
      </c>
      <c r="B128" s="39" t="s">
        <v>4729</v>
      </c>
      <c r="C128" s="39" t="s">
        <v>57</v>
      </c>
      <c r="D128" s="39">
        <v>127</v>
      </c>
      <c r="E128" s="39">
        <v>1</v>
      </c>
      <c r="F128" s="39" t="s">
        <v>4545</v>
      </c>
      <c r="G128" s="39" t="s">
        <v>4564</v>
      </c>
      <c r="J128" s="39" t="s">
        <v>31</v>
      </c>
      <c r="N128" s="39"/>
      <c r="AA128" s="101"/>
      <c r="AC128" s="39" t="s">
        <v>4293</v>
      </c>
      <c r="AD128" s="39"/>
      <c r="AH128" s="39" t="s">
        <v>4564</v>
      </c>
      <c r="AI128" s="39" t="s">
        <v>4567</v>
      </c>
      <c r="AK128" s="39" t="s">
        <v>31</v>
      </c>
      <c r="AN128" s="40"/>
      <c r="AO128" s="39"/>
      <c r="AP128" s="70"/>
      <c r="AQ128" s="71"/>
      <c r="AR128" s="72"/>
      <c r="AU128" s="70"/>
      <c r="AV128" s="77"/>
      <c r="AW128" s="78"/>
      <c r="AX128" s="75">
        <v>2</v>
      </c>
      <c r="AY128" s="63" t="s">
        <v>4872</v>
      </c>
      <c r="BA128" s="76"/>
      <c r="BD128" s="40" t="s">
        <v>4293</v>
      </c>
      <c r="BE128" s="39"/>
      <c r="BF128" s="39" t="s">
        <v>4568</v>
      </c>
    </row>
    <row r="129" spans="1:58" ht="24">
      <c r="A129" s="39" t="s">
        <v>4037</v>
      </c>
      <c r="B129" s="39" t="s">
        <v>4428</v>
      </c>
      <c r="C129" s="39" t="s">
        <v>57</v>
      </c>
      <c r="D129" s="39">
        <v>128</v>
      </c>
      <c r="E129" s="39">
        <v>1</v>
      </c>
      <c r="F129" s="39" t="s">
        <v>4545</v>
      </c>
      <c r="G129" s="39" t="s">
        <v>4292</v>
      </c>
      <c r="J129" s="39" t="s">
        <v>31</v>
      </c>
      <c r="N129" s="39"/>
      <c r="AA129" s="101"/>
      <c r="AC129" s="39" t="s">
        <v>4293</v>
      </c>
      <c r="AD129" s="39"/>
      <c r="AH129" s="39" t="s">
        <v>4292</v>
      </c>
      <c r="AK129" s="39" t="s">
        <v>31</v>
      </c>
      <c r="AO129" s="39"/>
      <c r="AX129" s="66">
        <v>2</v>
      </c>
      <c r="AY129" s="63" t="s">
        <v>4872</v>
      </c>
      <c r="BD129" s="39" t="s">
        <v>4293</v>
      </c>
      <c r="BE129" s="39"/>
      <c r="BF129" s="39" t="s">
        <v>4461</v>
      </c>
    </row>
    <row r="130" spans="1:58" ht="24">
      <c r="A130" s="39" t="s">
        <v>4037</v>
      </c>
      <c r="B130" s="39" t="s">
        <v>4429</v>
      </c>
      <c r="C130" s="39" t="s">
        <v>57</v>
      </c>
      <c r="D130" s="39">
        <v>129</v>
      </c>
      <c r="E130" s="39">
        <v>1</v>
      </c>
      <c r="F130" s="39" t="s">
        <v>4545</v>
      </c>
      <c r="G130" s="39" t="s">
        <v>4294</v>
      </c>
      <c r="J130" s="39" t="s">
        <v>31</v>
      </c>
      <c r="N130" s="39"/>
      <c r="AA130" s="101"/>
      <c r="AC130" s="39" t="s">
        <v>4293</v>
      </c>
      <c r="AD130" s="39"/>
      <c r="AH130" s="39" t="s">
        <v>4294</v>
      </c>
      <c r="AK130" s="39" t="s">
        <v>31</v>
      </c>
      <c r="AO130" s="39"/>
      <c r="AX130" s="66">
        <v>4</v>
      </c>
      <c r="AY130" s="63" t="s">
        <v>4909</v>
      </c>
      <c r="BA130" s="67">
        <v>1</v>
      </c>
      <c r="BD130" s="39" t="s">
        <v>4293</v>
      </c>
      <c r="BE130" s="39"/>
      <c r="BF130" s="39" t="s">
        <v>4569</v>
      </c>
    </row>
    <row r="131" spans="1:58" ht="24">
      <c r="A131" s="39" t="s">
        <v>4037</v>
      </c>
      <c r="B131" s="39" t="s">
        <v>4712</v>
      </c>
      <c r="C131" s="39" t="s">
        <v>57</v>
      </c>
      <c r="D131" s="39">
        <v>130</v>
      </c>
      <c r="E131" s="39">
        <v>1</v>
      </c>
      <c r="F131" s="39" t="s">
        <v>4545</v>
      </c>
      <c r="G131" s="39" t="s">
        <v>4570</v>
      </c>
      <c r="J131" s="39" t="s">
        <v>31</v>
      </c>
      <c r="N131" s="39"/>
      <c r="AA131" s="101"/>
      <c r="AC131" s="39" t="s">
        <v>4293</v>
      </c>
      <c r="AD131" s="39"/>
      <c r="AH131" s="39" t="s">
        <v>4570</v>
      </c>
      <c r="AI131" s="39" t="s">
        <v>4571</v>
      </c>
      <c r="AK131" s="39" t="s">
        <v>31</v>
      </c>
      <c r="AN131" s="40"/>
      <c r="AO131" s="39"/>
      <c r="AP131" s="70"/>
      <c r="AQ131" s="71"/>
      <c r="AR131" s="72"/>
      <c r="AU131" s="70"/>
      <c r="AV131" s="77"/>
      <c r="AW131" s="78"/>
      <c r="AX131" s="75">
        <v>3</v>
      </c>
      <c r="AY131" s="63" t="s">
        <v>4872</v>
      </c>
      <c r="BA131" s="76"/>
      <c r="BD131" s="40" t="s">
        <v>4293</v>
      </c>
      <c r="BE131" s="39"/>
      <c r="BF131" s="39" t="s">
        <v>4572</v>
      </c>
    </row>
    <row r="132" spans="1:58" ht="24">
      <c r="A132" s="39" t="s">
        <v>4037</v>
      </c>
      <c r="B132" s="39" t="s">
        <v>4713</v>
      </c>
      <c r="C132" s="39" t="s">
        <v>57</v>
      </c>
      <c r="D132" s="39">
        <v>131</v>
      </c>
      <c r="E132" s="39">
        <v>1</v>
      </c>
      <c r="F132" s="39" t="s">
        <v>4545</v>
      </c>
      <c r="G132" s="39" t="s">
        <v>4570</v>
      </c>
      <c r="J132" s="39" t="s">
        <v>31</v>
      </c>
      <c r="N132" s="39"/>
      <c r="AA132" s="101"/>
      <c r="AC132" s="39" t="s">
        <v>4293</v>
      </c>
      <c r="AD132" s="39"/>
      <c r="AH132" s="39" t="s">
        <v>4570</v>
      </c>
      <c r="AI132" s="39" t="s">
        <v>4573</v>
      </c>
      <c r="AK132" s="39" t="s">
        <v>31</v>
      </c>
      <c r="AN132" s="40"/>
      <c r="AO132" s="39"/>
      <c r="AP132" s="70"/>
      <c r="AQ132" s="71"/>
      <c r="AR132" s="72"/>
      <c r="AU132" s="70"/>
      <c r="AV132" s="77"/>
      <c r="AW132" s="78"/>
      <c r="AX132" s="75">
        <v>3</v>
      </c>
      <c r="AY132" s="63" t="s">
        <v>4909</v>
      </c>
      <c r="BA132" s="76"/>
      <c r="BD132" s="40" t="s">
        <v>4293</v>
      </c>
      <c r="BE132" s="39"/>
      <c r="BF132" s="39" t="s">
        <v>4574</v>
      </c>
    </row>
    <row r="133" spans="1:58" ht="24">
      <c r="A133" s="39" t="s">
        <v>4037</v>
      </c>
      <c r="B133" s="39" t="s">
        <v>4714</v>
      </c>
      <c r="C133" s="39" t="s">
        <v>57</v>
      </c>
      <c r="D133" s="39">
        <v>132</v>
      </c>
      <c r="E133" s="39">
        <v>1</v>
      </c>
      <c r="F133" s="39" t="s">
        <v>4545</v>
      </c>
      <c r="G133" s="39" t="s">
        <v>4575</v>
      </c>
      <c r="J133" s="39" t="s">
        <v>31</v>
      </c>
      <c r="N133" s="39"/>
      <c r="AA133" s="101"/>
      <c r="AC133" s="39" t="s">
        <v>4293</v>
      </c>
      <c r="AD133" s="39"/>
      <c r="AH133" s="39" t="s">
        <v>4575</v>
      </c>
      <c r="AK133" s="39" t="s">
        <v>31</v>
      </c>
      <c r="AN133" s="40"/>
      <c r="AO133" s="39"/>
      <c r="AP133" s="70"/>
      <c r="AQ133" s="71"/>
      <c r="AR133" s="72"/>
      <c r="AU133" s="70"/>
      <c r="AV133" s="77"/>
      <c r="AW133" s="78"/>
      <c r="AX133" s="75">
        <v>2</v>
      </c>
      <c r="AY133" s="63" t="s">
        <v>4872</v>
      </c>
      <c r="BA133" s="76"/>
      <c r="BD133" s="40" t="s">
        <v>4293</v>
      </c>
      <c r="BE133" s="39"/>
      <c r="BF133" s="39" t="s">
        <v>4576</v>
      </c>
    </row>
    <row r="134" spans="1:58" ht="36">
      <c r="A134" s="39" t="s">
        <v>4037</v>
      </c>
      <c r="B134" s="39" t="s">
        <v>4715</v>
      </c>
      <c r="C134" s="39" t="s">
        <v>57</v>
      </c>
      <c r="D134" s="39">
        <v>133</v>
      </c>
      <c r="E134" s="39">
        <v>1</v>
      </c>
      <c r="F134" s="39" t="s">
        <v>4545</v>
      </c>
      <c r="G134" s="39" t="s">
        <v>4577</v>
      </c>
      <c r="J134" s="39" t="s">
        <v>31</v>
      </c>
      <c r="N134" s="39"/>
      <c r="AA134" s="101"/>
      <c r="AC134" s="39" t="s">
        <v>4293</v>
      </c>
      <c r="AD134" s="39"/>
      <c r="AH134" s="39" t="s">
        <v>4577</v>
      </c>
      <c r="AK134" s="39" t="s">
        <v>31</v>
      </c>
      <c r="AN134" s="40"/>
      <c r="AO134" s="39"/>
      <c r="AP134" s="70"/>
      <c r="AQ134" s="71"/>
      <c r="AR134" s="72"/>
      <c r="AU134" s="70"/>
      <c r="AV134" s="77"/>
      <c r="AW134" s="78"/>
      <c r="AX134" s="75">
        <v>1</v>
      </c>
      <c r="AY134" s="63" t="s">
        <v>4909</v>
      </c>
      <c r="BA134" s="76">
        <v>1</v>
      </c>
      <c r="BD134" s="40" t="s">
        <v>4293</v>
      </c>
      <c r="BE134" s="39"/>
      <c r="BF134" s="39" t="s">
        <v>4578</v>
      </c>
    </row>
    <row r="135" spans="1:58" ht="24">
      <c r="A135" s="39" t="s">
        <v>4037</v>
      </c>
      <c r="B135" s="39" t="s">
        <v>4716</v>
      </c>
      <c r="C135" s="39" t="s">
        <v>57</v>
      </c>
      <c r="D135" s="39">
        <v>134</v>
      </c>
      <c r="E135" s="39">
        <v>1</v>
      </c>
      <c r="F135" s="39" t="s">
        <v>4545</v>
      </c>
      <c r="G135" s="39" t="s">
        <v>4579</v>
      </c>
      <c r="J135" s="39" t="s">
        <v>31</v>
      </c>
      <c r="N135" s="39"/>
      <c r="AA135" s="101"/>
      <c r="AC135" s="39" t="s">
        <v>4293</v>
      </c>
      <c r="AD135" s="39"/>
      <c r="AH135" s="39" t="s">
        <v>4579</v>
      </c>
      <c r="AK135" s="39" t="s">
        <v>31</v>
      </c>
      <c r="AN135" s="40"/>
      <c r="AO135" s="39"/>
      <c r="AP135" s="70"/>
      <c r="AQ135" s="71"/>
      <c r="AR135" s="72"/>
      <c r="AU135" s="70"/>
      <c r="AV135" s="77"/>
      <c r="AW135" s="78"/>
      <c r="AX135" s="75">
        <v>3</v>
      </c>
      <c r="AY135" s="63" t="s">
        <v>4909</v>
      </c>
      <c r="BA135" s="76">
        <v>1</v>
      </c>
      <c r="BD135" s="40" t="s">
        <v>4293</v>
      </c>
      <c r="BE135" s="39"/>
      <c r="BF135" s="39" t="s">
        <v>4580</v>
      </c>
    </row>
    <row r="136" spans="1:58" ht="24">
      <c r="A136" s="39" t="s">
        <v>4037</v>
      </c>
      <c r="B136" s="39" t="s">
        <v>4717</v>
      </c>
      <c r="C136" s="39" t="s">
        <v>57</v>
      </c>
      <c r="D136" s="39">
        <v>135</v>
      </c>
      <c r="E136" s="39">
        <v>3</v>
      </c>
      <c r="F136" s="39" t="s">
        <v>4545</v>
      </c>
      <c r="G136" s="39" t="s">
        <v>4581</v>
      </c>
      <c r="J136" s="39" t="s">
        <v>28</v>
      </c>
      <c r="N136" s="39"/>
      <c r="AA136" s="101"/>
      <c r="AC136" s="39" t="s">
        <v>4269</v>
      </c>
      <c r="AD136" s="39" t="s">
        <v>4582</v>
      </c>
      <c r="AE136" s="39" t="s">
        <v>4583</v>
      </c>
      <c r="AN136" s="40"/>
      <c r="AO136" s="39"/>
      <c r="AP136" s="70"/>
      <c r="AQ136" s="71"/>
      <c r="AR136" s="72"/>
      <c r="AU136" s="70"/>
      <c r="AV136" s="77"/>
      <c r="AW136" s="78"/>
      <c r="AX136" s="75"/>
      <c r="BA136" s="76"/>
      <c r="BD136" s="40"/>
      <c r="BE136" s="39"/>
    </row>
    <row r="137" spans="1:58" ht="36">
      <c r="A137" s="39" t="s">
        <v>4037</v>
      </c>
      <c r="B137" s="39" t="s">
        <v>4718</v>
      </c>
      <c r="C137" s="39" t="s">
        <v>57</v>
      </c>
      <c r="D137" s="39">
        <v>136</v>
      </c>
      <c r="E137" s="39">
        <v>2</v>
      </c>
      <c r="F137" s="39" t="s">
        <v>4545</v>
      </c>
      <c r="G137" s="39" t="s">
        <v>4584</v>
      </c>
      <c r="J137" s="39" t="s">
        <v>28</v>
      </c>
      <c r="N137" s="39"/>
      <c r="AA137" s="101"/>
      <c r="AD137" s="39"/>
      <c r="AE137" s="39" t="s">
        <v>4585</v>
      </c>
      <c r="AN137" s="40"/>
      <c r="AO137" s="39"/>
      <c r="AP137" s="70"/>
      <c r="AQ137" s="71"/>
      <c r="AR137" s="72"/>
      <c r="AU137" s="70"/>
      <c r="AV137" s="77"/>
      <c r="AW137" s="78"/>
      <c r="AX137" s="75"/>
      <c r="BA137" s="76"/>
      <c r="BD137" s="40"/>
      <c r="BE137" s="39"/>
    </row>
    <row r="138" spans="1:58" ht="24">
      <c r="A138" s="39" t="s">
        <v>4037</v>
      </c>
      <c r="B138" s="39" t="s">
        <v>4719</v>
      </c>
      <c r="C138" s="39" t="s">
        <v>57</v>
      </c>
      <c r="D138" s="39">
        <v>137</v>
      </c>
      <c r="E138" s="39">
        <v>1</v>
      </c>
      <c r="F138" s="39" t="s">
        <v>4730</v>
      </c>
      <c r="G138" s="39" t="s">
        <v>4586</v>
      </c>
      <c r="H138" s="39" t="s">
        <v>4587</v>
      </c>
      <c r="I138" s="39" t="s">
        <v>4077</v>
      </c>
      <c r="J138" s="39" t="s">
        <v>29</v>
      </c>
      <c r="N138" s="39"/>
      <c r="Q138" s="62">
        <v>4</v>
      </c>
      <c r="R138" s="63">
        <v>2</v>
      </c>
      <c r="S138" s="43">
        <v>4</v>
      </c>
      <c r="U138" s="64">
        <v>2</v>
      </c>
      <c r="V138" s="65">
        <v>0</v>
      </c>
      <c r="Z138" s="67">
        <v>1</v>
      </c>
      <c r="AA138" s="101"/>
      <c r="AC138" s="39" t="s">
        <v>4297</v>
      </c>
      <c r="AD138" s="39" t="s">
        <v>4588</v>
      </c>
      <c r="AE138" s="39" t="s">
        <v>4589</v>
      </c>
      <c r="AN138" s="40"/>
      <c r="AO138" s="39"/>
      <c r="AP138" s="70"/>
      <c r="AQ138" s="71"/>
      <c r="AR138" s="72"/>
      <c r="AU138" s="70"/>
      <c r="AV138" s="77"/>
      <c r="AW138" s="78"/>
      <c r="AX138" s="75"/>
      <c r="BA138" s="76"/>
      <c r="BD138" s="40"/>
      <c r="BE138" s="39"/>
    </row>
    <row r="139" spans="1:58" ht="24">
      <c r="A139" s="39" t="s">
        <v>4037</v>
      </c>
      <c r="B139" s="39" t="s">
        <v>4720</v>
      </c>
      <c r="C139" s="39" t="s">
        <v>57</v>
      </c>
      <c r="D139" s="39">
        <v>138</v>
      </c>
      <c r="E139" s="39">
        <v>1</v>
      </c>
      <c r="F139" s="39" t="s">
        <v>4730</v>
      </c>
      <c r="G139" s="39" t="s">
        <v>4590</v>
      </c>
      <c r="H139" s="39" t="s">
        <v>4591</v>
      </c>
      <c r="I139" s="39" t="s">
        <v>4077</v>
      </c>
      <c r="J139" s="39" t="s">
        <v>29</v>
      </c>
      <c r="N139" s="39"/>
      <c r="Q139" s="62">
        <v>3</v>
      </c>
      <c r="R139" s="63">
        <v>4</v>
      </c>
      <c r="S139" s="43">
        <v>4</v>
      </c>
      <c r="U139" s="64">
        <v>1</v>
      </c>
      <c r="V139" s="65">
        <v>1</v>
      </c>
      <c r="Z139" s="67">
        <v>1</v>
      </c>
      <c r="AA139" s="101"/>
      <c r="AC139" s="39" t="s">
        <v>4297</v>
      </c>
      <c r="AD139" s="39" t="s">
        <v>4592</v>
      </c>
      <c r="AE139" s="39" t="s">
        <v>4593</v>
      </c>
      <c r="AN139" s="40"/>
      <c r="AO139" s="39"/>
      <c r="AP139" s="70"/>
      <c r="AQ139" s="71"/>
      <c r="AR139" s="72"/>
      <c r="AU139" s="70"/>
      <c r="AV139" s="77"/>
      <c r="AW139" s="78"/>
      <c r="AX139" s="75"/>
      <c r="BA139" s="76"/>
      <c r="BD139" s="40"/>
      <c r="BE139" s="39"/>
    </row>
    <row r="140" spans="1:58" ht="24">
      <c r="A140" s="39" t="s">
        <v>4037</v>
      </c>
      <c r="B140" s="39" t="s">
        <v>4721</v>
      </c>
      <c r="C140" s="39" t="s">
        <v>57</v>
      </c>
      <c r="D140" s="39">
        <v>139</v>
      </c>
      <c r="E140" s="39">
        <v>1</v>
      </c>
      <c r="F140" s="39" t="s">
        <v>4730</v>
      </c>
      <c r="G140" s="39" t="s">
        <v>4594</v>
      </c>
      <c r="H140" s="39" t="s">
        <v>4595</v>
      </c>
      <c r="I140" s="39" t="s">
        <v>4077</v>
      </c>
      <c r="J140" s="39" t="s">
        <v>29</v>
      </c>
      <c r="N140" s="39"/>
      <c r="Q140" s="62">
        <v>2</v>
      </c>
      <c r="R140" s="63">
        <v>3</v>
      </c>
      <c r="S140" s="43">
        <v>3</v>
      </c>
      <c r="U140" s="64">
        <v>1</v>
      </c>
      <c r="V140" s="65">
        <v>0</v>
      </c>
      <c r="Z140" s="67">
        <v>1</v>
      </c>
      <c r="AA140" s="101"/>
      <c r="AC140" s="39" t="s">
        <v>4596</v>
      </c>
      <c r="AD140" s="39" t="s">
        <v>4597</v>
      </c>
      <c r="AE140" s="39" t="s">
        <v>4598</v>
      </c>
      <c r="AN140" s="40"/>
      <c r="AO140" s="39"/>
      <c r="AP140" s="70"/>
      <c r="AQ140" s="71"/>
      <c r="AR140" s="72"/>
      <c r="AU140" s="70"/>
      <c r="AV140" s="77"/>
      <c r="AW140" s="78"/>
      <c r="AX140" s="75"/>
      <c r="BA140" s="76"/>
      <c r="BD140" s="40"/>
      <c r="BE140" s="39"/>
    </row>
    <row r="141" spans="1:58" ht="24">
      <c r="A141" s="39" t="s">
        <v>4037</v>
      </c>
      <c r="B141" s="39" t="s">
        <v>4430</v>
      </c>
      <c r="C141" s="39" t="s">
        <v>57</v>
      </c>
      <c r="D141" s="39">
        <v>140</v>
      </c>
      <c r="E141" s="39">
        <v>1</v>
      </c>
      <c r="F141" s="39" t="s">
        <v>4730</v>
      </c>
      <c r="G141" s="39" t="s">
        <v>4295</v>
      </c>
      <c r="H141" s="39" t="s">
        <v>4296</v>
      </c>
      <c r="I141" s="39" t="s">
        <v>4077</v>
      </c>
      <c r="J141" s="39" t="s">
        <v>29</v>
      </c>
      <c r="N141" s="39"/>
      <c r="Q141" s="62">
        <v>3</v>
      </c>
      <c r="R141" s="63">
        <v>3</v>
      </c>
      <c r="S141" s="43">
        <v>3</v>
      </c>
      <c r="U141" s="64">
        <v>1</v>
      </c>
      <c r="V141" s="65">
        <v>0</v>
      </c>
      <c r="Z141" s="67">
        <v>1</v>
      </c>
      <c r="AA141" s="101"/>
      <c r="AC141" s="39" t="s">
        <v>4297</v>
      </c>
      <c r="AD141" s="39" t="s">
        <v>4599</v>
      </c>
      <c r="AE141" s="39" t="s">
        <v>4600</v>
      </c>
      <c r="AN141" s="40"/>
      <c r="AO141" s="39"/>
      <c r="AP141" s="70"/>
      <c r="AQ141" s="71"/>
      <c r="AR141" s="72"/>
      <c r="AU141" s="70"/>
      <c r="AV141" s="77"/>
      <c r="AW141" s="78"/>
      <c r="AX141" s="75"/>
      <c r="BA141" s="76"/>
      <c r="BD141" s="40"/>
      <c r="BE141" s="39"/>
    </row>
    <row r="142" spans="1:58" ht="24">
      <c r="A142" s="39" t="s">
        <v>4037</v>
      </c>
      <c r="B142" s="39" t="s">
        <v>4431</v>
      </c>
      <c r="C142" s="39" t="s">
        <v>57</v>
      </c>
      <c r="D142" s="39">
        <v>141</v>
      </c>
      <c r="E142" s="39">
        <v>1</v>
      </c>
      <c r="F142" s="39" t="s">
        <v>4730</v>
      </c>
      <c r="G142" s="39" t="s">
        <v>4298</v>
      </c>
      <c r="H142" s="39" t="s">
        <v>4299</v>
      </c>
      <c r="I142" s="39" t="s">
        <v>4077</v>
      </c>
      <c r="J142" s="39" t="s">
        <v>29</v>
      </c>
      <c r="N142" s="39"/>
      <c r="Q142" s="62">
        <v>2</v>
      </c>
      <c r="R142" s="63">
        <v>5</v>
      </c>
      <c r="S142" s="43">
        <v>4</v>
      </c>
      <c r="U142" s="64">
        <v>1</v>
      </c>
      <c r="V142" s="65">
        <v>0</v>
      </c>
      <c r="Z142" s="67">
        <v>1</v>
      </c>
      <c r="AA142" s="101"/>
      <c r="AC142" s="39" t="s">
        <v>4297</v>
      </c>
      <c r="AD142" s="39" t="s">
        <v>4601</v>
      </c>
      <c r="AE142" s="39" t="s">
        <v>4602</v>
      </c>
      <c r="AN142" s="40"/>
      <c r="AO142" s="39"/>
      <c r="AP142" s="70"/>
      <c r="AQ142" s="71"/>
      <c r="AR142" s="72"/>
      <c r="AU142" s="70"/>
      <c r="AV142" s="77"/>
      <c r="AW142" s="78"/>
      <c r="AX142" s="75"/>
      <c r="BA142" s="76"/>
      <c r="BD142" s="40"/>
      <c r="BE142" s="39"/>
    </row>
    <row r="143" spans="1:58" ht="96">
      <c r="A143" s="39" t="s">
        <v>4037</v>
      </c>
      <c r="B143" s="39" t="s">
        <v>4709</v>
      </c>
      <c r="C143" s="39" t="s">
        <v>57</v>
      </c>
      <c r="D143" s="39">
        <v>142</v>
      </c>
      <c r="E143" s="39">
        <v>1</v>
      </c>
      <c r="F143" s="39" t="s">
        <v>4603</v>
      </c>
      <c r="G143" s="39" t="s">
        <v>4603</v>
      </c>
      <c r="H143" s="39" t="s">
        <v>4531</v>
      </c>
      <c r="J143" s="39" t="s">
        <v>4448</v>
      </c>
      <c r="N143" s="39"/>
      <c r="AA143" s="101"/>
      <c r="AD143" s="39"/>
      <c r="AE143" s="39" t="s">
        <v>4604</v>
      </c>
      <c r="AH143" s="39" t="s">
        <v>4603</v>
      </c>
      <c r="AI143" s="39" t="s">
        <v>4532</v>
      </c>
      <c r="AK143" s="39" t="s">
        <v>4448</v>
      </c>
      <c r="AN143" s="40"/>
      <c r="AO143" s="39"/>
      <c r="AP143" s="70"/>
      <c r="AQ143" s="71"/>
      <c r="AR143" s="72"/>
      <c r="AU143" s="70"/>
      <c r="AV143" s="77"/>
      <c r="AW143" s="78"/>
      <c r="AX143" s="75"/>
      <c r="BA143" s="76"/>
      <c r="BD143" s="40"/>
      <c r="BE143" s="39"/>
      <c r="BF143" s="39" t="s">
        <v>4605</v>
      </c>
    </row>
    <row r="144" spans="1:58" ht="48">
      <c r="A144" s="39" t="s">
        <v>4037</v>
      </c>
      <c r="B144" s="39" t="s">
        <v>4710</v>
      </c>
      <c r="C144" s="39" t="s">
        <v>57</v>
      </c>
      <c r="D144" s="39">
        <v>143</v>
      </c>
      <c r="E144" s="39">
        <v>1</v>
      </c>
      <c r="F144" s="39" t="s">
        <v>4603</v>
      </c>
      <c r="G144" s="39" t="s">
        <v>4606</v>
      </c>
      <c r="J144" s="39" t="s">
        <v>4449</v>
      </c>
      <c r="L144" s="39">
        <v>1</v>
      </c>
      <c r="N144" s="39"/>
      <c r="Y144" s="43">
        <v>3</v>
      </c>
      <c r="AA144" s="101"/>
      <c r="AD144" s="39"/>
      <c r="AH144" s="39" t="s">
        <v>4607</v>
      </c>
      <c r="AK144" s="39" t="s">
        <v>4449</v>
      </c>
      <c r="AM144" s="39">
        <v>1</v>
      </c>
      <c r="AN144" s="40"/>
      <c r="AO144" s="39"/>
      <c r="AP144" s="70"/>
      <c r="AQ144" s="71"/>
      <c r="AR144" s="72"/>
      <c r="AU144" s="70"/>
      <c r="AV144" s="77"/>
      <c r="AW144" s="78"/>
      <c r="AX144" s="75"/>
      <c r="BA144" s="76"/>
      <c r="BD144" s="40"/>
      <c r="BE144" s="39"/>
      <c r="BF144" s="39" t="s">
        <v>4608</v>
      </c>
    </row>
    <row r="145" spans="1:58" ht="48">
      <c r="A145" s="39" t="s">
        <v>4037</v>
      </c>
      <c r="B145" s="39" t="s">
        <v>4711</v>
      </c>
      <c r="C145" s="39" t="s">
        <v>57</v>
      </c>
      <c r="D145" s="39">
        <v>144</v>
      </c>
      <c r="E145" s="39">
        <v>1</v>
      </c>
      <c r="F145" s="39" t="s">
        <v>4603</v>
      </c>
      <c r="G145" s="39" t="s">
        <v>4609</v>
      </c>
      <c r="J145" s="39" t="s">
        <v>4449</v>
      </c>
      <c r="L145" s="39">
        <v>2</v>
      </c>
      <c r="N145" s="39"/>
      <c r="Y145" s="43">
        <v>5</v>
      </c>
      <c r="AA145" s="101"/>
      <c r="AD145" s="39"/>
      <c r="AE145" s="39" t="s">
        <v>4610</v>
      </c>
      <c r="AH145" s="39" t="s">
        <v>4611</v>
      </c>
      <c r="AK145" s="39" t="s">
        <v>4449</v>
      </c>
      <c r="AM145" s="39">
        <v>2</v>
      </c>
      <c r="AN145" s="40"/>
      <c r="AO145" s="39"/>
      <c r="AP145" s="70"/>
      <c r="AQ145" s="71"/>
      <c r="AR145" s="72"/>
      <c r="AU145" s="70"/>
      <c r="AV145" s="77"/>
      <c r="AW145" s="78"/>
      <c r="AX145" s="75"/>
      <c r="BA145" s="76"/>
      <c r="BD145" s="40"/>
      <c r="BE145" s="39"/>
      <c r="BF145" s="39" t="s">
        <v>4612</v>
      </c>
    </row>
    <row r="146" spans="1:58" ht="60">
      <c r="A146" s="39" t="s">
        <v>4037</v>
      </c>
      <c r="B146" s="39" t="s">
        <v>4432</v>
      </c>
      <c r="C146" s="39" t="s">
        <v>57</v>
      </c>
      <c r="D146" s="39">
        <v>145</v>
      </c>
      <c r="E146" s="39">
        <v>1</v>
      </c>
      <c r="F146" s="39" t="s">
        <v>4603</v>
      </c>
      <c r="G146" s="39" t="s">
        <v>4300</v>
      </c>
      <c r="J146" s="39" t="s">
        <v>4449</v>
      </c>
      <c r="L146" s="39">
        <v>3</v>
      </c>
      <c r="N146" s="39"/>
      <c r="Y146" s="43">
        <v>5</v>
      </c>
      <c r="AA146" s="101"/>
      <c r="AD146" s="39"/>
      <c r="AE146" s="39" t="s">
        <v>5659</v>
      </c>
      <c r="AH146" s="39" t="s">
        <v>4603</v>
      </c>
      <c r="AK146" s="39" t="s">
        <v>4449</v>
      </c>
      <c r="AM146" s="39">
        <v>3</v>
      </c>
      <c r="AN146" s="40"/>
      <c r="AO146" s="39"/>
      <c r="AP146" s="70"/>
      <c r="AQ146" s="71"/>
      <c r="AR146" s="72"/>
      <c r="AU146" s="70"/>
      <c r="AV146" s="77"/>
      <c r="AW146" s="78"/>
      <c r="AX146" s="75"/>
      <c r="BA146" s="76"/>
      <c r="BD146" s="40"/>
      <c r="BE146" s="39"/>
      <c r="BF146" s="39" t="s">
        <v>4613</v>
      </c>
    </row>
    <row r="147" spans="1:58" ht="60">
      <c r="A147" s="39" t="s">
        <v>4037</v>
      </c>
      <c r="B147" s="39" t="s">
        <v>4706</v>
      </c>
      <c r="C147" s="39" t="s">
        <v>57</v>
      </c>
      <c r="D147" s="39">
        <v>146</v>
      </c>
      <c r="E147" s="39">
        <v>1</v>
      </c>
      <c r="F147" s="39" t="s">
        <v>4603</v>
      </c>
      <c r="G147" s="39" t="s">
        <v>4614</v>
      </c>
      <c r="J147" s="39" t="s">
        <v>4451</v>
      </c>
      <c r="L147" s="39">
        <v>1</v>
      </c>
      <c r="N147" s="39"/>
      <c r="X147" s="63" t="s">
        <v>4910</v>
      </c>
      <c r="AA147" s="101"/>
      <c r="AD147" s="39"/>
      <c r="AH147" s="39" t="s">
        <v>4615</v>
      </c>
      <c r="AK147" s="39" t="s">
        <v>4451</v>
      </c>
      <c r="AM147" s="39">
        <v>1</v>
      </c>
      <c r="AN147" s="40"/>
      <c r="AO147" s="39"/>
      <c r="AP147" s="70"/>
      <c r="AQ147" s="71"/>
      <c r="AR147" s="72"/>
      <c r="AU147" s="70"/>
      <c r="AV147" s="77"/>
      <c r="AW147" s="78"/>
      <c r="AX147" s="75"/>
      <c r="BA147" s="76"/>
      <c r="BD147" s="40"/>
      <c r="BE147" s="39"/>
      <c r="BF147" s="39" t="s">
        <v>4616</v>
      </c>
    </row>
    <row r="148" spans="1:58" ht="60">
      <c r="A148" s="39" t="s">
        <v>4037</v>
      </c>
      <c r="B148" s="39" t="s">
        <v>4707</v>
      </c>
      <c r="C148" s="39" t="s">
        <v>57</v>
      </c>
      <c r="D148" s="39">
        <v>147</v>
      </c>
      <c r="E148" s="39">
        <v>1</v>
      </c>
      <c r="F148" s="39" t="s">
        <v>4603</v>
      </c>
      <c r="G148" s="39" t="s">
        <v>4617</v>
      </c>
      <c r="J148" s="39" t="s">
        <v>4451</v>
      </c>
      <c r="L148" s="39">
        <v>2</v>
      </c>
      <c r="N148" s="39"/>
      <c r="X148" s="80" t="s">
        <v>38</v>
      </c>
      <c r="AA148" s="101"/>
      <c r="AD148" s="39"/>
      <c r="AE148" s="39" t="s">
        <v>4618</v>
      </c>
      <c r="AH148" s="39" t="s">
        <v>4619</v>
      </c>
      <c r="AK148" s="39" t="s">
        <v>4451</v>
      </c>
      <c r="AM148" s="39">
        <v>2</v>
      </c>
      <c r="AN148" s="40"/>
      <c r="AO148" s="39"/>
      <c r="AP148" s="70"/>
      <c r="AQ148" s="71"/>
      <c r="AR148" s="72"/>
      <c r="AU148" s="70"/>
      <c r="AV148" s="77"/>
      <c r="AW148" s="78"/>
      <c r="AX148" s="75"/>
      <c r="BA148" s="76"/>
      <c r="BD148" s="40"/>
      <c r="BE148" s="39"/>
      <c r="BF148" s="39" t="s">
        <v>4620</v>
      </c>
    </row>
    <row r="149" spans="1:58" ht="48">
      <c r="A149" s="39" t="s">
        <v>4037</v>
      </c>
      <c r="B149" s="39" t="s">
        <v>4708</v>
      </c>
      <c r="C149" s="39" t="s">
        <v>57</v>
      </c>
      <c r="D149" s="39">
        <v>148</v>
      </c>
      <c r="E149" s="39">
        <v>1</v>
      </c>
      <c r="F149" s="39" t="s">
        <v>4603</v>
      </c>
      <c r="G149" s="39" t="s">
        <v>4621</v>
      </c>
      <c r="J149" s="39" t="s">
        <v>4451</v>
      </c>
      <c r="L149" s="39">
        <v>3</v>
      </c>
      <c r="N149" s="39"/>
      <c r="X149" s="80" t="s">
        <v>38</v>
      </c>
      <c r="AA149" s="101"/>
      <c r="AD149" s="39"/>
      <c r="AE149" s="39" t="s">
        <v>4622</v>
      </c>
      <c r="AH149" s="39" t="s">
        <v>4623</v>
      </c>
      <c r="AK149" s="39" t="s">
        <v>4451</v>
      </c>
      <c r="AM149" s="39">
        <v>3</v>
      </c>
      <c r="AN149" s="40"/>
      <c r="AO149" s="39"/>
      <c r="AP149" s="70"/>
      <c r="AQ149" s="71"/>
      <c r="AR149" s="72"/>
      <c r="AU149" s="70"/>
      <c r="AV149" s="77"/>
      <c r="AW149" s="78"/>
      <c r="AX149" s="75"/>
      <c r="BA149" s="76"/>
      <c r="BD149" s="40"/>
      <c r="BE149" s="39"/>
      <c r="BF149" s="39" t="s">
        <v>4559</v>
      </c>
    </row>
    <row r="150" spans="1:58" ht="36">
      <c r="A150" s="39" t="s">
        <v>4037</v>
      </c>
      <c r="B150" s="39" t="s">
        <v>4433</v>
      </c>
      <c r="C150" s="39" t="s">
        <v>57</v>
      </c>
      <c r="D150" s="39">
        <v>149</v>
      </c>
      <c r="E150" s="39">
        <v>1</v>
      </c>
      <c r="F150" s="39" t="s">
        <v>4603</v>
      </c>
      <c r="G150" s="39" t="s">
        <v>4301</v>
      </c>
      <c r="J150" s="39" t="s">
        <v>31</v>
      </c>
      <c r="N150" s="39"/>
      <c r="AA150" s="101"/>
      <c r="AC150" s="39" t="s">
        <v>4302</v>
      </c>
      <c r="AD150" s="39"/>
      <c r="AH150" s="39" t="s">
        <v>4301</v>
      </c>
      <c r="AK150" s="39" t="s">
        <v>31</v>
      </c>
      <c r="AO150" s="39"/>
      <c r="AX150" s="66">
        <v>2</v>
      </c>
      <c r="AY150" s="63">
        <v>0</v>
      </c>
      <c r="BD150" s="39" t="s">
        <v>4302</v>
      </c>
      <c r="BE150" s="39"/>
      <c r="BF150" s="39" t="s">
        <v>4624</v>
      </c>
    </row>
    <row r="151" spans="1:58" ht="24">
      <c r="A151" s="39" t="s">
        <v>4037</v>
      </c>
      <c r="B151" s="39" t="s">
        <v>4698</v>
      </c>
      <c r="C151" s="39" t="s">
        <v>57</v>
      </c>
      <c r="D151" s="39">
        <v>150</v>
      </c>
      <c r="E151" s="39">
        <v>1</v>
      </c>
      <c r="F151" s="39" t="s">
        <v>4603</v>
      </c>
      <c r="G151" s="39" t="s">
        <v>4625</v>
      </c>
      <c r="J151" s="39" t="s">
        <v>31</v>
      </c>
      <c r="N151" s="39"/>
      <c r="AA151" s="101"/>
      <c r="AC151" s="39" t="s">
        <v>4302</v>
      </c>
      <c r="AD151" s="39"/>
      <c r="AH151" s="39" t="s">
        <v>4625</v>
      </c>
      <c r="AI151" s="39" t="s">
        <v>4626</v>
      </c>
      <c r="AK151" s="39" t="s">
        <v>31</v>
      </c>
      <c r="AO151" s="39"/>
      <c r="AX151" s="66">
        <v>4</v>
      </c>
      <c r="AY151" s="63" t="s">
        <v>4872</v>
      </c>
      <c r="BD151" s="39" t="s">
        <v>4302</v>
      </c>
      <c r="BE151" s="39"/>
      <c r="BF151" s="39" t="s">
        <v>4627</v>
      </c>
    </row>
    <row r="152" spans="1:58" ht="24">
      <c r="A152" s="39" t="s">
        <v>4037</v>
      </c>
      <c r="B152" s="39" t="s">
        <v>4699</v>
      </c>
      <c r="C152" s="39" t="s">
        <v>57</v>
      </c>
      <c r="D152" s="39">
        <v>151</v>
      </c>
      <c r="E152" s="39">
        <v>1</v>
      </c>
      <c r="F152" s="39" t="s">
        <v>4603</v>
      </c>
      <c r="G152" s="39" t="s">
        <v>4625</v>
      </c>
      <c r="J152" s="39" t="s">
        <v>31</v>
      </c>
      <c r="N152" s="39"/>
      <c r="AA152" s="101"/>
      <c r="AC152" s="39" t="s">
        <v>4302</v>
      </c>
      <c r="AD152" s="39"/>
      <c r="AH152" s="39" t="s">
        <v>4625</v>
      </c>
      <c r="AI152" s="39" t="s">
        <v>4628</v>
      </c>
      <c r="AK152" s="39" t="s">
        <v>31</v>
      </c>
      <c r="AO152" s="39"/>
      <c r="AX152" s="66">
        <v>3</v>
      </c>
      <c r="AY152" s="63" t="s">
        <v>4872</v>
      </c>
      <c r="BD152" s="39" t="s">
        <v>4302</v>
      </c>
      <c r="BE152" s="39"/>
      <c r="BF152" s="39" t="s">
        <v>4629</v>
      </c>
    </row>
    <row r="153" spans="1:58" ht="24">
      <c r="A153" s="39" t="s">
        <v>4037</v>
      </c>
      <c r="B153" s="39" t="s">
        <v>4700</v>
      </c>
      <c r="C153" s="39" t="s">
        <v>57</v>
      </c>
      <c r="D153" s="39">
        <v>152</v>
      </c>
      <c r="E153" s="39">
        <v>1</v>
      </c>
      <c r="F153" s="39" t="s">
        <v>4603</v>
      </c>
      <c r="G153" s="39" t="s">
        <v>4625</v>
      </c>
      <c r="J153" s="39" t="s">
        <v>31</v>
      </c>
      <c r="N153" s="39"/>
      <c r="AA153" s="101"/>
      <c r="AC153" s="39" t="s">
        <v>4302</v>
      </c>
      <c r="AD153" s="39"/>
      <c r="AH153" s="39" t="s">
        <v>4625</v>
      </c>
      <c r="AI153" s="39" t="s">
        <v>4630</v>
      </c>
      <c r="AK153" s="39" t="s">
        <v>31</v>
      </c>
      <c r="AO153" s="39"/>
      <c r="AX153" s="66">
        <v>2</v>
      </c>
      <c r="AY153" s="63" t="s">
        <v>4872</v>
      </c>
      <c r="BD153" s="39" t="s">
        <v>4302</v>
      </c>
      <c r="BE153" s="39"/>
      <c r="BF153" s="39" t="s">
        <v>4631</v>
      </c>
    </row>
    <row r="154" spans="1:58" ht="24">
      <c r="A154" s="39" t="s">
        <v>4037</v>
      </c>
      <c r="B154" s="39" t="s">
        <v>4701</v>
      </c>
      <c r="C154" s="39" t="s">
        <v>57</v>
      </c>
      <c r="D154" s="39">
        <v>153</v>
      </c>
      <c r="E154" s="39">
        <v>1</v>
      </c>
      <c r="F154" s="39" t="s">
        <v>4603</v>
      </c>
      <c r="G154" s="39" t="s">
        <v>4625</v>
      </c>
      <c r="J154" s="39" t="s">
        <v>31</v>
      </c>
      <c r="N154" s="39"/>
      <c r="AA154" s="101"/>
      <c r="AC154" s="39" t="s">
        <v>4302</v>
      </c>
      <c r="AD154" s="39"/>
      <c r="AH154" s="39" t="s">
        <v>4625</v>
      </c>
      <c r="AI154" s="39" t="s">
        <v>4632</v>
      </c>
      <c r="AK154" s="39" t="s">
        <v>31</v>
      </c>
      <c r="AO154" s="39"/>
      <c r="AX154" s="66">
        <v>2</v>
      </c>
      <c r="AY154" s="63" t="s">
        <v>4872</v>
      </c>
      <c r="BD154" s="39" t="s">
        <v>4302</v>
      </c>
      <c r="BE154" s="39"/>
      <c r="BF154" s="39" t="s">
        <v>4633</v>
      </c>
    </row>
    <row r="155" spans="1:58" ht="24">
      <c r="A155" s="39" t="s">
        <v>4037</v>
      </c>
      <c r="B155" s="39" t="s">
        <v>4702</v>
      </c>
      <c r="C155" s="39" t="s">
        <v>57</v>
      </c>
      <c r="D155" s="39">
        <v>154</v>
      </c>
      <c r="E155" s="39">
        <v>1</v>
      </c>
      <c r="F155" s="39" t="s">
        <v>4603</v>
      </c>
      <c r="G155" s="39" t="s">
        <v>4625</v>
      </c>
      <c r="J155" s="39" t="s">
        <v>31</v>
      </c>
      <c r="N155" s="39"/>
      <c r="AA155" s="101"/>
      <c r="AC155" s="39" t="s">
        <v>4302</v>
      </c>
      <c r="AD155" s="39"/>
      <c r="AH155" s="39" t="s">
        <v>4625</v>
      </c>
      <c r="AI155" s="39" t="s">
        <v>4634</v>
      </c>
      <c r="AK155" s="39" t="s">
        <v>31</v>
      </c>
      <c r="AO155" s="39"/>
      <c r="AX155" s="66">
        <v>2</v>
      </c>
      <c r="AY155" s="63" t="s">
        <v>4872</v>
      </c>
      <c r="BD155" s="39" t="s">
        <v>4302</v>
      </c>
      <c r="BE155" s="39"/>
      <c r="BF155" s="39" t="s">
        <v>4635</v>
      </c>
    </row>
    <row r="156" spans="1:58" ht="15">
      <c r="A156" s="39" t="s">
        <v>4037</v>
      </c>
      <c r="B156" s="39" t="s">
        <v>4703</v>
      </c>
      <c r="C156" s="39" t="s">
        <v>57</v>
      </c>
      <c r="D156" s="39">
        <v>155</v>
      </c>
      <c r="E156" s="39">
        <v>1</v>
      </c>
      <c r="F156" s="39" t="s">
        <v>4603</v>
      </c>
      <c r="G156" s="39" t="s">
        <v>4625</v>
      </c>
      <c r="J156" s="39" t="s">
        <v>31</v>
      </c>
      <c r="N156" s="39"/>
      <c r="AA156" s="101"/>
      <c r="AC156" s="39" t="s">
        <v>4302</v>
      </c>
      <c r="AD156" s="39"/>
      <c r="AH156" s="39" t="s">
        <v>4625</v>
      </c>
      <c r="AI156" s="39" t="s">
        <v>4636</v>
      </c>
      <c r="AK156" s="39" t="s">
        <v>31</v>
      </c>
      <c r="AO156" s="39"/>
      <c r="AX156" s="66">
        <v>1</v>
      </c>
      <c r="AY156" s="63">
        <v>0</v>
      </c>
      <c r="BD156" s="39" t="s">
        <v>4302</v>
      </c>
      <c r="BE156" s="39"/>
      <c r="BF156" s="39" t="s">
        <v>4637</v>
      </c>
    </row>
    <row r="157" spans="1:58" ht="36">
      <c r="A157" s="39" t="s">
        <v>4037</v>
      </c>
      <c r="B157" s="39" t="s">
        <v>4704</v>
      </c>
      <c r="C157" s="39" t="s">
        <v>57</v>
      </c>
      <c r="D157" s="39">
        <v>156</v>
      </c>
      <c r="E157" s="39">
        <v>1</v>
      </c>
      <c r="F157" s="39" t="s">
        <v>4603</v>
      </c>
      <c r="G157" s="39" t="s">
        <v>4638</v>
      </c>
      <c r="J157" s="39" t="s">
        <v>31</v>
      </c>
      <c r="N157" s="39"/>
      <c r="AA157" s="101"/>
      <c r="AC157" s="39" t="s">
        <v>4639</v>
      </c>
      <c r="AD157" s="39"/>
      <c r="AH157" s="39" t="s">
        <v>4638</v>
      </c>
      <c r="AK157" s="39" t="s">
        <v>31</v>
      </c>
      <c r="AO157" s="39"/>
      <c r="AX157" s="66">
        <v>3</v>
      </c>
      <c r="AY157" s="63" t="s">
        <v>4909</v>
      </c>
      <c r="BD157" s="39" t="s">
        <v>4639</v>
      </c>
      <c r="BE157" s="39"/>
      <c r="BF157" s="39" t="s">
        <v>4640</v>
      </c>
    </row>
    <row r="158" spans="1:58" ht="60">
      <c r="A158" s="39" t="s">
        <v>4037</v>
      </c>
      <c r="B158" s="39" t="s">
        <v>4705</v>
      </c>
      <c r="C158" s="39" t="s">
        <v>57</v>
      </c>
      <c r="D158" s="39">
        <v>157</v>
      </c>
      <c r="E158" s="39">
        <v>1</v>
      </c>
      <c r="F158" s="39" t="s">
        <v>4603</v>
      </c>
      <c r="G158" s="39" t="s">
        <v>4641</v>
      </c>
      <c r="H158" s="39" t="s">
        <v>4603</v>
      </c>
      <c r="J158" s="39" t="s">
        <v>29</v>
      </c>
      <c r="N158" s="39"/>
      <c r="Q158" s="62">
        <v>5</v>
      </c>
      <c r="R158" s="63">
        <v>6</v>
      </c>
      <c r="S158" s="43">
        <v>6</v>
      </c>
      <c r="U158" s="64">
        <v>3</v>
      </c>
      <c r="V158" s="65">
        <v>3</v>
      </c>
      <c r="AA158" s="101"/>
      <c r="AC158" s="39" t="s">
        <v>4642</v>
      </c>
      <c r="AD158" s="39" t="s">
        <v>4643</v>
      </c>
      <c r="AE158" s="39" t="s">
        <v>4644</v>
      </c>
      <c r="AO158" s="39"/>
      <c r="BE158" s="39"/>
    </row>
    <row r="159" spans="1:58" ht="36">
      <c r="A159" s="39" t="s">
        <v>4037</v>
      </c>
      <c r="B159" s="39" t="s">
        <v>4434</v>
      </c>
      <c r="C159" s="39" t="s">
        <v>57</v>
      </c>
      <c r="D159" s="39">
        <v>158</v>
      </c>
      <c r="E159" s="39">
        <v>2</v>
      </c>
      <c r="F159" s="39" t="s">
        <v>4603</v>
      </c>
      <c r="G159" s="39" t="s">
        <v>4303</v>
      </c>
      <c r="J159" s="39" t="s">
        <v>28</v>
      </c>
      <c r="N159" s="39"/>
      <c r="AA159" s="101"/>
      <c r="AC159" s="39" t="s">
        <v>4269</v>
      </c>
      <c r="AD159" s="39"/>
      <c r="AE159" s="39" t="s">
        <v>4462</v>
      </c>
      <c r="AN159" s="40"/>
      <c r="AO159" s="39"/>
      <c r="AP159" s="70"/>
      <c r="AQ159" s="71"/>
      <c r="AR159" s="72"/>
      <c r="AU159" s="70"/>
      <c r="AV159" s="77"/>
      <c r="AW159" s="78"/>
      <c r="AX159" s="75"/>
      <c r="BA159" s="76"/>
      <c r="BD159" s="40"/>
      <c r="BE159" s="39"/>
    </row>
    <row r="160" spans="1:58" ht="15">
      <c r="A160" s="39" t="s">
        <v>4037</v>
      </c>
      <c r="B160" s="39" t="s">
        <v>4435</v>
      </c>
      <c r="C160" s="39" t="s">
        <v>57</v>
      </c>
      <c r="D160" s="39">
        <v>159</v>
      </c>
      <c r="E160" s="39">
        <v>3</v>
      </c>
      <c r="F160" s="39" t="s">
        <v>4731</v>
      </c>
      <c r="G160" s="39" t="s">
        <v>4304</v>
      </c>
      <c r="J160" s="39" t="s">
        <v>29</v>
      </c>
      <c r="N160" s="39"/>
      <c r="Q160" s="62">
        <v>1</v>
      </c>
      <c r="R160" s="63">
        <v>3</v>
      </c>
      <c r="S160" s="43">
        <v>1</v>
      </c>
      <c r="U160" s="64">
        <v>1</v>
      </c>
      <c r="V160" s="65">
        <v>0</v>
      </c>
      <c r="AA160" s="101"/>
      <c r="AC160" s="39" t="s">
        <v>30</v>
      </c>
      <c r="AD160" s="39" t="s">
        <v>4305</v>
      </c>
      <c r="AN160" s="40"/>
      <c r="AO160" s="39"/>
      <c r="AP160" s="70"/>
      <c r="AQ160" s="71"/>
      <c r="AR160" s="72"/>
      <c r="AU160" s="70"/>
      <c r="AV160" s="77"/>
      <c r="AW160" s="78"/>
      <c r="AX160" s="75"/>
      <c r="BA160" s="76"/>
      <c r="BD160" s="40"/>
      <c r="BE160" s="39"/>
    </row>
    <row r="161" spans="1:57" ht="24">
      <c r="A161" s="39" t="s">
        <v>4037</v>
      </c>
      <c r="B161" s="39" t="s">
        <v>4436</v>
      </c>
      <c r="C161" s="39" t="s">
        <v>57</v>
      </c>
      <c r="D161" s="39">
        <v>160</v>
      </c>
      <c r="E161" s="39">
        <v>2</v>
      </c>
      <c r="F161" s="39" t="s">
        <v>4732</v>
      </c>
      <c r="G161" s="39" t="s">
        <v>4306</v>
      </c>
      <c r="J161" s="39" t="s">
        <v>29</v>
      </c>
      <c r="N161" s="39"/>
      <c r="Q161" s="62">
        <v>2</v>
      </c>
      <c r="R161" s="63">
        <v>2</v>
      </c>
      <c r="S161" s="43">
        <v>2</v>
      </c>
      <c r="U161" s="64">
        <v>1</v>
      </c>
      <c r="V161" s="65">
        <v>1</v>
      </c>
      <c r="AA161" s="101"/>
      <c r="AC161" s="39" t="s">
        <v>4290</v>
      </c>
      <c r="AD161" s="39"/>
      <c r="AN161" s="40"/>
      <c r="AO161" s="39"/>
      <c r="AP161" s="70"/>
      <c r="AQ161" s="71"/>
      <c r="AR161" s="72"/>
      <c r="AU161" s="70"/>
      <c r="AV161" s="77"/>
      <c r="AW161" s="78"/>
      <c r="AX161" s="75"/>
      <c r="BA161" s="76"/>
      <c r="BD161" s="40"/>
      <c r="BE161" s="39"/>
    </row>
    <row r="162" spans="1:57" ht="24">
      <c r="A162" s="39" t="s">
        <v>4037</v>
      </c>
      <c r="B162" s="39" t="s">
        <v>4437</v>
      </c>
      <c r="C162" s="39" t="s">
        <v>57</v>
      </c>
      <c r="D162" s="39">
        <v>161</v>
      </c>
      <c r="E162" s="39">
        <v>1</v>
      </c>
      <c r="F162" s="39" t="s">
        <v>4732</v>
      </c>
      <c r="G162" s="39" t="s">
        <v>4307</v>
      </c>
      <c r="J162" s="39" t="s">
        <v>29</v>
      </c>
      <c r="N162" s="39"/>
      <c r="Q162" s="62">
        <v>3</v>
      </c>
      <c r="R162" s="63">
        <v>3</v>
      </c>
      <c r="S162" s="43">
        <v>3</v>
      </c>
      <c r="U162" s="64">
        <v>1</v>
      </c>
      <c r="V162" s="65">
        <v>1</v>
      </c>
      <c r="AA162" s="101"/>
      <c r="AC162" s="39" t="s">
        <v>4290</v>
      </c>
      <c r="AD162" s="39" t="s">
        <v>4463</v>
      </c>
      <c r="AN162" s="40"/>
      <c r="AO162" s="39"/>
      <c r="AP162" s="70"/>
      <c r="AQ162" s="71"/>
      <c r="AR162" s="72"/>
      <c r="AU162" s="70"/>
      <c r="AV162" s="77"/>
      <c r="AW162" s="78"/>
      <c r="AX162" s="75"/>
      <c r="BA162" s="76"/>
      <c r="BD162" s="40"/>
      <c r="BE162" s="39"/>
    </row>
    <row r="163" spans="1:57" ht="24">
      <c r="A163" s="39" t="s">
        <v>4037</v>
      </c>
      <c r="B163" s="39" t="s">
        <v>4438</v>
      </c>
      <c r="C163" s="39" t="s">
        <v>57</v>
      </c>
      <c r="D163" s="39">
        <v>162</v>
      </c>
      <c r="E163" s="39">
        <v>1</v>
      </c>
      <c r="F163" s="39" t="s">
        <v>4732</v>
      </c>
      <c r="G163" s="39" t="s">
        <v>4308</v>
      </c>
      <c r="J163" s="39" t="s">
        <v>28</v>
      </c>
      <c r="N163" s="39"/>
      <c r="AA163" s="101"/>
      <c r="AC163" s="39" t="s">
        <v>4309</v>
      </c>
      <c r="AD163" s="39"/>
      <c r="AE163" s="39" t="s">
        <v>4464</v>
      </c>
      <c r="AN163" s="40"/>
      <c r="AO163" s="39"/>
      <c r="AP163" s="70"/>
      <c r="AQ163" s="71"/>
      <c r="AR163" s="72"/>
      <c r="AU163" s="70"/>
      <c r="AV163" s="77"/>
      <c r="AW163" s="78"/>
      <c r="AX163" s="75"/>
      <c r="BA163" s="76"/>
      <c r="BD163" s="40"/>
      <c r="BE163" s="39"/>
    </row>
    <row r="164" spans="1:57" ht="24">
      <c r="A164" s="39" t="s">
        <v>4037</v>
      </c>
      <c r="B164" s="39" t="s">
        <v>4439</v>
      </c>
      <c r="C164" s="39" t="s">
        <v>57</v>
      </c>
      <c r="D164" s="39">
        <v>163</v>
      </c>
      <c r="E164" s="39">
        <v>3</v>
      </c>
      <c r="F164" s="39" t="s">
        <v>4733</v>
      </c>
      <c r="G164" s="39" t="s">
        <v>4310</v>
      </c>
      <c r="J164" s="39" t="s">
        <v>28</v>
      </c>
      <c r="N164" s="39"/>
      <c r="AA164" s="101"/>
      <c r="AC164" s="39" t="s">
        <v>4311</v>
      </c>
      <c r="AD164" s="39"/>
      <c r="AE164" s="39" t="s">
        <v>4465</v>
      </c>
      <c r="AN164" s="40"/>
      <c r="AO164" s="39"/>
      <c r="AP164" s="70"/>
      <c r="AQ164" s="71"/>
      <c r="AR164" s="72"/>
      <c r="AU164" s="70"/>
      <c r="AV164" s="77"/>
      <c r="AW164" s="78"/>
      <c r="AX164" s="75"/>
      <c r="BA164" s="76"/>
      <c r="BD164" s="40"/>
      <c r="BE164" s="39"/>
    </row>
    <row r="165" spans="1:57" ht="72">
      <c r="A165" s="39" t="s">
        <v>4037</v>
      </c>
      <c r="B165" s="39" t="s">
        <v>4440</v>
      </c>
      <c r="C165" s="39" t="s">
        <v>57</v>
      </c>
      <c r="D165" s="39">
        <v>164</v>
      </c>
      <c r="E165" s="39">
        <v>2</v>
      </c>
      <c r="F165" s="39" t="s">
        <v>4733</v>
      </c>
      <c r="G165" s="39" t="s">
        <v>4312</v>
      </c>
      <c r="J165" s="39" t="s">
        <v>28</v>
      </c>
      <c r="N165" s="39"/>
      <c r="AA165" s="101"/>
      <c r="AC165" s="39" t="s">
        <v>4311</v>
      </c>
      <c r="AD165" s="39"/>
      <c r="AE165" s="39" t="s">
        <v>4466</v>
      </c>
      <c r="AN165" s="40"/>
      <c r="AO165" s="39"/>
      <c r="AP165" s="70"/>
      <c r="AQ165" s="71"/>
      <c r="AR165" s="72"/>
      <c r="AU165" s="70"/>
      <c r="AV165" s="77"/>
      <c r="AW165" s="78"/>
      <c r="AX165" s="75"/>
      <c r="BA165" s="76"/>
      <c r="BD165" s="40"/>
      <c r="BE165" s="39"/>
    </row>
    <row r="166" spans="1:57" ht="48">
      <c r="A166" s="39" t="s">
        <v>4037</v>
      </c>
      <c r="B166" s="39" t="s">
        <v>4441</v>
      </c>
      <c r="C166" s="39" t="s">
        <v>57</v>
      </c>
      <c r="D166" s="39">
        <v>165</v>
      </c>
      <c r="E166" s="39">
        <v>2</v>
      </c>
      <c r="F166" s="39" t="s">
        <v>4733</v>
      </c>
      <c r="G166" s="39" t="s">
        <v>4313</v>
      </c>
      <c r="J166" s="39" t="s">
        <v>28</v>
      </c>
      <c r="N166" s="39"/>
      <c r="AA166" s="101"/>
      <c r="AC166" s="39" t="s">
        <v>4311</v>
      </c>
      <c r="AD166" s="39"/>
      <c r="AE166" s="39" t="s">
        <v>4467</v>
      </c>
      <c r="AN166" s="40"/>
      <c r="AO166" s="39"/>
      <c r="AP166" s="70"/>
      <c r="AQ166" s="71"/>
      <c r="AR166" s="72"/>
      <c r="AU166" s="70"/>
      <c r="AV166" s="77"/>
      <c r="AW166" s="78"/>
      <c r="AX166" s="75"/>
      <c r="BA166" s="76"/>
      <c r="BD166" s="40"/>
      <c r="BE166" s="39"/>
    </row>
    <row r="167" spans="1:57" ht="24">
      <c r="A167" s="39" t="s">
        <v>4037</v>
      </c>
      <c r="B167" s="39" t="s">
        <v>4446</v>
      </c>
      <c r="C167" s="39" t="s">
        <v>57</v>
      </c>
      <c r="D167" s="39">
        <v>166</v>
      </c>
      <c r="E167" s="39">
        <v>2</v>
      </c>
      <c r="F167" s="39" t="s">
        <v>4321</v>
      </c>
      <c r="G167" s="39" t="s">
        <v>4321</v>
      </c>
      <c r="J167" s="39" t="s">
        <v>28</v>
      </c>
      <c r="N167" s="39"/>
      <c r="AA167" s="101"/>
      <c r="AC167" s="39" t="s">
        <v>4322</v>
      </c>
      <c r="AD167" s="39"/>
      <c r="AE167" s="39" t="s">
        <v>4469</v>
      </c>
      <c r="AN167" s="40"/>
      <c r="AO167" s="39"/>
      <c r="AP167" s="70"/>
      <c r="AQ167" s="71"/>
      <c r="AR167" s="72"/>
      <c r="AU167" s="70"/>
      <c r="AV167" s="77"/>
      <c r="AW167" s="78"/>
      <c r="AX167" s="75"/>
      <c r="BA167" s="76"/>
      <c r="BD167" s="40"/>
      <c r="BE167" s="39"/>
    </row>
    <row r="168" spans="1:57" ht="24">
      <c r="A168" s="39" t="s">
        <v>4037</v>
      </c>
      <c r="B168" s="39" t="s">
        <v>4696</v>
      </c>
      <c r="C168" s="39" t="s">
        <v>57</v>
      </c>
      <c r="D168" s="39">
        <v>167</v>
      </c>
      <c r="E168" s="39">
        <v>2</v>
      </c>
      <c r="F168" s="39" t="s">
        <v>4734</v>
      </c>
      <c r="G168" s="39" t="s">
        <v>4645</v>
      </c>
      <c r="J168" s="39" t="s">
        <v>28</v>
      </c>
      <c r="N168" s="39"/>
      <c r="AA168" s="101"/>
      <c r="AC168" s="39" t="s">
        <v>4309</v>
      </c>
      <c r="AD168" s="39"/>
      <c r="AE168" s="39" t="s">
        <v>4646</v>
      </c>
      <c r="AN168" s="40"/>
      <c r="AO168" s="39"/>
      <c r="AP168" s="70"/>
      <c r="AQ168" s="71"/>
      <c r="AR168" s="72"/>
      <c r="AU168" s="70"/>
      <c r="AV168" s="77"/>
      <c r="AW168" s="78"/>
      <c r="AX168" s="75"/>
      <c r="BA168" s="76"/>
      <c r="BD168" s="40"/>
      <c r="BE168" s="39"/>
    </row>
    <row r="169" spans="1:57" ht="48">
      <c r="A169" s="39" t="s">
        <v>4037</v>
      </c>
      <c r="B169" s="39" t="s">
        <v>4447</v>
      </c>
      <c r="C169" s="39" t="s">
        <v>57</v>
      </c>
      <c r="D169" s="39">
        <v>168</v>
      </c>
      <c r="E169" s="39">
        <v>2</v>
      </c>
      <c r="F169" s="39" t="s">
        <v>4734</v>
      </c>
      <c r="G169" s="39" t="s">
        <v>4323</v>
      </c>
      <c r="J169" s="39" t="s">
        <v>28</v>
      </c>
      <c r="N169" s="39"/>
      <c r="O169" s="70"/>
      <c r="P169" s="71"/>
      <c r="Q169" s="72"/>
      <c r="T169" s="70"/>
      <c r="U169" s="73"/>
      <c r="V169" s="74"/>
      <c r="W169" s="75"/>
      <c r="Z169" s="76"/>
      <c r="AA169" s="101"/>
      <c r="AC169" s="39" t="s">
        <v>4309</v>
      </c>
      <c r="AD169" s="39"/>
      <c r="AE169" s="39" t="s">
        <v>4470</v>
      </c>
      <c r="AN169" s="40"/>
      <c r="AO169" s="39"/>
      <c r="AP169" s="70"/>
      <c r="AQ169" s="71"/>
      <c r="AR169" s="72"/>
      <c r="AU169" s="70"/>
      <c r="AV169" s="77"/>
      <c r="AW169" s="78"/>
      <c r="AX169" s="75"/>
      <c r="BA169" s="76"/>
      <c r="BD169" s="40"/>
      <c r="BE169" s="39"/>
    </row>
    <row r="170" spans="1:57" ht="15">
      <c r="A170" s="39" t="s">
        <v>4037</v>
      </c>
      <c r="B170" s="39" t="s">
        <v>4442</v>
      </c>
      <c r="C170" s="39" t="s">
        <v>57</v>
      </c>
      <c r="D170" s="39">
        <v>169</v>
      </c>
      <c r="E170" s="39">
        <v>2</v>
      </c>
      <c r="F170" s="39" t="s">
        <v>4735</v>
      </c>
      <c r="G170" s="39" t="s">
        <v>4314</v>
      </c>
      <c r="J170" s="39" t="s">
        <v>29</v>
      </c>
      <c r="N170" s="39"/>
      <c r="Q170" s="62">
        <v>3</v>
      </c>
      <c r="R170" s="63">
        <v>2</v>
      </c>
      <c r="S170" s="43">
        <v>1</v>
      </c>
      <c r="U170" s="64">
        <v>1</v>
      </c>
      <c r="V170" s="65">
        <v>0</v>
      </c>
      <c r="AA170" s="101"/>
      <c r="AC170" s="39" t="s">
        <v>4297</v>
      </c>
      <c r="AD170" s="39" t="s">
        <v>5661</v>
      </c>
      <c r="AE170" s="39" t="s">
        <v>5660</v>
      </c>
      <c r="AN170" s="40"/>
      <c r="AO170" s="39"/>
      <c r="AP170" s="70"/>
      <c r="AQ170" s="71"/>
      <c r="AR170" s="72"/>
      <c r="AU170" s="70"/>
      <c r="AV170" s="77"/>
      <c r="AW170" s="78"/>
      <c r="AX170" s="75"/>
      <c r="BA170" s="76"/>
      <c r="BD170" s="40"/>
      <c r="BE170" s="39"/>
    </row>
    <row r="171" spans="1:57" ht="24">
      <c r="A171" s="39" t="s">
        <v>4037</v>
      </c>
      <c r="B171" s="39" t="s">
        <v>4697</v>
      </c>
      <c r="C171" s="39" t="s">
        <v>57</v>
      </c>
      <c r="D171" s="39">
        <v>170</v>
      </c>
      <c r="E171" s="39">
        <v>1</v>
      </c>
      <c r="F171" s="39" t="s">
        <v>4735</v>
      </c>
      <c r="G171" s="39" t="s">
        <v>4647</v>
      </c>
      <c r="J171" s="39" t="s">
        <v>29</v>
      </c>
      <c r="N171" s="39"/>
      <c r="Q171" s="62">
        <v>4</v>
      </c>
      <c r="R171" s="63">
        <v>2</v>
      </c>
      <c r="S171" s="43">
        <v>2</v>
      </c>
      <c r="U171" s="64">
        <v>1</v>
      </c>
      <c r="V171" s="65">
        <v>0</v>
      </c>
      <c r="AA171" s="101"/>
      <c r="AC171" s="39" t="s">
        <v>4297</v>
      </c>
      <c r="AD171" s="39" t="s">
        <v>4648</v>
      </c>
      <c r="AE171" s="39" t="s">
        <v>4649</v>
      </c>
      <c r="AN171" s="40"/>
      <c r="AO171" s="39"/>
      <c r="AP171" s="70"/>
      <c r="AQ171" s="71"/>
      <c r="AR171" s="72"/>
      <c r="AU171" s="70"/>
      <c r="AV171" s="77"/>
      <c r="AW171" s="78"/>
      <c r="AX171" s="75"/>
      <c r="BA171" s="76"/>
      <c r="BD171" s="40"/>
      <c r="BE171" s="39"/>
    </row>
    <row r="172" spans="1:57" ht="48">
      <c r="A172" s="39" t="s">
        <v>4037</v>
      </c>
      <c r="B172" s="39" t="s">
        <v>4443</v>
      </c>
      <c r="C172" s="39" t="s">
        <v>57</v>
      </c>
      <c r="D172" s="39">
        <v>171</v>
      </c>
      <c r="E172" s="39">
        <v>1</v>
      </c>
      <c r="F172" s="39" t="s">
        <v>4735</v>
      </c>
      <c r="G172" s="39" t="s">
        <v>4315</v>
      </c>
      <c r="J172" s="39" t="s">
        <v>28</v>
      </c>
      <c r="N172" s="39"/>
      <c r="AA172" s="101"/>
      <c r="AC172" s="39" t="s">
        <v>4316</v>
      </c>
      <c r="AD172" s="39"/>
      <c r="AE172" s="39" t="s">
        <v>4468</v>
      </c>
      <c r="AN172" s="40"/>
      <c r="AO172" s="39"/>
      <c r="AP172" s="70"/>
      <c r="AQ172" s="71"/>
      <c r="AR172" s="72"/>
      <c r="AU172" s="70"/>
      <c r="AV172" s="77"/>
      <c r="AW172" s="78"/>
      <c r="AX172" s="75"/>
      <c r="BA172" s="76"/>
      <c r="BD172" s="40"/>
      <c r="BE172" s="39"/>
    </row>
    <row r="173" spans="1:57" ht="24">
      <c r="A173" s="39" t="s">
        <v>4037</v>
      </c>
      <c r="B173" s="39" t="s">
        <v>4444</v>
      </c>
      <c r="C173" s="39" t="s">
        <v>57</v>
      </c>
      <c r="D173" s="39">
        <v>172</v>
      </c>
      <c r="E173" s="39">
        <v>1</v>
      </c>
      <c r="F173" s="39" t="s">
        <v>4736</v>
      </c>
      <c r="G173" s="39" t="s">
        <v>4317</v>
      </c>
      <c r="J173" s="39" t="s">
        <v>29</v>
      </c>
      <c r="N173" s="39"/>
      <c r="Q173" s="62">
        <v>3</v>
      </c>
      <c r="R173" s="63">
        <v>1</v>
      </c>
      <c r="S173" s="43">
        <v>4</v>
      </c>
      <c r="U173" s="64">
        <v>1</v>
      </c>
      <c r="V173" s="65">
        <v>1</v>
      </c>
      <c r="AA173" s="101"/>
      <c r="AC173" s="39" t="s">
        <v>4318</v>
      </c>
      <c r="AD173" s="39" t="s">
        <v>4305</v>
      </c>
      <c r="AE173" s="39" t="s">
        <v>4650</v>
      </c>
      <c r="AN173" s="40"/>
      <c r="AO173" s="39"/>
      <c r="AP173" s="70"/>
      <c r="AQ173" s="71"/>
      <c r="AR173" s="72"/>
      <c r="AU173" s="70"/>
      <c r="AV173" s="77"/>
      <c r="AW173" s="78"/>
      <c r="AX173" s="75"/>
      <c r="BA173" s="76"/>
      <c r="BD173" s="40"/>
      <c r="BE173" s="39"/>
    </row>
    <row r="174" spans="1:57" ht="36">
      <c r="A174" s="39" t="s">
        <v>4037</v>
      </c>
      <c r="B174" s="39" t="s">
        <v>4692</v>
      </c>
      <c r="C174" s="39" t="s">
        <v>57</v>
      </c>
      <c r="D174" s="39">
        <v>173</v>
      </c>
      <c r="E174" s="39">
        <v>1</v>
      </c>
      <c r="F174" s="39" t="s">
        <v>4736</v>
      </c>
      <c r="G174" s="39" t="s">
        <v>4651</v>
      </c>
      <c r="J174" s="39" t="s">
        <v>28</v>
      </c>
      <c r="N174" s="39"/>
      <c r="AA174" s="101"/>
      <c r="AD174" s="39"/>
      <c r="AE174" s="39" t="s">
        <v>4652</v>
      </c>
      <c r="AN174" s="40"/>
      <c r="AO174" s="39"/>
      <c r="AP174" s="70"/>
      <c r="AQ174" s="71"/>
      <c r="AR174" s="72"/>
      <c r="AU174" s="70"/>
      <c r="AV174" s="77"/>
      <c r="AW174" s="78"/>
      <c r="AX174" s="75"/>
      <c r="BA174" s="76"/>
      <c r="BD174" s="40"/>
      <c r="BE174" s="39"/>
    </row>
    <row r="175" spans="1:57" ht="60">
      <c r="A175" s="39" t="s">
        <v>4037</v>
      </c>
      <c r="B175" s="39" t="s">
        <v>4693</v>
      </c>
      <c r="C175" s="39" t="s">
        <v>57</v>
      </c>
      <c r="D175" s="39">
        <v>174</v>
      </c>
      <c r="E175" s="39">
        <v>1</v>
      </c>
      <c r="F175" s="39" t="s">
        <v>4737</v>
      </c>
      <c r="G175" s="39" t="s">
        <v>4653</v>
      </c>
      <c r="J175" s="39" t="s">
        <v>28</v>
      </c>
      <c r="N175" s="39"/>
      <c r="AA175" s="101"/>
      <c r="AC175" s="39" t="s">
        <v>4654</v>
      </c>
      <c r="AD175" s="39"/>
      <c r="AE175" s="39" t="s">
        <v>4655</v>
      </c>
      <c r="AN175" s="40"/>
      <c r="AO175" s="39"/>
      <c r="AP175" s="70"/>
      <c r="AQ175" s="71"/>
      <c r="AR175" s="72"/>
      <c r="AU175" s="70"/>
      <c r="AV175" s="77"/>
      <c r="AW175" s="78"/>
      <c r="AX175" s="75"/>
      <c r="BA175" s="76"/>
      <c r="BD175" s="40"/>
      <c r="BE175" s="39"/>
    </row>
    <row r="176" spans="1:57" ht="24">
      <c r="A176" s="39" t="s">
        <v>4037</v>
      </c>
      <c r="B176" s="39" t="s">
        <v>4694</v>
      </c>
      <c r="C176" s="39" t="s">
        <v>57</v>
      </c>
      <c r="D176" s="39">
        <v>175</v>
      </c>
      <c r="E176" s="39">
        <v>1</v>
      </c>
      <c r="F176" s="39" t="s">
        <v>4738</v>
      </c>
      <c r="G176" s="39" t="s">
        <v>4659</v>
      </c>
      <c r="J176" s="39" t="s">
        <v>29</v>
      </c>
      <c r="N176" s="39"/>
      <c r="Q176" s="62">
        <v>3</v>
      </c>
      <c r="R176" s="63">
        <v>3</v>
      </c>
      <c r="S176" s="43">
        <v>4</v>
      </c>
      <c r="U176" s="64">
        <v>1</v>
      </c>
      <c r="V176" s="65">
        <v>2</v>
      </c>
      <c r="Z176" s="67">
        <v>1</v>
      </c>
      <c r="AA176" s="101"/>
      <c r="AC176" s="39" t="s">
        <v>4656</v>
      </c>
      <c r="AD176" s="39" t="s">
        <v>4657</v>
      </c>
      <c r="AE176" s="39" t="s">
        <v>4658</v>
      </c>
      <c r="AN176" s="40"/>
      <c r="AO176" s="39"/>
      <c r="AP176" s="70"/>
      <c r="AQ176" s="71"/>
      <c r="AR176" s="72"/>
      <c r="AU176" s="70"/>
      <c r="AV176" s="77"/>
      <c r="AW176" s="78"/>
      <c r="AX176" s="75"/>
      <c r="BA176" s="76"/>
      <c r="BD176" s="40"/>
      <c r="BE176" s="39"/>
    </row>
    <row r="177" spans="1:58" ht="36">
      <c r="A177" s="39" t="s">
        <v>4037</v>
      </c>
      <c r="B177" s="39" t="s">
        <v>4695</v>
      </c>
      <c r="C177" s="39" t="s">
        <v>57</v>
      </c>
      <c r="D177" s="39">
        <v>176</v>
      </c>
      <c r="E177" s="39">
        <v>1</v>
      </c>
      <c r="F177" s="39" t="s">
        <v>4738</v>
      </c>
      <c r="G177" s="39" t="s">
        <v>4660</v>
      </c>
      <c r="J177" s="39" t="s">
        <v>28</v>
      </c>
      <c r="N177" s="39"/>
      <c r="AA177" s="101"/>
      <c r="AC177" s="39" t="s">
        <v>4322</v>
      </c>
      <c r="AD177" s="39"/>
      <c r="AE177" s="39" t="s">
        <v>4661</v>
      </c>
      <c r="AN177" s="40"/>
      <c r="AO177" s="39"/>
      <c r="AP177" s="70"/>
      <c r="AQ177" s="71"/>
      <c r="AR177" s="72"/>
      <c r="AU177" s="70"/>
      <c r="AV177" s="77"/>
      <c r="AW177" s="78"/>
      <c r="AX177" s="75"/>
      <c r="BA177" s="76"/>
      <c r="BD177" s="40"/>
      <c r="BE177" s="39"/>
    </row>
    <row r="178" spans="1:58" ht="36">
      <c r="A178" s="39" t="s">
        <v>4037</v>
      </c>
      <c r="B178" s="39" t="s">
        <v>4445</v>
      </c>
      <c r="C178" s="39" t="s">
        <v>57</v>
      </c>
      <c r="D178" s="39">
        <v>177</v>
      </c>
      <c r="E178" s="39">
        <v>1</v>
      </c>
      <c r="F178" s="39" t="s">
        <v>4739</v>
      </c>
      <c r="G178" s="39" t="s">
        <v>4319</v>
      </c>
      <c r="J178" s="39" t="s">
        <v>29</v>
      </c>
      <c r="N178" s="39"/>
      <c r="Q178" s="62">
        <v>4</v>
      </c>
      <c r="R178" s="63">
        <v>3</v>
      </c>
      <c r="S178" s="43">
        <v>4</v>
      </c>
      <c r="U178" s="64">
        <v>1</v>
      </c>
      <c r="V178" s="65">
        <v>1</v>
      </c>
      <c r="Z178" s="67">
        <v>1</v>
      </c>
      <c r="AA178" s="101"/>
      <c r="AC178" s="39" t="s">
        <v>4320</v>
      </c>
      <c r="AD178" s="39" t="s">
        <v>4662</v>
      </c>
      <c r="AE178" s="39" t="s">
        <v>4663</v>
      </c>
      <c r="AN178" s="40"/>
      <c r="AO178" s="39"/>
      <c r="AP178" s="70"/>
      <c r="AQ178" s="71"/>
      <c r="AR178" s="72"/>
      <c r="AU178" s="70"/>
      <c r="AV178" s="77"/>
      <c r="AW178" s="78"/>
      <c r="AX178" s="75"/>
      <c r="BA178" s="76"/>
      <c r="BD178" s="40"/>
      <c r="BE178" s="39"/>
    </row>
    <row r="179" spans="1:58" ht="36">
      <c r="A179" s="39" t="s">
        <v>4037</v>
      </c>
      <c r="B179" s="39" t="s">
        <v>4682</v>
      </c>
      <c r="C179" s="39" t="s">
        <v>57</v>
      </c>
      <c r="D179" s="39">
        <v>178</v>
      </c>
      <c r="E179" s="39">
        <v>1</v>
      </c>
      <c r="F179" s="39" t="s">
        <v>4739</v>
      </c>
      <c r="G179" s="39" t="s">
        <v>4664</v>
      </c>
      <c r="J179" s="39" t="s">
        <v>28</v>
      </c>
      <c r="N179" s="39"/>
      <c r="AA179" s="101"/>
      <c r="AC179" s="39" t="s">
        <v>4665</v>
      </c>
      <c r="AD179" s="39" t="s">
        <v>4582</v>
      </c>
      <c r="AE179" s="39" t="s">
        <v>4666</v>
      </c>
      <c r="AN179" s="40"/>
      <c r="AO179" s="39"/>
      <c r="AP179" s="70"/>
      <c r="AQ179" s="71"/>
      <c r="AR179" s="72"/>
      <c r="AU179" s="70"/>
      <c r="AV179" s="77"/>
      <c r="AW179" s="78"/>
      <c r="AX179" s="75"/>
      <c r="BA179" s="76"/>
      <c r="BD179" s="40"/>
      <c r="BE179" s="39"/>
    </row>
    <row r="180" spans="1:58" ht="24">
      <c r="A180" s="39" t="s">
        <v>4037</v>
      </c>
      <c r="B180" s="39" t="s">
        <v>4683</v>
      </c>
      <c r="C180" s="39" t="s">
        <v>57</v>
      </c>
      <c r="D180" s="39">
        <v>179</v>
      </c>
      <c r="E180" s="39">
        <v>1</v>
      </c>
      <c r="F180" s="39" t="s">
        <v>4740</v>
      </c>
      <c r="G180" s="39" t="s">
        <v>4667</v>
      </c>
      <c r="J180" s="39" t="s">
        <v>29</v>
      </c>
      <c r="N180" s="39"/>
      <c r="O180" s="70"/>
      <c r="P180" s="71"/>
      <c r="Q180" s="72">
        <v>4</v>
      </c>
      <c r="R180" s="63">
        <v>2</v>
      </c>
      <c r="S180" s="43">
        <v>5</v>
      </c>
      <c r="T180" s="70"/>
      <c r="U180" s="77">
        <v>2</v>
      </c>
      <c r="V180" s="78">
        <v>1</v>
      </c>
      <c r="W180" s="75"/>
      <c r="Z180" s="76">
        <v>1</v>
      </c>
      <c r="AA180" s="101"/>
      <c r="AC180" s="39" t="s">
        <v>4668</v>
      </c>
      <c r="AD180" s="39" t="s">
        <v>4669</v>
      </c>
      <c r="AE180" s="39" t="s">
        <v>4670</v>
      </c>
      <c r="AN180" s="40"/>
      <c r="AO180" s="39"/>
      <c r="AP180" s="70"/>
      <c r="AQ180" s="71"/>
      <c r="AR180" s="72"/>
      <c r="AU180" s="70"/>
      <c r="AV180" s="77"/>
      <c r="AW180" s="78"/>
      <c r="AX180" s="75"/>
      <c r="BA180" s="76"/>
      <c r="BD180" s="40"/>
      <c r="BE180" s="39"/>
    </row>
    <row r="181" spans="1:58" ht="24">
      <c r="A181" s="39" t="s">
        <v>4037</v>
      </c>
      <c r="B181" s="39" t="s">
        <v>4684</v>
      </c>
      <c r="C181" s="39" t="s">
        <v>57</v>
      </c>
      <c r="D181" s="39">
        <v>180</v>
      </c>
      <c r="E181" s="39">
        <v>1</v>
      </c>
      <c r="F181" s="39" t="s">
        <v>4740</v>
      </c>
      <c r="G181" s="39" t="s">
        <v>4671</v>
      </c>
      <c r="J181" s="39" t="s">
        <v>29</v>
      </c>
      <c r="N181" s="39"/>
      <c r="O181" s="70"/>
      <c r="P181" s="71"/>
      <c r="Q181" s="72">
        <v>3</v>
      </c>
      <c r="R181" s="63">
        <v>2</v>
      </c>
      <c r="S181" s="43">
        <v>3</v>
      </c>
      <c r="T181" s="70"/>
      <c r="U181" s="77">
        <v>1</v>
      </c>
      <c r="V181" s="78">
        <v>0</v>
      </c>
      <c r="W181" s="75"/>
      <c r="Z181" s="76"/>
      <c r="AA181" s="101"/>
      <c r="AC181" s="39" t="s">
        <v>4672</v>
      </c>
      <c r="AD181" s="39" t="s">
        <v>4673</v>
      </c>
      <c r="AE181" s="39" t="s">
        <v>4674</v>
      </c>
      <c r="AN181" s="40"/>
      <c r="AO181" s="39"/>
      <c r="AP181" s="70"/>
      <c r="AQ181" s="71"/>
      <c r="AR181" s="72"/>
      <c r="AU181" s="70"/>
      <c r="AV181" s="77"/>
      <c r="AW181" s="78"/>
      <c r="AX181" s="75"/>
      <c r="BA181" s="76"/>
      <c r="BD181" s="40"/>
      <c r="BE181" s="39"/>
    </row>
    <row r="182" spans="1:58" ht="36">
      <c r="A182" s="39" t="s">
        <v>4037</v>
      </c>
      <c r="B182" s="39" t="s">
        <v>4685</v>
      </c>
      <c r="C182" s="39" t="s">
        <v>57</v>
      </c>
      <c r="D182" s="39">
        <v>181</v>
      </c>
      <c r="E182" s="39">
        <v>1</v>
      </c>
      <c r="F182" s="39" t="s">
        <v>4741</v>
      </c>
      <c r="G182" s="39" t="s">
        <v>4675</v>
      </c>
      <c r="J182" s="39" t="s">
        <v>29</v>
      </c>
      <c r="N182" s="39"/>
      <c r="O182" s="70"/>
      <c r="P182" s="71"/>
      <c r="Q182" s="72">
        <v>3</v>
      </c>
      <c r="R182" s="63">
        <v>3</v>
      </c>
      <c r="S182" s="43">
        <v>3</v>
      </c>
      <c r="T182" s="70"/>
      <c r="U182" s="77">
        <v>1</v>
      </c>
      <c r="V182" s="78">
        <v>1</v>
      </c>
      <c r="W182" s="75"/>
      <c r="Z182" s="76"/>
      <c r="AA182" s="101"/>
      <c r="AC182" s="39" t="s">
        <v>4676</v>
      </c>
      <c r="AD182" s="39" t="s">
        <v>4677</v>
      </c>
      <c r="AE182" s="39" t="s">
        <v>4678</v>
      </c>
      <c r="AN182" s="40"/>
      <c r="AO182" s="39"/>
      <c r="AP182" s="70"/>
      <c r="AQ182" s="71"/>
      <c r="AR182" s="72"/>
      <c r="AU182" s="70"/>
      <c r="AV182" s="77"/>
      <c r="AW182" s="78"/>
      <c r="AX182" s="75"/>
      <c r="BA182" s="76"/>
      <c r="BD182" s="40"/>
      <c r="BE182" s="39"/>
    </row>
    <row r="183" spans="1:58" ht="48">
      <c r="A183" s="39" t="s">
        <v>4037</v>
      </c>
      <c r="B183" s="39" t="s">
        <v>4686</v>
      </c>
      <c r="C183" s="39" t="s">
        <v>57</v>
      </c>
      <c r="D183" s="39">
        <v>182</v>
      </c>
      <c r="E183" s="39">
        <v>1</v>
      </c>
      <c r="F183" s="39" t="s">
        <v>4741</v>
      </c>
      <c r="G183" s="39" t="s">
        <v>4679</v>
      </c>
      <c r="J183" s="39" t="s">
        <v>28</v>
      </c>
      <c r="N183" s="39"/>
      <c r="O183" s="70"/>
      <c r="P183" s="71"/>
      <c r="Q183" s="72"/>
      <c r="T183" s="70"/>
      <c r="U183" s="77"/>
      <c r="V183" s="78"/>
      <c r="W183" s="75"/>
      <c r="Z183" s="76"/>
      <c r="AA183" s="101"/>
      <c r="AC183" s="39" t="s">
        <v>4322</v>
      </c>
      <c r="AD183" s="39"/>
      <c r="AE183" s="39" t="s">
        <v>4680</v>
      </c>
      <c r="AO183" s="39"/>
      <c r="AP183" s="70"/>
      <c r="AQ183" s="71"/>
      <c r="AR183" s="72"/>
      <c r="AU183" s="70"/>
      <c r="AV183" s="77"/>
      <c r="AW183" s="78"/>
      <c r="AX183" s="75"/>
      <c r="BA183" s="76"/>
    </row>
    <row r="184" spans="1:58" ht="15">
      <c r="A184" s="59" t="s">
        <v>4037</v>
      </c>
      <c r="B184" s="59" t="s">
        <v>4687</v>
      </c>
      <c r="C184" s="59" t="s">
        <v>57</v>
      </c>
      <c r="D184" s="79">
        <v>995</v>
      </c>
      <c r="E184" s="59">
        <v>1</v>
      </c>
      <c r="F184" s="59"/>
      <c r="G184" s="59" t="s">
        <v>4038</v>
      </c>
      <c r="J184" s="39" t="s">
        <v>4681</v>
      </c>
      <c r="K184" s="39" t="s">
        <v>4052</v>
      </c>
      <c r="N184" s="39"/>
      <c r="O184" s="70"/>
      <c r="P184" s="71"/>
      <c r="Q184" s="72"/>
      <c r="T184" s="70"/>
      <c r="U184" s="77"/>
      <c r="V184" s="78"/>
      <c r="W184" s="75"/>
      <c r="Z184" s="76"/>
      <c r="AA184" s="101"/>
      <c r="AD184" s="39"/>
      <c r="AH184" s="59" t="s">
        <v>4038</v>
      </c>
      <c r="AK184" s="39" t="s">
        <v>4681</v>
      </c>
      <c r="AO184" s="39"/>
      <c r="AP184" s="70"/>
      <c r="AQ184" s="71"/>
      <c r="AR184" s="72"/>
      <c r="AU184" s="70"/>
      <c r="AV184" s="77"/>
      <c r="AW184" s="78"/>
      <c r="AX184" s="75"/>
      <c r="BA184" s="76"/>
    </row>
    <row r="185" spans="1:58" ht="15">
      <c r="A185" s="39" t="s">
        <v>4037</v>
      </c>
      <c r="B185" s="39" t="s">
        <v>4688</v>
      </c>
      <c r="C185" s="39" t="s">
        <v>57</v>
      </c>
      <c r="D185" s="40">
        <v>996</v>
      </c>
      <c r="E185" s="39">
        <v>1</v>
      </c>
      <c r="G185" s="39" t="s">
        <v>4094</v>
      </c>
      <c r="J185" s="39" t="s">
        <v>4681</v>
      </c>
      <c r="K185" s="39" t="s">
        <v>4053</v>
      </c>
      <c r="N185" s="39"/>
      <c r="O185" s="70"/>
      <c r="P185" s="71"/>
      <c r="Q185" s="72"/>
      <c r="T185" s="70"/>
      <c r="U185" s="77"/>
      <c r="V185" s="78"/>
      <c r="W185" s="75"/>
      <c r="Z185" s="76"/>
      <c r="AA185" s="101"/>
      <c r="AD185" s="39"/>
      <c r="AH185" s="39" t="s">
        <v>4094</v>
      </c>
      <c r="AK185" s="39" t="s">
        <v>4681</v>
      </c>
      <c r="AO185" s="39"/>
      <c r="AP185" s="70"/>
      <c r="AQ185" s="71"/>
      <c r="AR185" s="72"/>
      <c r="AU185" s="70"/>
      <c r="AV185" s="77"/>
      <c r="AW185" s="78"/>
      <c r="AX185" s="75"/>
      <c r="BA185" s="76"/>
    </row>
    <row r="186" spans="1:58" ht="15">
      <c r="A186" s="39" t="s">
        <v>4037</v>
      </c>
      <c r="B186" s="39" t="s">
        <v>4689</v>
      </c>
      <c r="C186" s="39" t="s">
        <v>57</v>
      </c>
      <c r="D186" s="40">
        <v>997</v>
      </c>
      <c r="E186" s="39">
        <v>1</v>
      </c>
      <c r="G186" s="39" t="s">
        <v>4098</v>
      </c>
      <c r="J186" s="39" t="s">
        <v>4681</v>
      </c>
      <c r="K186" s="39" t="s">
        <v>4055</v>
      </c>
      <c r="N186" s="39"/>
      <c r="O186" s="70"/>
      <c r="P186" s="71"/>
      <c r="Q186" s="72"/>
      <c r="T186" s="70"/>
      <c r="U186" s="77"/>
      <c r="V186" s="78"/>
      <c r="W186" s="75"/>
      <c r="Z186" s="76"/>
      <c r="AA186" s="101"/>
      <c r="AD186" s="39"/>
      <c r="AH186" s="39" t="s">
        <v>4098</v>
      </c>
      <c r="AK186" s="39" t="s">
        <v>4681</v>
      </c>
      <c r="AO186" s="39"/>
      <c r="AP186" s="70"/>
      <c r="AQ186" s="71"/>
      <c r="AR186" s="72"/>
      <c r="AU186" s="70"/>
      <c r="AV186" s="77"/>
      <c r="AW186" s="78"/>
      <c r="AX186" s="75"/>
      <c r="BA186" s="76"/>
    </row>
    <row r="187" spans="1:58" ht="15">
      <c r="A187" s="39" t="s">
        <v>4037</v>
      </c>
      <c r="B187" s="39" t="s">
        <v>4690</v>
      </c>
      <c r="C187" s="39" t="s">
        <v>57</v>
      </c>
      <c r="D187" s="40">
        <v>998</v>
      </c>
      <c r="E187" s="39">
        <v>1</v>
      </c>
      <c r="G187" s="39" t="s">
        <v>4102</v>
      </c>
      <c r="J187" s="39" t="s">
        <v>4681</v>
      </c>
      <c r="K187" s="39" t="s">
        <v>4054</v>
      </c>
      <c r="N187" s="39"/>
      <c r="O187" s="70"/>
      <c r="P187" s="71"/>
      <c r="Q187" s="72"/>
      <c r="T187" s="70"/>
      <c r="U187" s="77"/>
      <c r="V187" s="78"/>
      <c r="W187" s="75"/>
      <c r="Z187" s="76"/>
      <c r="AA187" s="101"/>
      <c r="AD187" s="39"/>
      <c r="AH187" s="39" t="s">
        <v>4102</v>
      </c>
      <c r="AK187" s="39" t="s">
        <v>4681</v>
      </c>
      <c r="AO187" s="39"/>
      <c r="AP187" s="70"/>
      <c r="AQ187" s="71"/>
      <c r="AR187" s="72"/>
      <c r="AU187" s="70"/>
      <c r="AV187" s="77"/>
      <c r="AW187" s="78"/>
      <c r="AX187" s="75"/>
      <c r="BA187" s="76"/>
    </row>
    <row r="188" spans="1:58" s="42" customFormat="1">
      <c r="A188" s="42" t="s">
        <v>4037</v>
      </c>
      <c r="B188" s="42" t="s">
        <v>4691</v>
      </c>
      <c r="C188" s="42" t="s">
        <v>57</v>
      </c>
      <c r="D188" s="42">
        <v>999</v>
      </c>
      <c r="E188" s="42">
        <v>1</v>
      </c>
      <c r="G188" s="42" t="s">
        <v>4106</v>
      </c>
      <c r="J188" s="42" t="s">
        <v>4681</v>
      </c>
      <c r="K188" s="42" t="s">
        <v>4056</v>
      </c>
      <c r="O188" s="81"/>
      <c r="P188" s="82"/>
      <c r="Q188" s="83"/>
      <c r="R188" s="84"/>
      <c r="S188" s="85"/>
      <c r="T188" s="81"/>
      <c r="U188" s="86"/>
      <c r="V188" s="87"/>
      <c r="W188" s="88"/>
      <c r="X188" s="84"/>
      <c r="Y188" s="85"/>
      <c r="Z188" s="89"/>
      <c r="AA188" s="102"/>
      <c r="AH188" s="42" t="s">
        <v>4106</v>
      </c>
      <c r="AK188" s="42" t="s">
        <v>4681</v>
      </c>
      <c r="AP188" s="81"/>
      <c r="AQ188" s="82"/>
      <c r="AR188" s="83"/>
      <c r="AS188" s="84"/>
      <c r="AT188" s="85"/>
      <c r="AU188" s="81"/>
      <c r="AV188" s="86"/>
      <c r="AW188" s="87"/>
      <c r="AX188" s="88"/>
      <c r="AY188" s="84"/>
      <c r="AZ188" s="85"/>
      <c r="BA188" s="89"/>
      <c r="BE188" s="41"/>
    </row>
    <row r="189" spans="1:58" ht="84">
      <c r="A189" s="39" t="s">
        <v>4753</v>
      </c>
      <c r="B189" s="39" t="s">
        <v>4755</v>
      </c>
      <c r="C189" s="39" t="s">
        <v>4791</v>
      </c>
      <c r="D189" s="39">
        <v>1</v>
      </c>
      <c r="E189" s="39">
        <v>1</v>
      </c>
      <c r="F189" s="39" t="s">
        <v>4864</v>
      </c>
      <c r="G189" s="39" t="s">
        <v>4754</v>
      </c>
      <c r="H189" s="39" t="s">
        <v>4531</v>
      </c>
      <c r="J189" s="39" t="s">
        <v>4448</v>
      </c>
      <c r="N189" s="39"/>
      <c r="O189" s="90"/>
      <c r="P189" s="91"/>
      <c r="Q189" s="92"/>
      <c r="R189" s="93"/>
      <c r="S189" s="94"/>
      <c r="T189" s="90"/>
      <c r="U189" s="95"/>
      <c r="V189" s="96"/>
      <c r="W189" s="97"/>
      <c r="X189" s="93"/>
      <c r="Y189" s="94"/>
      <c r="Z189" s="98"/>
      <c r="AD189" s="39"/>
      <c r="AE189" s="39" t="s">
        <v>4792</v>
      </c>
      <c r="AH189" s="39" t="s">
        <v>4754</v>
      </c>
      <c r="AI189" s="39" t="s">
        <v>4532</v>
      </c>
      <c r="AK189" s="39" t="s">
        <v>4448</v>
      </c>
      <c r="AO189" s="39"/>
      <c r="AP189" s="90"/>
      <c r="AQ189" s="91"/>
      <c r="AR189" s="92"/>
      <c r="AS189" s="93"/>
      <c r="AT189" s="94"/>
      <c r="AU189" s="90"/>
      <c r="AV189" s="95"/>
      <c r="AW189" s="96"/>
      <c r="AX189" s="97"/>
      <c r="AY189" s="93"/>
      <c r="AZ189" s="94"/>
      <c r="BA189" s="98"/>
      <c r="BF189" s="39" t="s">
        <v>4793</v>
      </c>
    </row>
    <row r="190" spans="1:58" ht="72">
      <c r="A190" s="39" t="s">
        <v>4753</v>
      </c>
      <c r="B190" s="39" t="s">
        <v>4756</v>
      </c>
      <c r="C190" s="39" t="s">
        <v>4791</v>
      </c>
      <c r="D190" s="39">
        <v>2</v>
      </c>
      <c r="E190" s="39">
        <v>1</v>
      </c>
      <c r="F190" s="39" t="s">
        <v>4864</v>
      </c>
      <c r="G190" s="39" t="s">
        <v>4794</v>
      </c>
      <c r="J190" s="39" t="s">
        <v>4449</v>
      </c>
      <c r="L190" s="39">
        <v>1</v>
      </c>
      <c r="N190" s="39"/>
      <c r="O190" s="70"/>
      <c r="P190" s="71"/>
      <c r="Q190" s="72"/>
      <c r="T190" s="70"/>
      <c r="U190" s="77"/>
      <c r="V190" s="78"/>
      <c r="W190" s="75"/>
      <c r="Y190" s="43">
        <v>5</v>
      </c>
      <c r="Z190" s="76"/>
      <c r="AD190" s="39"/>
      <c r="AH190" s="39" t="s">
        <v>4795</v>
      </c>
      <c r="AK190" s="39" t="s">
        <v>4449</v>
      </c>
      <c r="AM190" s="39">
        <v>1</v>
      </c>
      <c r="AO190" s="39"/>
      <c r="AP190" s="70"/>
      <c r="AQ190" s="71"/>
      <c r="AR190" s="72"/>
      <c r="AU190" s="70"/>
      <c r="AV190" s="77"/>
      <c r="AW190" s="78"/>
      <c r="AX190" s="75"/>
      <c r="BA190" s="76"/>
      <c r="BF190" s="39" t="s">
        <v>5741</v>
      </c>
    </row>
    <row r="191" spans="1:58" ht="84">
      <c r="A191" s="39" t="s">
        <v>4753</v>
      </c>
      <c r="B191" s="39" t="s">
        <v>4757</v>
      </c>
      <c r="C191" s="39" t="s">
        <v>4791</v>
      </c>
      <c r="D191" s="39">
        <v>3</v>
      </c>
      <c r="E191" s="39">
        <v>1</v>
      </c>
      <c r="F191" s="39" t="s">
        <v>4864</v>
      </c>
      <c r="G191" s="39" t="s">
        <v>4796</v>
      </c>
      <c r="J191" s="39" t="s">
        <v>4449</v>
      </c>
      <c r="L191" s="39">
        <v>2</v>
      </c>
      <c r="N191" s="39"/>
      <c r="O191" s="70"/>
      <c r="P191" s="71"/>
      <c r="Q191" s="72"/>
      <c r="T191" s="70"/>
      <c r="U191" s="77"/>
      <c r="V191" s="78"/>
      <c r="W191" s="75"/>
      <c r="Y191" s="43">
        <v>6</v>
      </c>
      <c r="Z191" s="76"/>
      <c r="AD191" s="39"/>
      <c r="AH191" s="39" t="s">
        <v>4797</v>
      </c>
      <c r="AK191" s="39" t="s">
        <v>4449</v>
      </c>
      <c r="AM191" s="39">
        <v>2</v>
      </c>
      <c r="AO191" s="39"/>
      <c r="AP191" s="70"/>
      <c r="AQ191" s="71"/>
      <c r="AR191" s="72"/>
      <c r="AU191" s="70"/>
      <c r="AV191" s="77"/>
      <c r="AW191" s="78"/>
      <c r="AX191" s="75"/>
      <c r="BA191" s="76"/>
      <c r="BF191" s="39" t="s">
        <v>5742</v>
      </c>
    </row>
    <row r="192" spans="1:58" ht="132">
      <c r="A192" s="39" t="s">
        <v>4753</v>
      </c>
      <c r="B192" s="39" t="s">
        <v>4758</v>
      </c>
      <c r="C192" s="39" t="s">
        <v>4791</v>
      </c>
      <c r="D192" s="39">
        <v>4</v>
      </c>
      <c r="E192" s="39">
        <v>1</v>
      </c>
      <c r="F192" s="39" t="s">
        <v>4864</v>
      </c>
      <c r="G192" s="39" t="s">
        <v>4798</v>
      </c>
      <c r="J192" s="39" t="s">
        <v>4449</v>
      </c>
      <c r="L192" s="39">
        <v>3</v>
      </c>
      <c r="N192" s="39"/>
      <c r="O192" s="70"/>
      <c r="P192" s="71"/>
      <c r="Q192" s="72"/>
      <c r="T192" s="70"/>
      <c r="U192" s="77"/>
      <c r="V192" s="78"/>
      <c r="W192" s="75"/>
      <c r="Y192" s="43">
        <v>8</v>
      </c>
      <c r="Z192" s="76"/>
      <c r="AD192" s="39"/>
      <c r="AE192" s="39" t="s">
        <v>4801</v>
      </c>
      <c r="AH192" s="39" t="s">
        <v>4799</v>
      </c>
      <c r="AK192" s="39" t="s">
        <v>4449</v>
      </c>
      <c r="AM192" s="39">
        <v>3</v>
      </c>
      <c r="AO192" s="39"/>
      <c r="AP192" s="70"/>
      <c r="AQ192" s="71"/>
      <c r="AR192" s="72"/>
      <c r="AU192" s="70"/>
      <c r="AV192" s="77"/>
      <c r="AW192" s="78"/>
      <c r="AX192" s="75"/>
      <c r="BA192" s="76"/>
      <c r="BF192" s="39" t="s">
        <v>5743</v>
      </c>
    </row>
    <row r="193" spans="1:58" ht="108">
      <c r="A193" s="39" t="s">
        <v>4753</v>
      </c>
      <c r="B193" s="39" t="s">
        <v>4759</v>
      </c>
      <c r="C193" s="39" t="s">
        <v>4791</v>
      </c>
      <c r="D193" s="39">
        <v>5</v>
      </c>
      <c r="E193" s="39">
        <v>1</v>
      </c>
      <c r="F193" s="39" t="s">
        <v>4864</v>
      </c>
      <c r="G193" s="39" t="s">
        <v>4800</v>
      </c>
      <c r="J193" s="39" t="s">
        <v>4451</v>
      </c>
      <c r="L193" s="39">
        <v>1</v>
      </c>
      <c r="N193" s="39"/>
      <c r="O193" s="70"/>
      <c r="P193" s="71"/>
      <c r="Q193" s="72"/>
      <c r="T193" s="70"/>
      <c r="U193" s="73"/>
      <c r="V193" s="74"/>
      <c r="W193" s="75"/>
      <c r="X193" s="63" t="s">
        <v>4871</v>
      </c>
      <c r="Z193" s="76"/>
      <c r="AD193" s="39"/>
      <c r="AE193" s="39" t="s">
        <v>4802</v>
      </c>
      <c r="AH193" s="39" t="s">
        <v>4874</v>
      </c>
      <c r="AK193" s="39" t="s">
        <v>4451</v>
      </c>
      <c r="AM193" s="39">
        <v>1</v>
      </c>
      <c r="AO193" s="39"/>
      <c r="AP193" s="70"/>
      <c r="AQ193" s="71"/>
      <c r="AR193" s="72"/>
      <c r="AU193" s="70"/>
      <c r="AV193" s="77"/>
      <c r="AW193" s="78"/>
      <c r="AX193" s="75"/>
      <c r="BA193" s="76"/>
      <c r="BF193" s="39" t="s">
        <v>5744</v>
      </c>
    </row>
    <row r="194" spans="1:58" ht="180">
      <c r="A194" s="39" t="s">
        <v>4753</v>
      </c>
      <c r="B194" s="39" t="s">
        <v>4760</v>
      </c>
      <c r="C194" s="39" t="s">
        <v>4791</v>
      </c>
      <c r="D194" s="39">
        <v>6</v>
      </c>
      <c r="E194" s="39">
        <v>1</v>
      </c>
      <c r="F194" s="39" t="s">
        <v>4864</v>
      </c>
      <c r="G194" s="39" t="s">
        <v>4803</v>
      </c>
      <c r="J194" s="39" t="s">
        <v>4451</v>
      </c>
      <c r="L194" s="39">
        <v>2</v>
      </c>
      <c r="N194" s="39"/>
      <c r="O194" s="70"/>
      <c r="P194" s="71"/>
      <c r="Q194" s="72"/>
      <c r="T194" s="70"/>
      <c r="U194" s="73"/>
      <c r="V194" s="74"/>
      <c r="W194" s="75"/>
      <c r="X194" s="63" t="s">
        <v>38</v>
      </c>
      <c r="Z194" s="76"/>
      <c r="AD194" s="39"/>
      <c r="AE194" s="39" t="s">
        <v>5728</v>
      </c>
      <c r="AH194" s="100" t="s">
        <v>4875</v>
      </c>
      <c r="AK194" s="39" t="s">
        <v>4451</v>
      </c>
      <c r="AM194" s="39">
        <v>2</v>
      </c>
      <c r="AO194" s="39"/>
      <c r="AP194" s="70"/>
      <c r="AQ194" s="71"/>
      <c r="AR194" s="72"/>
      <c r="AU194" s="70"/>
      <c r="AV194" s="77"/>
      <c r="AW194" s="78"/>
      <c r="AX194" s="75"/>
      <c r="BA194" s="76"/>
      <c r="BF194" s="39" t="s">
        <v>5745</v>
      </c>
    </row>
    <row r="195" spans="1:58" ht="48">
      <c r="A195" s="39" t="s">
        <v>4753</v>
      </c>
      <c r="B195" s="39" t="s">
        <v>4761</v>
      </c>
      <c r="C195" s="39" t="s">
        <v>4791</v>
      </c>
      <c r="D195" s="39">
        <v>7</v>
      </c>
      <c r="E195" s="39">
        <v>1</v>
      </c>
      <c r="F195" s="39" t="s">
        <v>4864</v>
      </c>
      <c r="G195" s="99" t="s">
        <v>4804</v>
      </c>
      <c r="J195" s="39" t="s">
        <v>31</v>
      </c>
      <c r="N195" s="39"/>
      <c r="O195" s="70"/>
      <c r="P195" s="71"/>
      <c r="Q195" s="72"/>
      <c r="T195" s="70"/>
      <c r="U195" s="73"/>
      <c r="V195" s="74"/>
      <c r="W195" s="75"/>
      <c r="Z195" s="76"/>
      <c r="AC195" s="99" t="s">
        <v>4805</v>
      </c>
      <c r="AD195" s="39"/>
      <c r="AH195" s="99" t="s">
        <v>4804</v>
      </c>
      <c r="AK195" s="39" t="s">
        <v>31</v>
      </c>
      <c r="AO195" s="39"/>
      <c r="AP195" s="70"/>
      <c r="AQ195" s="71"/>
      <c r="AR195" s="72"/>
      <c r="AU195" s="70"/>
      <c r="AV195" s="77"/>
      <c r="AW195" s="78"/>
      <c r="AX195" s="75">
        <v>1</v>
      </c>
      <c r="AY195" s="63">
        <v>0</v>
      </c>
      <c r="BA195" s="76"/>
      <c r="BD195" s="99" t="s">
        <v>4805</v>
      </c>
      <c r="BF195" s="39" t="s">
        <v>5746</v>
      </c>
    </row>
    <row r="196" spans="1:58" ht="36">
      <c r="A196" s="39" t="s">
        <v>4753</v>
      </c>
      <c r="B196" s="39" t="s">
        <v>4762</v>
      </c>
      <c r="C196" s="39" t="s">
        <v>4791</v>
      </c>
      <c r="D196" s="39">
        <v>8</v>
      </c>
      <c r="E196" s="39">
        <v>1</v>
      </c>
      <c r="F196" s="39" t="s">
        <v>4864</v>
      </c>
      <c r="G196" s="99" t="s">
        <v>4806</v>
      </c>
      <c r="J196" s="39" t="s">
        <v>31</v>
      </c>
      <c r="N196" s="39"/>
      <c r="O196" s="70"/>
      <c r="P196" s="71"/>
      <c r="Q196" s="72"/>
      <c r="T196" s="70"/>
      <c r="U196" s="73"/>
      <c r="V196" s="74"/>
      <c r="W196" s="75"/>
      <c r="Z196" s="76"/>
      <c r="AC196" s="99" t="s">
        <v>4806</v>
      </c>
      <c r="AD196" s="39"/>
      <c r="AH196" s="99" t="s">
        <v>4806</v>
      </c>
      <c r="AI196" s="99" t="s">
        <v>4807</v>
      </c>
      <c r="AK196" s="39" t="s">
        <v>31</v>
      </c>
      <c r="AO196" s="39"/>
      <c r="AP196" s="70"/>
      <c r="AQ196" s="71"/>
      <c r="AR196" s="72"/>
      <c r="AU196" s="70"/>
      <c r="AV196" s="77"/>
      <c r="AW196" s="78"/>
      <c r="AX196" s="75">
        <v>1</v>
      </c>
      <c r="AY196" s="63">
        <v>0</v>
      </c>
      <c r="BA196" s="76"/>
      <c r="BD196" s="99" t="s">
        <v>4806</v>
      </c>
      <c r="BF196" s="39" t="s">
        <v>4809</v>
      </c>
    </row>
    <row r="197" spans="1:58" ht="24">
      <c r="A197" s="39" t="s">
        <v>4753</v>
      </c>
      <c r="B197" s="39" t="s">
        <v>4763</v>
      </c>
      <c r="C197" s="39" t="s">
        <v>4791</v>
      </c>
      <c r="D197" s="39">
        <v>9</v>
      </c>
      <c r="E197" s="39">
        <v>1</v>
      </c>
      <c r="F197" s="39" t="s">
        <v>4864</v>
      </c>
      <c r="G197" s="99" t="s">
        <v>4806</v>
      </c>
      <c r="J197" s="39" t="s">
        <v>31</v>
      </c>
      <c r="N197" s="39"/>
      <c r="O197" s="70"/>
      <c r="P197" s="71"/>
      <c r="Q197" s="72"/>
      <c r="T197" s="70"/>
      <c r="U197" s="73"/>
      <c r="V197" s="74"/>
      <c r="W197" s="75"/>
      <c r="Z197" s="76"/>
      <c r="AC197" s="99" t="s">
        <v>4806</v>
      </c>
      <c r="AD197" s="39"/>
      <c r="AH197" s="99" t="s">
        <v>4806</v>
      </c>
      <c r="AI197" s="99" t="s">
        <v>4808</v>
      </c>
      <c r="AK197" s="39" t="s">
        <v>31</v>
      </c>
      <c r="AO197" s="39"/>
      <c r="AP197" s="70"/>
      <c r="AQ197" s="71"/>
      <c r="AR197" s="72"/>
      <c r="AU197" s="70"/>
      <c r="AV197" s="77"/>
      <c r="AW197" s="78"/>
      <c r="AX197" s="75">
        <v>3</v>
      </c>
      <c r="AY197" s="63" t="s">
        <v>4872</v>
      </c>
      <c r="BA197" s="76"/>
      <c r="BD197" s="99" t="s">
        <v>4806</v>
      </c>
      <c r="BF197" s="39" t="s">
        <v>4810</v>
      </c>
    </row>
    <row r="198" spans="1:58" ht="60">
      <c r="A198" s="39" t="s">
        <v>4753</v>
      </c>
      <c r="B198" s="39" t="s">
        <v>4764</v>
      </c>
      <c r="C198" s="39" t="s">
        <v>4791</v>
      </c>
      <c r="D198" s="39">
        <v>10</v>
      </c>
      <c r="E198" s="39">
        <v>1</v>
      </c>
      <c r="F198" s="39" t="s">
        <v>4864</v>
      </c>
      <c r="G198" s="39" t="s">
        <v>4811</v>
      </c>
      <c r="J198" s="39" t="s">
        <v>31</v>
      </c>
      <c r="N198" s="39"/>
      <c r="O198" s="70"/>
      <c r="P198" s="71"/>
      <c r="Q198" s="72"/>
      <c r="T198" s="70"/>
      <c r="U198" s="73"/>
      <c r="V198" s="74"/>
      <c r="W198" s="75"/>
      <c r="Z198" s="76"/>
      <c r="AC198" s="99" t="s">
        <v>4812</v>
      </c>
      <c r="AD198" s="39"/>
      <c r="AH198" s="39" t="s">
        <v>4811</v>
      </c>
      <c r="AK198" s="39" t="s">
        <v>31</v>
      </c>
      <c r="AO198" s="39"/>
      <c r="AP198" s="70"/>
      <c r="AQ198" s="71"/>
      <c r="AR198" s="72"/>
      <c r="AU198" s="70"/>
      <c r="AV198" s="77"/>
      <c r="AW198" s="78"/>
      <c r="AX198" s="75">
        <v>1</v>
      </c>
      <c r="AY198" s="63">
        <v>0</v>
      </c>
      <c r="BA198" s="76"/>
      <c r="BD198" s="99" t="s">
        <v>4812</v>
      </c>
      <c r="BF198" s="39" t="s">
        <v>5747</v>
      </c>
    </row>
    <row r="199" spans="1:58" ht="24">
      <c r="A199" s="39" t="s">
        <v>4753</v>
      </c>
      <c r="B199" s="39" t="s">
        <v>4765</v>
      </c>
      <c r="C199" s="39" t="s">
        <v>4791</v>
      </c>
      <c r="D199" s="39">
        <v>11</v>
      </c>
      <c r="E199" s="39">
        <v>1</v>
      </c>
      <c r="F199" s="39" t="s">
        <v>4864</v>
      </c>
      <c r="G199" s="39" t="s">
        <v>4813</v>
      </c>
      <c r="J199" s="39" t="s">
        <v>31</v>
      </c>
      <c r="N199" s="39"/>
      <c r="O199" s="70"/>
      <c r="P199" s="71"/>
      <c r="Q199" s="72"/>
      <c r="T199" s="70"/>
      <c r="U199" s="73"/>
      <c r="V199" s="74"/>
      <c r="W199" s="75"/>
      <c r="Z199" s="76"/>
      <c r="AC199" s="39" t="s">
        <v>4813</v>
      </c>
      <c r="AD199" s="39"/>
      <c r="AH199" s="39" t="s">
        <v>4813</v>
      </c>
      <c r="AI199" s="39" t="s">
        <v>4814</v>
      </c>
      <c r="AK199" s="39" t="s">
        <v>31</v>
      </c>
      <c r="AO199" s="39"/>
      <c r="AP199" s="70"/>
      <c r="AQ199" s="71"/>
      <c r="AR199" s="72"/>
      <c r="AU199" s="70"/>
      <c r="AV199" s="77"/>
      <c r="AW199" s="78"/>
      <c r="AX199" s="75">
        <v>3</v>
      </c>
      <c r="AY199" s="63" t="s">
        <v>4872</v>
      </c>
      <c r="BA199" s="76">
        <v>1</v>
      </c>
      <c r="BD199" s="39" t="s">
        <v>4813</v>
      </c>
      <c r="BF199" s="39" t="s">
        <v>4815</v>
      </c>
    </row>
    <row r="200" spans="1:58" ht="48">
      <c r="A200" s="39" t="s">
        <v>4753</v>
      </c>
      <c r="B200" s="39" t="s">
        <v>4766</v>
      </c>
      <c r="C200" s="39" t="s">
        <v>4791</v>
      </c>
      <c r="D200" s="39">
        <v>12</v>
      </c>
      <c r="E200" s="39">
        <v>1</v>
      </c>
      <c r="F200" s="39" t="s">
        <v>4864</v>
      </c>
      <c r="G200" s="39" t="s">
        <v>4813</v>
      </c>
      <c r="J200" s="39" t="s">
        <v>31</v>
      </c>
      <c r="N200" s="39"/>
      <c r="O200" s="70"/>
      <c r="P200" s="71"/>
      <c r="Q200" s="72"/>
      <c r="T200" s="70"/>
      <c r="U200" s="73"/>
      <c r="V200" s="74"/>
      <c r="W200" s="75"/>
      <c r="Z200" s="76"/>
      <c r="AC200" s="39" t="s">
        <v>4813</v>
      </c>
      <c r="AD200" s="39"/>
      <c r="AH200" s="39" t="s">
        <v>4813</v>
      </c>
      <c r="AI200" s="39" t="s">
        <v>4816</v>
      </c>
      <c r="AK200" s="39" t="s">
        <v>31</v>
      </c>
      <c r="AO200" s="39"/>
      <c r="AP200" s="70"/>
      <c r="AQ200" s="71"/>
      <c r="AR200" s="72"/>
      <c r="AU200" s="70"/>
      <c r="AV200" s="77"/>
      <c r="AW200" s="78"/>
      <c r="AX200" s="75">
        <v>4</v>
      </c>
      <c r="AY200" s="63">
        <v>0</v>
      </c>
      <c r="BA200" s="76"/>
      <c r="BD200" s="39" t="s">
        <v>4813</v>
      </c>
      <c r="BF200" s="39" t="s">
        <v>5748</v>
      </c>
    </row>
    <row r="201" spans="1:58" ht="30">
      <c r="A201" s="39" t="s">
        <v>4753</v>
      </c>
      <c r="B201" s="39" t="s">
        <v>4767</v>
      </c>
      <c r="C201" s="39" t="s">
        <v>4791</v>
      </c>
      <c r="D201" s="39">
        <v>13</v>
      </c>
      <c r="E201" s="39">
        <v>1</v>
      </c>
      <c r="F201" s="39" t="s">
        <v>4864</v>
      </c>
      <c r="G201" s="99" t="s">
        <v>4817</v>
      </c>
      <c r="J201" s="39" t="s">
        <v>31</v>
      </c>
      <c r="N201" s="39"/>
      <c r="O201" s="70"/>
      <c r="P201" s="71"/>
      <c r="Q201" s="72"/>
      <c r="T201" s="70"/>
      <c r="U201" s="73"/>
      <c r="V201" s="74"/>
      <c r="W201" s="75"/>
      <c r="Z201" s="76"/>
      <c r="AC201" s="99" t="s">
        <v>4818</v>
      </c>
      <c r="AD201" s="39"/>
      <c r="AH201" s="99" t="s">
        <v>4817</v>
      </c>
      <c r="AK201" s="39" t="s">
        <v>31</v>
      </c>
      <c r="AO201" s="39"/>
      <c r="AP201" s="70"/>
      <c r="AQ201" s="71"/>
      <c r="AR201" s="72"/>
      <c r="AU201" s="70"/>
      <c r="AV201" s="77"/>
      <c r="AW201" s="78"/>
      <c r="AX201" s="75">
        <v>2</v>
      </c>
      <c r="AY201" s="63">
        <v>0</v>
      </c>
      <c r="BA201" s="76"/>
      <c r="BD201" s="99" t="s">
        <v>4818</v>
      </c>
      <c r="BF201" s="39" t="s">
        <v>4819</v>
      </c>
    </row>
    <row r="202" spans="1:58" ht="48">
      <c r="A202" s="39" t="s">
        <v>4753</v>
      </c>
      <c r="B202" s="39" t="s">
        <v>4768</v>
      </c>
      <c r="C202" s="39" t="s">
        <v>4791</v>
      </c>
      <c r="D202" s="39">
        <v>14</v>
      </c>
      <c r="E202" s="39">
        <v>1</v>
      </c>
      <c r="F202" s="39" t="s">
        <v>4864</v>
      </c>
      <c r="G202" s="99" t="s">
        <v>4820</v>
      </c>
      <c r="J202" s="39" t="s">
        <v>31</v>
      </c>
      <c r="N202" s="39"/>
      <c r="O202" s="70"/>
      <c r="P202" s="71"/>
      <c r="Q202" s="72"/>
      <c r="T202" s="70"/>
      <c r="U202" s="73"/>
      <c r="V202" s="74"/>
      <c r="W202" s="75"/>
      <c r="Z202" s="76"/>
      <c r="AC202" s="99" t="s">
        <v>4821</v>
      </c>
      <c r="AD202" s="39"/>
      <c r="AH202" s="99" t="s">
        <v>4820</v>
      </c>
      <c r="AI202" s="39" t="s">
        <v>4822</v>
      </c>
      <c r="AK202" s="39" t="s">
        <v>31</v>
      </c>
      <c r="AO202" s="39"/>
      <c r="AP202" s="70"/>
      <c r="AQ202" s="71"/>
      <c r="AR202" s="72"/>
      <c r="AU202" s="70"/>
      <c r="AV202" s="77"/>
      <c r="AW202" s="78"/>
      <c r="AX202" s="75">
        <v>3</v>
      </c>
      <c r="AY202" s="63">
        <v>0</v>
      </c>
      <c r="BA202" s="76"/>
      <c r="BD202" s="99" t="s">
        <v>4821</v>
      </c>
      <c r="BF202" s="39" t="s">
        <v>5749</v>
      </c>
    </row>
    <row r="203" spans="1:58" ht="24">
      <c r="A203" s="39" t="s">
        <v>4753</v>
      </c>
      <c r="B203" s="39" t="s">
        <v>4769</v>
      </c>
      <c r="C203" s="39" t="s">
        <v>4791</v>
      </c>
      <c r="D203" s="39">
        <v>15</v>
      </c>
      <c r="E203" s="39">
        <v>1</v>
      </c>
      <c r="F203" s="39" t="s">
        <v>4864</v>
      </c>
      <c r="G203" s="99" t="s">
        <v>4820</v>
      </c>
      <c r="J203" s="39" t="s">
        <v>31</v>
      </c>
      <c r="N203" s="39"/>
      <c r="O203" s="70"/>
      <c r="P203" s="71"/>
      <c r="Q203" s="72"/>
      <c r="T203" s="70"/>
      <c r="U203" s="73"/>
      <c r="V203" s="74"/>
      <c r="W203" s="75"/>
      <c r="Z203" s="76"/>
      <c r="AC203" s="99" t="s">
        <v>4821</v>
      </c>
      <c r="AD203" s="39"/>
      <c r="AH203" s="99" t="s">
        <v>4820</v>
      </c>
      <c r="AI203" s="39" t="s">
        <v>4823</v>
      </c>
      <c r="AK203" s="39" t="s">
        <v>31</v>
      </c>
      <c r="AO203" s="39"/>
      <c r="AP203" s="70"/>
      <c r="AQ203" s="71"/>
      <c r="AR203" s="72"/>
      <c r="AU203" s="70"/>
      <c r="AV203" s="77"/>
      <c r="AW203" s="78"/>
      <c r="AX203" s="75">
        <v>3</v>
      </c>
      <c r="AY203" s="63" t="s">
        <v>4872</v>
      </c>
      <c r="BA203" s="76">
        <v>1</v>
      </c>
      <c r="BD203" s="99" t="s">
        <v>4821</v>
      </c>
      <c r="BF203" s="39" t="s">
        <v>4824</v>
      </c>
    </row>
    <row r="204" spans="1:58" ht="72">
      <c r="A204" s="39" t="s">
        <v>4753</v>
      </c>
      <c r="B204" s="39" t="s">
        <v>4770</v>
      </c>
      <c r="C204" s="39" t="s">
        <v>4791</v>
      </c>
      <c r="D204" s="39">
        <v>16</v>
      </c>
      <c r="E204" s="39">
        <v>1</v>
      </c>
      <c r="F204" s="39" t="s">
        <v>4864</v>
      </c>
      <c r="G204" s="39" t="s">
        <v>4825</v>
      </c>
      <c r="J204" s="39" t="s">
        <v>31</v>
      </c>
      <c r="N204" s="39"/>
      <c r="O204" s="70"/>
      <c r="P204" s="71"/>
      <c r="Q204" s="72"/>
      <c r="T204" s="70"/>
      <c r="U204" s="73"/>
      <c r="V204" s="74"/>
      <c r="W204" s="75"/>
      <c r="Z204" s="76"/>
      <c r="AC204" s="39" t="s">
        <v>4826</v>
      </c>
      <c r="AD204" s="39"/>
      <c r="AH204" s="39" t="s">
        <v>4825</v>
      </c>
      <c r="AK204" s="39" t="s">
        <v>31</v>
      </c>
      <c r="AO204" s="39"/>
      <c r="AP204" s="70"/>
      <c r="AQ204" s="71"/>
      <c r="AR204" s="72"/>
      <c r="AU204" s="70"/>
      <c r="AV204" s="77"/>
      <c r="AW204" s="78"/>
      <c r="AX204" s="75">
        <v>2</v>
      </c>
      <c r="AY204" s="63">
        <v>0</v>
      </c>
      <c r="BA204" s="76"/>
      <c r="BD204" s="39" t="s">
        <v>4826</v>
      </c>
      <c r="BF204" s="39" t="s">
        <v>5750</v>
      </c>
    </row>
    <row r="205" spans="1:58" ht="24">
      <c r="A205" s="39" t="s">
        <v>4753</v>
      </c>
      <c r="B205" s="39" t="s">
        <v>4771</v>
      </c>
      <c r="C205" s="39" t="s">
        <v>4791</v>
      </c>
      <c r="D205" s="39">
        <v>17</v>
      </c>
      <c r="E205" s="39">
        <v>1</v>
      </c>
      <c r="F205" s="39" t="s">
        <v>4864</v>
      </c>
      <c r="G205" s="39" t="s">
        <v>4827</v>
      </c>
      <c r="J205" s="39" t="s">
        <v>31</v>
      </c>
      <c r="N205" s="39"/>
      <c r="O205" s="70"/>
      <c r="P205" s="71"/>
      <c r="Q205" s="72"/>
      <c r="T205" s="70"/>
      <c r="U205" s="73"/>
      <c r="V205" s="74"/>
      <c r="W205" s="75"/>
      <c r="Z205" s="76"/>
      <c r="AC205" s="39" t="s">
        <v>4829</v>
      </c>
      <c r="AD205" s="39"/>
      <c r="AH205" s="39" t="s">
        <v>4827</v>
      </c>
      <c r="AI205" s="39" t="s">
        <v>4828</v>
      </c>
      <c r="AK205" s="39" t="s">
        <v>31</v>
      </c>
      <c r="AO205" s="39"/>
      <c r="AP205" s="70"/>
      <c r="AQ205" s="71"/>
      <c r="AR205" s="72"/>
      <c r="AU205" s="70"/>
      <c r="AV205" s="77"/>
      <c r="AW205" s="78"/>
      <c r="AX205" s="75">
        <v>2</v>
      </c>
      <c r="AY205" s="63" t="s">
        <v>4872</v>
      </c>
      <c r="BA205" s="76">
        <v>1</v>
      </c>
      <c r="BD205" s="39" t="s">
        <v>4829</v>
      </c>
      <c r="BF205" s="39" t="s">
        <v>4830</v>
      </c>
    </row>
    <row r="206" spans="1:58">
      <c r="A206" s="39" t="s">
        <v>4753</v>
      </c>
      <c r="B206" s="39" t="s">
        <v>4772</v>
      </c>
      <c r="C206" s="39" t="s">
        <v>4791</v>
      </c>
      <c r="D206" s="39">
        <v>18</v>
      </c>
      <c r="E206" s="39">
        <v>1</v>
      </c>
      <c r="F206" s="39" t="s">
        <v>4864</v>
      </c>
      <c r="G206" s="39" t="s">
        <v>4827</v>
      </c>
      <c r="J206" s="39" t="s">
        <v>31</v>
      </c>
      <c r="N206" s="39"/>
      <c r="O206" s="70"/>
      <c r="P206" s="71"/>
      <c r="Q206" s="72"/>
      <c r="T206" s="70"/>
      <c r="U206" s="73"/>
      <c r="V206" s="74"/>
      <c r="W206" s="75"/>
      <c r="Z206" s="76"/>
      <c r="AC206" s="39" t="s">
        <v>4829</v>
      </c>
      <c r="AD206" s="39"/>
      <c r="AH206" s="39" t="s">
        <v>4827</v>
      </c>
      <c r="AI206" s="39" t="s">
        <v>4831</v>
      </c>
      <c r="AK206" s="39" t="s">
        <v>31</v>
      </c>
      <c r="AO206" s="39"/>
      <c r="AP206" s="70"/>
      <c r="AQ206" s="71"/>
      <c r="AR206" s="72"/>
      <c r="AU206" s="70"/>
      <c r="AV206" s="77"/>
      <c r="AW206" s="78"/>
      <c r="AX206" s="75">
        <v>4</v>
      </c>
      <c r="AY206" s="63">
        <v>0</v>
      </c>
      <c r="BA206" s="76">
        <v>1</v>
      </c>
      <c r="BD206" s="39" t="s">
        <v>4829</v>
      </c>
      <c r="BF206" s="39" t="s">
        <v>4866</v>
      </c>
    </row>
    <row r="207" spans="1:58" ht="36">
      <c r="A207" s="39" t="s">
        <v>4753</v>
      </c>
      <c r="B207" s="39" t="s">
        <v>4773</v>
      </c>
      <c r="C207" s="39" t="s">
        <v>4791</v>
      </c>
      <c r="D207" s="39">
        <v>19</v>
      </c>
      <c r="E207" s="39">
        <v>1</v>
      </c>
      <c r="F207" s="39" t="s">
        <v>4864</v>
      </c>
      <c r="G207" s="39" t="s">
        <v>4832</v>
      </c>
      <c r="I207" s="39" t="s">
        <v>4077</v>
      </c>
      <c r="J207" s="39" t="s">
        <v>4111</v>
      </c>
      <c r="N207" s="39">
        <v>4</v>
      </c>
      <c r="O207" s="70"/>
      <c r="P207" s="71"/>
      <c r="Q207" s="72"/>
      <c r="T207" s="70">
        <v>4</v>
      </c>
      <c r="U207" s="73">
        <v>2</v>
      </c>
      <c r="V207" s="74"/>
      <c r="W207" s="75"/>
      <c r="Z207" s="76"/>
      <c r="AA207" s="39" t="s">
        <v>4867</v>
      </c>
      <c r="AB207" s="39" t="s">
        <v>25</v>
      </c>
      <c r="AC207" s="39" t="s">
        <v>4833</v>
      </c>
      <c r="AD207" s="39"/>
      <c r="AE207" s="39" t="s">
        <v>4865</v>
      </c>
      <c r="AI207" s="39" t="s">
        <v>4873</v>
      </c>
      <c r="AO207" s="39"/>
      <c r="AP207" s="70"/>
      <c r="AQ207" s="71"/>
      <c r="AR207" s="72"/>
      <c r="AU207" s="70"/>
      <c r="AV207" s="77"/>
      <c r="AW207" s="78"/>
      <c r="AX207" s="75"/>
      <c r="BA207" s="76"/>
    </row>
    <row r="208" spans="1:58" ht="48">
      <c r="A208" s="39" t="s">
        <v>4753</v>
      </c>
      <c r="B208" s="39" t="s">
        <v>4774</v>
      </c>
      <c r="C208" s="39" t="s">
        <v>4791</v>
      </c>
      <c r="D208" s="39">
        <v>20</v>
      </c>
      <c r="E208" s="39">
        <v>1</v>
      </c>
      <c r="F208" s="39" t="s">
        <v>4864</v>
      </c>
      <c r="G208" s="39" t="s">
        <v>4834</v>
      </c>
      <c r="J208" s="39" t="s">
        <v>4111</v>
      </c>
      <c r="N208" s="39"/>
      <c r="O208" s="70"/>
      <c r="P208" s="71"/>
      <c r="Q208" s="72"/>
      <c r="T208" s="70"/>
      <c r="U208" s="73"/>
      <c r="V208" s="74"/>
      <c r="W208" s="75"/>
      <c r="Z208" s="76"/>
      <c r="AC208" s="39" t="s">
        <v>4835</v>
      </c>
      <c r="AD208" s="39"/>
      <c r="AE208" s="39" t="s">
        <v>5729</v>
      </c>
      <c r="AO208" s="39"/>
      <c r="AP208" s="70"/>
      <c r="AQ208" s="71"/>
      <c r="AR208" s="72"/>
      <c r="AU208" s="70"/>
      <c r="AV208" s="77"/>
      <c r="AW208" s="78"/>
      <c r="AX208" s="75"/>
      <c r="BA208" s="76"/>
    </row>
    <row r="209" spans="1:53" ht="36">
      <c r="A209" s="39" t="s">
        <v>4753</v>
      </c>
      <c r="B209" s="39" t="s">
        <v>4775</v>
      </c>
      <c r="C209" s="39" t="s">
        <v>4791</v>
      </c>
      <c r="D209" s="39">
        <v>21</v>
      </c>
      <c r="E209" s="39">
        <v>1</v>
      </c>
      <c r="F209" s="39" t="s">
        <v>4864</v>
      </c>
      <c r="G209" s="39" t="s">
        <v>4836</v>
      </c>
      <c r="J209" s="39" t="s">
        <v>4111</v>
      </c>
      <c r="N209" s="39"/>
      <c r="O209" s="70"/>
      <c r="P209" s="71"/>
      <c r="Q209" s="72"/>
      <c r="T209" s="70"/>
      <c r="U209" s="73"/>
      <c r="V209" s="74"/>
      <c r="W209" s="75"/>
      <c r="Z209" s="76"/>
      <c r="AC209" s="39" t="s">
        <v>4835</v>
      </c>
      <c r="AD209" s="39"/>
      <c r="AE209" s="39" t="s">
        <v>5730</v>
      </c>
      <c r="AO209" s="39"/>
      <c r="AP209" s="70"/>
      <c r="AQ209" s="71"/>
      <c r="AR209" s="72"/>
      <c r="AU209" s="70"/>
      <c r="AV209" s="77"/>
      <c r="AW209" s="78"/>
      <c r="AX209" s="75"/>
      <c r="BA209" s="76"/>
    </row>
    <row r="210" spans="1:53" ht="24">
      <c r="A210" s="39" t="s">
        <v>4753</v>
      </c>
      <c r="B210" s="39" t="s">
        <v>4776</v>
      </c>
      <c r="C210" s="39" t="s">
        <v>4791</v>
      </c>
      <c r="D210" s="39">
        <v>22</v>
      </c>
      <c r="E210" s="39">
        <v>2</v>
      </c>
      <c r="F210" s="39" t="s">
        <v>4864</v>
      </c>
      <c r="G210" s="39" t="s">
        <v>4837</v>
      </c>
      <c r="J210" s="39" t="s">
        <v>29</v>
      </c>
      <c r="N210" s="39"/>
      <c r="O210" s="70"/>
      <c r="P210" s="71"/>
      <c r="Q210" s="72">
        <v>2</v>
      </c>
      <c r="R210" s="63">
        <v>2</v>
      </c>
      <c r="S210" s="43">
        <v>2</v>
      </c>
      <c r="T210" s="70"/>
      <c r="U210" s="73">
        <v>1</v>
      </c>
      <c r="V210" s="74">
        <v>1</v>
      </c>
      <c r="W210" s="75"/>
      <c r="Z210" s="76"/>
      <c r="AC210" s="39" t="s">
        <v>30</v>
      </c>
      <c r="AD210" s="39" t="s">
        <v>4868</v>
      </c>
      <c r="AE210" s="39" t="s">
        <v>4858</v>
      </c>
      <c r="AO210" s="39"/>
      <c r="AP210" s="70"/>
      <c r="AQ210" s="71"/>
      <c r="AR210" s="72"/>
      <c r="AU210" s="70"/>
      <c r="AV210" s="77"/>
      <c r="AW210" s="78"/>
      <c r="AX210" s="75"/>
      <c r="BA210" s="76"/>
    </row>
    <row r="211" spans="1:53" ht="36">
      <c r="A211" s="39" t="s">
        <v>4753</v>
      </c>
      <c r="B211" s="39" t="s">
        <v>4777</v>
      </c>
      <c r="C211" s="39" t="s">
        <v>4791</v>
      </c>
      <c r="D211" s="39">
        <v>23</v>
      </c>
      <c r="E211" s="39">
        <v>3</v>
      </c>
      <c r="F211" s="39" t="s">
        <v>4864</v>
      </c>
      <c r="G211" s="39" t="s">
        <v>4838</v>
      </c>
      <c r="J211" s="39" t="s">
        <v>29</v>
      </c>
      <c r="N211" s="39"/>
      <c r="O211" s="70"/>
      <c r="P211" s="71"/>
      <c r="Q211" s="72">
        <v>4</v>
      </c>
      <c r="R211" s="63">
        <v>0</v>
      </c>
      <c r="S211" s="43">
        <v>1</v>
      </c>
      <c r="T211" s="70"/>
      <c r="U211" s="73">
        <v>1</v>
      </c>
      <c r="V211" s="74"/>
      <c r="W211" s="75"/>
      <c r="Z211" s="76"/>
      <c r="AC211" s="39" t="s">
        <v>30</v>
      </c>
      <c r="AD211" s="39" t="s">
        <v>4854</v>
      </c>
      <c r="AE211" s="39" t="s">
        <v>5731</v>
      </c>
      <c r="AO211" s="39"/>
      <c r="AP211" s="70"/>
      <c r="AQ211" s="71"/>
      <c r="AR211" s="72"/>
      <c r="AU211" s="70"/>
      <c r="AV211" s="77"/>
      <c r="AW211" s="78"/>
      <c r="AX211" s="75"/>
      <c r="BA211" s="76"/>
    </row>
    <row r="212" spans="1:53" ht="36">
      <c r="A212" s="39" t="s">
        <v>4753</v>
      </c>
      <c r="B212" s="39" t="s">
        <v>4778</v>
      </c>
      <c r="C212" s="39" t="s">
        <v>4791</v>
      </c>
      <c r="D212" s="39">
        <v>24</v>
      </c>
      <c r="E212" s="39">
        <v>3</v>
      </c>
      <c r="F212" s="39" t="s">
        <v>4864</v>
      </c>
      <c r="G212" s="39" t="s">
        <v>4839</v>
      </c>
      <c r="J212" s="39" t="s">
        <v>28</v>
      </c>
      <c r="N212" s="39"/>
      <c r="O212" s="70"/>
      <c r="P212" s="71"/>
      <c r="Q212" s="72"/>
      <c r="T212" s="70"/>
      <c r="U212" s="73"/>
      <c r="V212" s="74"/>
      <c r="W212" s="75"/>
      <c r="Z212" s="76"/>
      <c r="AC212" s="39" t="s">
        <v>4309</v>
      </c>
      <c r="AD212" s="39"/>
      <c r="AE212" s="39" t="s">
        <v>4869</v>
      </c>
      <c r="AO212" s="39"/>
      <c r="AP212" s="70"/>
      <c r="AQ212" s="71"/>
      <c r="AR212" s="72"/>
      <c r="AU212" s="70"/>
      <c r="AV212" s="77"/>
      <c r="AW212" s="78"/>
      <c r="AX212" s="75"/>
      <c r="BA212" s="76"/>
    </row>
    <row r="213" spans="1:53" ht="60">
      <c r="A213" s="39" t="s">
        <v>4753</v>
      </c>
      <c r="B213" s="39" t="s">
        <v>4779</v>
      </c>
      <c r="C213" s="39" t="s">
        <v>4791</v>
      </c>
      <c r="D213" s="39">
        <v>25</v>
      </c>
      <c r="E213" s="39">
        <v>3</v>
      </c>
      <c r="F213" s="39" t="s">
        <v>4864</v>
      </c>
      <c r="G213" s="39" t="s">
        <v>4840</v>
      </c>
      <c r="J213" s="39" t="s">
        <v>28</v>
      </c>
      <c r="N213" s="39"/>
      <c r="O213" s="70"/>
      <c r="P213" s="71"/>
      <c r="Q213" s="72"/>
      <c r="T213" s="70"/>
      <c r="U213" s="73"/>
      <c r="V213" s="74"/>
      <c r="W213" s="75"/>
      <c r="Z213" s="76"/>
      <c r="AC213" s="39" t="s">
        <v>4309</v>
      </c>
      <c r="AD213" s="39"/>
      <c r="AE213" s="39" t="s">
        <v>5732</v>
      </c>
      <c r="AO213" s="39"/>
      <c r="AP213" s="70"/>
      <c r="AQ213" s="71"/>
      <c r="AR213" s="72"/>
      <c r="AU213" s="70"/>
      <c r="AV213" s="77"/>
      <c r="AW213" s="78"/>
      <c r="AX213" s="75"/>
      <c r="BA213" s="76"/>
    </row>
    <row r="214" spans="1:53" ht="72">
      <c r="A214" s="39" t="s">
        <v>4753</v>
      </c>
      <c r="B214" s="39" t="s">
        <v>4780</v>
      </c>
      <c r="C214" s="39" t="s">
        <v>4791</v>
      </c>
      <c r="D214" s="39">
        <v>26</v>
      </c>
      <c r="E214" s="39">
        <v>4</v>
      </c>
      <c r="F214" s="39" t="s">
        <v>4864</v>
      </c>
      <c r="G214" s="39" t="s">
        <v>4841</v>
      </c>
      <c r="J214" s="39" t="s">
        <v>28</v>
      </c>
      <c r="N214" s="39"/>
      <c r="O214" s="70"/>
      <c r="P214" s="71"/>
      <c r="Q214" s="72"/>
      <c r="T214" s="70"/>
      <c r="U214" s="73"/>
      <c r="V214" s="74"/>
      <c r="W214" s="75"/>
      <c r="Z214" s="76"/>
      <c r="AC214" s="39" t="s">
        <v>4309</v>
      </c>
      <c r="AD214" s="39"/>
      <c r="AE214" s="39" t="s">
        <v>5733</v>
      </c>
      <c r="AO214" s="39"/>
      <c r="AP214" s="70"/>
      <c r="AQ214" s="71"/>
      <c r="AR214" s="72"/>
      <c r="AU214" s="70"/>
      <c r="AV214" s="77"/>
      <c r="AW214" s="78"/>
      <c r="AX214" s="75"/>
      <c r="BA214" s="76"/>
    </row>
    <row r="215" spans="1:53" ht="36">
      <c r="A215" s="39" t="s">
        <v>4753</v>
      </c>
      <c r="B215" s="39" t="s">
        <v>4781</v>
      </c>
      <c r="C215" s="39" t="s">
        <v>4791</v>
      </c>
      <c r="D215" s="39">
        <v>27</v>
      </c>
      <c r="E215" s="39">
        <v>3</v>
      </c>
      <c r="F215" s="39" t="s">
        <v>4864</v>
      </c>
      <c r="G215" s="39" t="s">
        <v>4842</v>
      </c>
      <c r="J215" s="39" t="s">
        <v>28</v>
      </c>
      <c r="N215" s="39"/>
      <c r="O215" s="70"/>
      <c r="P215" s="71"/>
      <c r="Q215" s="72"/>
      <c r="T215" s="70"/>
      <c r="U215" s="73"/>
      <c r="V215" s="74"/>
      <c r="W215" s="75"/>
      <c r="Z215" s="76"/>
      <c r="AC215" s="39" t="s">
        <v>4311</v>
      </c>
      <c r="AD215" s="39"/>
      <c r="AE215" s="39" t="s">
        <v>4870</v>
      </c>
      <c r="AO215" s="39"/>
      <c r="AP215" s="70"/>
      <c r="AQ215" s="71"/>
      <c r="AR215" s="72"/>
      <c r="AU215" s="70"/>
      <c r="AV215" s="77"/>
      <c r="AW215" s="78"/>
      <c r="AX215" s="75"/>
      <c r="BA215" s="76"/>
    </row>
    <row r="216" spans="1:53" ht="84">
      <c r="A216" s="39" t="s">
        <v>4753</v>
      </c>
      <c r="B216" s="39" t="s">
        <v>4782</v>
      </c>
      <c r="C216" s="39" t="s">
        <v>4791</v>
      </c>
      <c r="D216" s="39">
        <v>28</v>
      </c>
      <c r="E216" s="39">
        <v>1</v>
      </c>
      <c r="F216" s="39" t="s">
        <v>4754</v>
      </c>
      <c r="G216" s="39" t="s">
        <v>4843</v>
      </c>
      <c r="I216" s="39" t="s">
        <v>4077</v>
      </c>
      <c r="J216" s="39" t="s">
        <v>29</v>
      </c>
      <c r="N216" s="39"/>
      <c r="O216" s="70"/>
      <c r="P216" s="71"/>
      <c r="Q216" s="72">
        <v>3</v>
      </c>
      <c r="R216" s="63">
        <v>3</v>
      </c>
      <c r="S216" s="43" t="s">
        <v>4876</v>
      </c>
      <c r="T216" s="70">
        <v>2</v>
      </c>
      <c r="U216" s="73">
        <v>2</v>
      </c>
      <c r="V216" s="74"/>
      <c r="W216" s="75"/>
      <c r="Z216" s="76"/>
      <c r="AC216" s="39" t="s">
        <v>4844</v>
      </c>
      <c r="AD216" s="39" t="s">
        <v>4845</v>
      </c>
      <c r="AE216" s="39" t="s">
        <v>5734</v>
      </c>
      <c r="AO216" s="39"/>
      <c r="AP216" s="70"/>
      <c r="AQ216" s="71"/>
      <c r="AR216" s="72"/>
      <c r="AU216" s="70"/>
      <c r="AV216" s="77"/>
      <c r="AW216" s="78"/>
      <c r="AX216" s="75"/>
      <c r="BA216" s="76"/>
    </row>
    <row r="217" spans="1:53" ht="48">
      <c r="A217" s="39" t="s">
        <v>4753</v>
      </c>
      <c r="B217" s="39" t="s">
        <v>4783</v>
      </c>
      <c r="C217" s="39" t="s">
        <v>4791</v>
      </c>
      <c r="D217" s="39">
        <v>29</v>
      </c>
      <c r="E217" s="39">
        <v>1</v>
      </c>
      <c r="F217" s="39" t="s">
        <v>4754</v>
      </c>
      <c r="G217" s="39" t="s">
        <v>4754</v>
      </c>
      <c r="J217" s="39" t="s">
        <v>28</v>
      </c>
      <c r="M217" s="39" t="s">
        <v>4477</v>
      </c>
      <c r="N217" s="39"/>
      <c r="O217" s="70"/>
      <c r="P217" s="71"/>
      <c r="Q217" s="72"/>
      <c r="T217" s="70"/>
      <c r="U217" s="73"/>
      <c r="V217" s="74"/>
      <c r="W217" s="75"/>
      <c r="Z217" s="76"/>
      <c r="AC217" s="39" t="s">
        <v>4269</v>
      </c>
      <c r="AD217" s="39"/>
      <c r="AE217" s="39" t="s">
        <v>5735</v>
      </c>
      <c r="AO217" s="39"/>
      <c r="AP217" s="70"/>
      <c r="AQ217" s="71"/>
      <c r="AR217" s="72"/>
      <c r="AU217" s="70"/>
      <c r="AV217" s="77"/>
      <c r="AW217" s="78"/>
      <c r="AX217" s="75"/>
      <c r="BA217" s="76"/>
    </row>
    <row r="218" spans="1:53" ht="48">
      <c r="A218" s="39" t="s">
        <v>4753</v>
      </c>
      <c r="B218" s="39" t="s">
        <v>4784</v>
      </c>
      <c r="C218" s="39" t="s">
        <v>4791</v>
      </c>
      <c r="D218" s="39">
        <v>30</v>
      </c>
      <c r="E218" s="39">
        <v>1</v>
      </c>
      <c r="F218" s="39" t="s">
        <v>4754</v>
      </c>
      <c r="G218" s="39" t="s">
        <v>4846</v>
      </c>
      <c r="J218" s="39" t="s">
        <v>4111</v>
      </c>
      <c r="N218" s="39">
        <v>0</v>
      </c>
      <c r="O218" s="70"/>
      <c r="P218" s="71"/>
      <c r="Q218" s="72"/>
      <c r="T218" s="70"/>
      <c r="U218" s="73"/>
      <c r="V218" s="74"/>
      <c r="W218" s="75"/>
      <c r="Z218" s="76"/>
      <c r="AC218" s="39" t="s">
        <v>4138</v>
      </c>
      <c r="AD218" s="39" t="s">
        <v>4847</v>
      </c>
      <c r="AE218" s="39" t="s">
        <v>5736</v>
      </c>
      <c r="AO218" s="39"/>
      <c r="AP218" s="70"/>
      <c r="AQ218" s="71"/>
      <c r="AR218" s="72"/>
      <c r="AU218" s="70"/>
      <c r="AV218" s="77"/>
      <c r="AW218" s="78"/>
      <c r="AX218" s="75"/>
      <c r="BA218" s="76"/>
    </row>
    <row r="219" spans="1:53" ht="36">
      <c r="A219" s="39" t="s">
        <v>4753</v>
      </c>
      <c r="B219" s="39" t="s">
        <v>4785</v>
      </c>
      <c r="C219" s="39" t="s">
        <v>4791</v>
      </c>
      <c r="D219" s="39">
        <v>31</v>
      </c>
      <c r="E219" s="39">
        <v>2</v>
      </c>
      <c r="F219" s="39" t="s">
        <v>4754</v>
      </c>
      <c r="G219" s="39" t="s">
        <v>4848</v>
      </c>
      <c r="J219" s="39" t="s">
        <v>29</v>
      </c>
      <c r="N219" s="39"/>
      <c r="O219" s="70"/>
      <c r="P219" s="71"/>
      <c r="Q219" s="72">
        <v>2</v>
      </c>
      <c r="R219" s="63">
        <v>3</v>
      </c>
      <c r="S219" s="43">
        <v>3</v>
      </c>
      <c r="T219" s="70">
        <v>1</v>
      </c>
      <c r="U219" s="73">
        <v>1</v>
      </c>
      <c r="V219" s="74"/>
      <c r="W219" s="75"/>
      <c r="Z219" s="76"/>
      <c r="AC219" s="39" t="s">
        <v>4849</v>
      </c>
      <c r="AD219" s="39" t="s">
        <v>4856</v>
      </c>
      <c r="AE219" s="39" t="s">
        <v>4855</v>
      </c>
      <c r="AO219" s="39"/>
      <c r="AP219" s="70"/>
      <c r="AQ219" s="71"/>
      <c r="AR219" s="72"/>
      <c r="AU219" s="70"/>
      <c r="AV219" s="77"/>
      <c r="AW219" s="78"/>
      <c r="AX219" s="75"/>
      <c r="BA219" s="76"/>
    </row>
    <row r="220" spans="1:53" ht="24">
      <c r="A220" s="39" t="s">
        <v>4753</v>
      </c>
      <c r="B220" s="39" t="s">
        <v>4786</v>
      </c>
      <c r="C220" s="39" t="s">
        <v>4791</v>
      </c>
      <c r="D220" s="39">
        <v>32</v>
      </c>
      <c r="E220" s="39">
        <v>2</v>
      </c>
      <c r="F220" s="39" t="s">
        <v>4754</v>
      </c>
      <c r="G220" s="39" t="s">
        <v>4850</v>
      </c>
      <c r="J220" s="39" t="s">
        <v>29</v>
      </c>
      <c r="N220" s="39"/>
      <c r="O220" s="70"/>
      <c r="P220" s="71"/>
      <c r="Q220" s="72">
        <v>3</v>
      </c>
      <c r="R220" s="63">
        <v>3</v>
      </c>
      <c r="S220" s="43">
        <v>4</v>
      </c>
      <c r="T220" s="70">
        <v>1</v>
      </c>
      <c r="U220" s="73">
        <v>2</v>
      </c>
      <c r="V220" s="74"/>
      <c r="W220" s="75"/>
      <c r="Z220" s="76"/>
      <c r="AC220" s="39" t="s">
        <v>4851</v>
      </c>
      <c r="AD220" s="39" t="s">
        <v>4857</v>
      </c>
      <c r="AO220" s="39"/>
      <c r="AP220" s="70"/>
      <c r="AQ220" s="71"/>
      <c r="AR220" s="72"/>
      <c r="AU220" s="70"/>
      <c r="AV220" s="77"/>
      <c r="AW220" s="78"/>
      <c r="AX220" s="75"/>
      <c r="BA220" s="76"/>
    </row>
    <row r="221" spans="1:53" ht="48">
      <c r="A221" s="39" t="s">
        <v>4753</v>
      </c>
      <c r="B221" s="39" t="s">
        <v>4787</v>
      </c>
      <c r="C221" s="39" t="s">
        <v>4791</v>
      </c>
      <c r="D221" s="39">
        <v>33</v>
      </c>
      <c r="E221" s="39">
        <v>1</v>
      </c>
      <c r="F221" s="39" t="s">
        <v>4754</v>
      </c>
      <c r="G221" s="39" t="s">
        <v>4852</v>
      </c>
      <c r="J221" s="39" t="s">
        <v>29</v>
      </c>
      <c r="N221" s="39"/>
      <c r="O221" s="70"/>
      <c r="P221" s="71"/>
      <c r="Q221" s="72">
        <v>4</v>
      </c>
      <c r="R221" s="63">
        <v>2</v>
      </c>
      <c r="S221" s="43">
        <v>5</v>
      </c>
      <c r="T221" s="70">
        <v>2</v>
      </c>
      <c r="U221" s="73">
        <v>2</v>
      </c>
      <c r="V221" s="74"/>
      <c r="W221" s="75"/>
      <c r="Z221" s="76">
        <v>1</v>
      </c>
      <c r="AC221" s="39" t="s">
        <v>4853</v>
      </c>
      <c r="AD221" s="39" t="s">
        <v>4854</v>
      </c>
      <c r="AE221" s="39" t="s">
        <v>5737</v>
      </c>
      <c r="AO221" s="39"/>
      <c r="AP221" s="70"/>
      <c r="AQ221" s="71"/>
      <c r="AR221" s="72"/>
      <c r="AU221" s="70"/>
      <c r="AV221" s="77"/>
      <c r="AW221" s="78"/>
      <c r="AX221" s="75"/>
      <c r="BA221" s="76"/>
    </row>
    <row r="222" spans="1:53" ht="36">
      <c r="A222" s="39" t="s">
        <v>4753</v>
      </c>
      <c r="B222" s="39" t="s">
        <v>4788</v>
      </c>
      <c r="C222" s="39" t="s">
        <v>4791</v>
      </c>
      <c r="D222" s="39">
        <v>34</v>
      </c>
      <c r="E222" s="39">
        <v>5</v>
      </c>
      <c r="F222" s="39" t="s">
        <v>4754</v>
      </c>
      <c r="G222" s="39" t="s">
        <v>4859</v>
      </c>
      <c r="J222" s="39" t="s">
        <v>28</v>
      </c>
      <c r="N222" s="39"/>
      <c r="O222" s="70"/>
      <c r="P222" s="71"/>
      <c r="Q222" s="72"/>
      <c r="T222" s="70"/>
      <c r="U222" s="73"/>
      <c r="V222" s="74"/>
      <c r="W222" s="75"/>
      <c r="Z222" s="76"/>
      <c r="AD222" s="39" t="s">
        <v>34</v>
      </c>
      <c r="AE222" s="39" t="s">
        <v>4860</v>
      </c>
      <c r="AO222" s="39"/>
      <c r="AP222" s="70"/>
      <c r="AQ222" s="71"/>
      <c r="AR222" s="72"/>
      <c r="AU222" s="70"/>
      <c r="AV222" s="77"/>
      <c r="AW222" s="78"/>
      <c r="AX222" s="75"/>
      <c r="BA222" s="76"/>
    </row>
    <row r="223" spans="1:53" ht="48">
      <c r="A223" s="39" t="s">
        <v>4753</v>
      </c>
      <c r="B223" s="39" t="s">
        <v>4789</v>
      </c>
      <c r="C223" s="39" t="s">
        <v>4791</v>
      </c>
      <c r="D223" s="39">
        <v>35</v>
      </c>
      <c r="E223" s="39">
        <v>2</v>
      </c>
      <c r="F223" s="39" t="s">
        <v>4754</v>
      </c>
      <c r="G223" s="39" t="s">
        <v>4861</v>
      </c>
      <c r="J223" s="39" t="s">
        <v>28</v>
      </c>
      <c r="N223" s="39"/>
      <c r="O223" s="70"/>
      <c r="P223" s="71"/>
      <c r="Q223" s="72"/>
      <c r="T223" s="70"/>
      <c r="U223" s="73"/>
      <c r="V223" s="74"/>
      <c r="W223" s="75"/>
      <c r="Z223" s="76"/>
      <c r="AD223" s="39"/>
      <c r="AE223" s="39" t="s">
        <v>4862</v>
      </c>
      <c r="AO223" s="39"/>
      <c r="AP223" s="70"/>
      <c r="AQ223" s="71"/>
      <c r="AR223" s="72"/>
      <c r="AU223" s="70"/>
      <c r="AV223" s="77"/>
      <c r="AW223" s="78"/>
      <c r="AX223" s="75"/>
      <c r="BA223" s="76"/>
    </row>
    <row r="224" spans="1:53" ht="60">
      <c r="A224" s="39" t="s">
        <v>4753</v>
      </c>
      <c r="B224" s="69" t="s">
        <v>4790</v>
      </c>
      <c r="C224" s="39" t="s">
        <v>4791</v>
      </c>
      <c r="D224" s="39">
        <v>36</v>
      </c>
      <c r="E224" s="39">
        <v>3</v>
      </c>
      <c r="F224" s="39" t="s">
        <v>4754</v>
      </c>
      <c r="G224" s="39" t="s">
        <v>4863</v>
      </c>
      <c r="J224" s="39" t="s">
        <v>28</v>
      </c>
      <c r="N224" s="39"/>
      <c r="O224" s="70"/>
      <c r="P224" s="71"/>
      <c r="Q224" s="72"/>
      <c r="T224" s="70"/>
      <c r="U224" s="73"/>
      <c r="V224" s="74"/>
      <c r="W224" s="75"/>
      <c r="Z224" s="76"/>
      <c r="AD224" s="39"/>
      <c r="AE224" s="39" t="s">
        <v>5738</v>
      </c>
      <c r="AO224" s="39"/>
      <c r="AP224" s="70"/>
      <c r="AQ224" s="71"/>
      <c r="AR224" s="72"/>
      <c r="AU224" s="70"/>
      <c r="AV224" s="77"/>
      <c r="AW224" s="78"/>
      <c r="AX224" s="75"/>
      <c r="BA224" s="76"/>
    </row>
    <row r="225" spans="1:59">
      <c r="A225" s="39" t="s">
        <v>4753</v>
      </c>
      <c r="B225" s="39" t="s">
        <v>4905</v>
      </c>
      <c r="C225" s="39" t="s">
        <v>4791</v>
      </c>
      <c r="D225" s="39">
        <v>37</v>
      </c>
      <c r="E225" s="39">
        <v>1</v>
      </c>
      <c r="F225" s="39" t="s">
        <v>4754</v>
      </c>
      <c r="G225" s="39" t="s">
        <v>4896</v>
      </c>
      <c r="J225" s="39" t="s">
        <v>4900</v>
      </c>
      <c r="N225" s="39"/>
      <c r="O225" s="70"/>
      <c r="P225" s="71"/>
      <c r="Q225" s="72"/>
      <c r="T225" s="70"/>
      <c r="U225" s="73"/>
      <c r="V225" s="74"/>
      <c r="W225" s="75"/>
      <c r="Z225" s="76"/>
      <c r="AD225" s="39"/>
      <c r="AH225" s="39" t="s">
        <v>4901</v>
      </c>
      <c r="AK225" s="104" t="s">
        <v>4900</v>
      </c>
      <c r="AO225" s="39"/>
      <c r="AP225" s="70"/>
      <c r="AQ225" s="71"/>
      <c r="AR225" s="72"/>
      <c r="AU225" s="70"/>
      <c r="AV225" s="77"/>
      <c r="AW225" s="78"/>
      <c r="AX225" s="75"/>
      <c r="BA225" s="76"/>
    </row>
    <row r="226" spans="1:59">
      <c r="A226" s="39" t="s">
        <v>4753</v>
      </c>
      <c r="B226" s="39" t="s">
        <v>4906</v>
      </c>
      <c r="C226" s="39" t="s">
        <v>4791</v>
      </c>
      <c r="D226" s="39">
        <v>38</v>
      </c>
      <c r="E226" s="39">
        <v>1</v>
      </c>
      <c r="F226" s="39" t="s">
        <v>4754</v>
      </c>
      <c r="G226" s="39" t="s">
        <v>4897</v>
      </c>
      <c r="J226" s="39" t="s">
        <v>4900</v>
      </c>
      <c r="N226" s="39"/>
      <c r="O226" s="70"/>
      <c r="P226" s="71"/>
      <c r="Q226" s="72"/>
      <c r="T226" s="70"/>
      <c r="U226" s="73"/>
      <c r="V226" s="74"/>
      <c r="W226" s="75"/>
      <c r="Z226" s="76"/>
      <c r="AD226" s="39"/>
      <c r="AH226" s="39" t="s">
        <v>4902</v>
      </c>
      <c r="AK226" s="104" t="s">
        <v>4900</v>
      </c>
      <c r="AO226" s="39"/>
      <c r="AP226" s="70"/>
      <c r="AQ226" s="71"/>
      <c r="AR226" s="72"/>
      <c r="AU226" s="70"/>
      <c r="AV226" s="77"/>
      <c r="AW226" s="78"/>
      <c r="AX226" s="75"/>
      <c r="BA226" s="76"/>
    </row>
    <row r="227" spans="1:59">
      <c r="A227" s="39" t="s">
        <v>4753</v>
      </c>
      <c r="B227" s="39" t="s">
        <v>4907</v>
      </c>
      <c r="C227" s="39" t="s">
        <v>4791</v>
      </c>
      <c r="D227" s="39">
        <v>39</v>
      </c>
      <c r="E227" s="39">
        <v>1</v>
      </c>
      <c r="F227" s="39" t="s">
        <v>4754</v>
      </c>
      <c r="G227" s="39" t="s">
        <v>4898</v>
      </c>
      <c r="J227" s="39" t="s">
        <v>4900</v>
      </c>
      <c r="N227" s="39"/>
      <c r="O227" s="70"/>
      <c r="P227" s="71"/>
      <c r="Q227" s="72"/>
      <c r="T227" s="70"/>
      <c r="U227" s="73"/>
      <c r="V227" s="74"/>
      <c r="W227" s="75"/>
      <c r="Z227" s="76"/>
      <c r="AD227" s="39"/>
      <c r="AH227" s="39" t="s">
        <v>4903</v>
      </c>
      <c r="AK227" s="104" t="s">
        <v>4900</v>
      </c>
      <c r="AO227" s="39"/>
      <c r="AP227" s="70"/>
      <c r="AQ227" s="71"/>
      <c r="AR227" s="72"/>
      <c r="AU227" s="70"/>
      <c r="AV227" s="77"/>
      <c r="AW227" s="78"/>
      <c r="AX227" s="75"/>
      <c r="BA227" s="76"/>
    </row>
    <row r="228" spans="1:59">
      <c r="A228" s="39" t="s">
        <v>4753</v>
      </c>
      <c r="B228" s="39" t="s">
        <v>4908</v>
      </c>
      <c r="C228" s="39" t="s">
        <v>4791</v>
      </c>
      <c r="D228" s="39">
        <v>40</v>
      </c>
      <c r="E228" s="39">
        <v>1</v>
      </c>
      <c r="F228" s="39" t="s">
        <v>4754</v>
      </c>
      <c r="G228" s="39" t="s">
        <v>4899</v>
      </c>
      <c r="J228" s="39" t="s">
        <v>4900</v>
      </c>
      <c r="N228" s="39"/>
      <c r="O228" s="70"/>
      <c r="P228" s="71"/>
      <c r="Q228" s="72"/>
      <c r="T228" s="70"/>
      <c r="U228" s="73"/>
      <c r="V228" s="74"/>
      <c r="W228" s="75"/>
      <c r="Z228" s="76"/>
      <c r="AD228" s="39"/>
      <c r="AH228" s="39" t="s">
        <v>4904</v>
      </c>
      <c r="AK228" s="104" t="s">
        <v>4900</v>
      </c>
      <c r="AO228" s="39"/>
      <c r="AP228" s="70"/>
      <c r="AQ228" s="71"/>
      <c r="AR228" s="72"/>
      <c r="AU228" s="70"/>
      <c r="AV228" s="77"/>
      <c r="AW228" s="78"/>
      <c r="AX228" s="75"/>
      <c r="BA228" s="76"/>
    </row>
    <row r="229" spans="1:59" ht="72">
      <c r="A229" s="39" t="s">
        <v>4922</v>
      </c>
      <c r="B229" s="39" t="s">
        <v>4924</v>
      </c>
      <c r="C229" s="39" t="s">
        <v>4927</v>
      </c>
      <c r="D229" s="39">
        <v>1</v>
      </c>
      <c r="E229" s="39">
        <v>1</v>
      </c>
      <c r="F229" s="39" t="s">
        <v>4923</v>
      </c>
      <c r="G229" s="39" t="s">
        <v>4911</v>
      </c>
      <c r="H229" s="39" t="s">
        <v>4912</v>
      </c>
      <c r="I229" s="39" t="s">
        <v>4077</v>
      </c>
      <c r="J229" s="39" t="s">
        <v>4057</v>
      </c>
      <c r="K229" s="39" t="s">
        <v>4054</v>
      </c>
      <c r="N229" s="39"/>
      <c r="O229" s="70">
        <v>4</v>
      </c>
      <c r="P229" s="71">
        <v>4</v>
      </c>
      <c r="Q229" s="72">
        <v>1</v>
      </c>
      <c r="R229" s="63">
        <v>3</v>
      </c>
      <c r="S229" s="43">
        <v>6</v>
      </c>
      <c r="T229" s="70">
        <v>8</v>
      </c>
      <c r="U229" s="73"/>
      <c r="V229" s="74"/>
      <c r="W229" s="75"/>
      <c r="Z229" s="76"/>
      <c r="AC229" s="39" t="s">
        <v>4913</v>
      </c>
      <c r="AD229" s="39"/>
      <c r="AE229" s="39" t="s">
        <v>4914</v>
      </c>
      <c r="AH229" s="39" t="s">
        <v>4911</v>
      </c>
      <c r="AI229" s="39" t="s">
        <v>4912</v>
      </c>
      <c r="AJ229" s="39" t="s">
        <v>4077</v>
      </c>
      <c r="AK229" s="39" t="s">
        <v>4057</v>
      </c>
      <c r="AL229" s="39" t="s">
        <v>5044</v>
      </c>
      <c r="AO229" s="39"/>
      <c r="AP229" s="70"/>
      <c r="AQ229" s="71"/>
      <c r="AR229" s="72"/>
      <c r="AU229" s="70"/>
      <c r="AV229" s="77"/>
      <c r="AW229" s="78"/>
      <c r="AX229" s="75"/>
      <c r="BA229" s="76"/>
    </row>
    <row r="230" spans="1:59" ht="48">
      <c r="A230" s="39" t="s">
        <v>4922</v>
      </c>
      <c r="B230" s="39" t="s">
        <v>4925</v>
      </c>
      <c r="C230" s="39" t="s">
        <v>4927</v>
      </c>
      <c r="D230" s="39">
        <v>2</v>
      </c>
      <c r="E230" s="39">
        <v>1</v>
      </c>
      <c r="F230" s="39" t="s">
        <v>4923</v>
      </c>
      <c r="G230" s="39" t="s">
        <v>4915</v>
      </c>
      <c r="J230" s="39" t="s">
        <v>27</v>
      </c>
      <c r="K230" s="39" t="s">
        <v>26</v>
      </c>
      <c r="N230" s="39">
        <v>3</v>
      </c>
      <c r="O230" s="70"/>
      <c r="P230" s="71"/>
      <c r="Q230" s="72"/>
      <c r="T230" s="70"/>
      <c r="U230" s="73"/>
      <c r="V230" s="74"/>
      <c r="W230" s="75"/>
      <c r="Z230" s="76"/>
      <c r="AA230" s="39" t="s">
        <v>4881</v>
      </c>
      <c r="AC230" s="39" t="s">
        <v>4916</v>
      </c>
      <c r="AD230" s="39" t="s">
        <v>5727</v>
      </c>
      <c r="AE230" s="39" t="s">
        <v>5662</v>
      </c>
      <c r="AO230" s="39"/>
      <c r="AP230" s="70"/>
      <c r="AQ230" s="71"/>
      <c r="AR230" s="72"/>
      <c r="AU230" s="70"/>
      <c r="AV230" s="77"/>
      <c r="AW230" s="78"/>
      <c r="AX230" s="75"/>
      <c r="BA230" s="76"/>
    </row>
    <row r="231" spans="1:59" ht="84">
      <c r="A231" s="39" t="s">
        <v>4922</v>
      </c>
      <c r="B231" s="39" t="s">
        <v>4926</v>
      </c>
      <c r="C231" s="39" t="s">
        <v>4927</v>
      </c>
      <c r="D231" s="39">
        <v>3</v>
      </c>
      <c r="E231" s="39">
        <v>1</v>
      </c>
      <c r="F231" s="39" t="s">
        <v>4923</v>
      </c>
      <c r="G231" s="39" t="s">
        <v>4917</v>
      </c>
      <c r="H231" s="39" t="s">
        <v>4918</v>
      </c>
      <c r="I231" s="39" t="s">
        <v>4077</v>
      </c>
      <c r="J231" s="39" t="s">
        <v>4111</v>
      </c>
      <c r="K231" s="39" t="s">
        <v>26</v>
      </c>
      <c r="M231" s="39" t="s">
        <v>4919</v>
      </c>
      <c r="N231" s="39"/>
      <c r="O231" s="70"/>
      <c r="P231" s="71"/>
      <c r="Q231" s="72"/>
      <c r="T231" s="70"/>
      <c r="U231" s="73"/>
      <c r="V231" s="74"/>
      <c r="W231" s="75"/>
      <c r="Z231" s="76"/>
      <c r="AB231" s="39" t="s">
        <v>25</v>
      </c>
      <c r="AC231" s="39" t="s">
        <v>4920</v>
      </c>
      <c r="AD231" s="39"/>
      <c r="AE231" s="39" t="s">
        <v>4921</v>
      </c>
      <c r="AO231" s="39"/>
      <c r="AP231" s="70"/>
      <c r="AQ231" s="71"/>
      <c r="AR231" s="72"/>
      <c r="AU231" s="70"/>
      <c r="AV231" s="77"/>
      <c r="AW231" s="78"/>
      <c r="AX231" s="75"/>
      <c r="BA231" s="76"/>
    </row>
    <row r="232" spans="1:59" ht="15">
      <c r="A232" s="39" t="s">
        <v>4922</v>
      </c>
      <c r="B232" s="69" t="s">
        <v>5458</v>
      </c>
      <c r="C232" s="39" t="s">
        <v>4927</v>
      </c>
      <c r="D232" s="40">
        <v>999</v>
      </c>
      <c r="E232" s="39">
        <v>1</v>
      </c>
      <c r="G232" s="39" t="s">
        <v>4911</v>
      </c>
      <c r="J232" s="39" t="s">
        <v>4681</v>
      </c>
      <c r="K232" s="39" t="s">
        <v>4054</v>
      </c>
      <c r="N232" s="39"/>
      <c r="O232" s="70"/>
      <c r="P232" s="71"/>
      <c r="Q232" s="72"/>
      <c r="T232" s="70"/>
      <c r="U232" s="77"/>
      <c r="V232" s="78"/>
      <c r="W232" s="75"/>
      <c r="Z232" s="76"/>
      <c r="AA232" s="101"/>
      <c r="AD232" s="39"/>
      <c r="AH232" s="39" t="s">
        <v>4911</v>
      </c>
      <c r="AK232" s="39" t="s">
        <v>4681</v>
      </c>
      <c r="AO232" s="39"/>
      <c r="AP232" s="70"/>
      <c r="AQ232" s="71"/>
      <c r="AR232" s="72"/>
      <c r="AU232" s="70"/>
      <c r="AV232" s="77"/>
      <c r="AW232" s="78"/>
      <c r="AX232" s="75"/>
      <c r="BA232" s="76"/>
    </row>
    <row r="233" spans="1:59" ht="84">
      <c r="A233" s="39" t="s">
        <v>4994</v>
      </c>
      <c r="B233" s="69" t="s">
        <v>4996</v>
      </c>
      <c r="C233" s="39" t="s">
        <v>4993</v>
      </c>
      <c r="D233" s="39">
        <v>1</v>
      </c>
      <c r="E233" s="39">
        <v>1</v>
      </c>
      <c r="F233" s="39" t="s">
        <v>4928</v>
      </c>
      <c r="G233" s="39" t="s">
        <v>4928</v>
      </c>
      <c r="H233" s="39" t="s">
        <v>4531</v>
      </c>
      <c r="J233" s="39" t="s">
        <v>4448</v>
      </c>
      <c r="N233" s="39"/>
      <c r="O233" s="70"/>
      <c r="P233" s="71"/>
      <c r="Q233" s="72"/>
      <c r="T233" s="70"/>
      <c r="U233" s="73"/>
      <c r="V233" s="74"/>
      <c r="W233" s="75"/>
      <c r="Z233" s="76"/>
      <c r="AD233" s="39"/>
      <c r="AE233" s="39" t="s">
        <v>5663</v>
      </c>
      <c r="AH233" s="39" t="s">
        <v>4928</v>
      </c>
      <c r="AI233" s="39" t="s">
        <v>4532</v>
      </c>
      <c r="AK233" s="39" t="s">
        <v>4448</v>
      </c>
      <c r="AO233" s="39"/>
      <c r="AP233" s="70"/>
      <c r="AQ233" s="71"/>
      <c r="AR233" s="72"/>
      <c r="AU233" s="70"/>
      <c r="AV233" s="77"/>
      <c r="AW233" s="78"/>
      <c r="AX233" s="75"/>
      <c r="BA233" s="76"/>
      <c r="BF233" s="39" t="s">
        <v>5664</v>
      </c>
    </row>
    <row r="234" spans="1:59" ht="60">
      <c r="A234" s="39" t="s">
        <v>4994</v>
      </c>
      <c r="B234" s="39" t="s">
        <v>4997</v>
      </c>
      <c r="C234" s="39" t="s">
        <v>4993</v>
      </c>
      <c r="D234" s="39">
        <v>2</v>
      </c>
      <c r="E234" s="39">
        <v>1</v>
      </c>
      <c r="F234" s="39" t="s">
        <v>4928</v>
      </c>
      <c r="G234" s="39" t="s">
        <v>4929</v>
      </c>
      <c r="J234" s="39" t="s">
        <v>4449</v>
      </c>
      <c r="L234" s="39">
        <v>1</v>
      </c>
      <c r="N234" s="39"/>
      <c r="O234" s="70"/>
      <c r="P234" s="71"/>
      <c r="Q234" s="72"/>
      <c r="T234" s="70"/>
      <c r="U234" s="73"/>
      <c r="V234" s="74"/>
      <c r="W234" s="75"/>
      <c r="Y234" s="43">
        <v>8</v>
      </c>
      <c r="Z234" s="76"/>
      <c r="AD234" s="39"/>
      <c r="AH234" s="39" t="s">
        <v>4930</v>
      </c>
      <c r="AI234" s="39" t="s">
        <v>4931</v>
      </c>
      <c r="AJ234" s="39" t="s">
        <v>4077</v>
      </c>
      <c r="AK234" s="39" t="s">
        <v>29</v>
      </c>
      <c r="AO234" s="39"/>
      <c r="AP234" s="70"/>
      <c r="AQ234" s="71"/>
      <c r="AR234" s="72">
        <v>4</v>
      </c>
      <c r="AS234" s="63">
        <v>3</v>
      </c>
      <c r="AT234" s="43" t="s">
        <v>4876</v>
      </c>
      <c r="AU234" s="70"/>
      <c r="AV234" s="77">
        <v>2</v>
      </c>
      <c r="AW234" s="78">
        <v>2</v>
      </c>
      <c r="AX234" s="75"/>
      <c r="BA234" s="76">
        <v>2</v>
      </c>
      <c r="BD234" s="39" t="s">
        <v>4932</v>
      </c>
      <c r="BE234" s="40" t="s">
        <v>5079</v>
      </c>
      <c r="BF234" s="39" t="s">
        <v>5081</v>
      </c>
      <c r="BG234" s="39" t="s">
        <v>5080</v>
      </c>
    </row>
    <row r="235" spans="1:59" ht="84">
      <c r="A235" s="39" t="s">
        <v>4994</v>
      </c>
      <c r="B235" s="39" t="s">
        <v>4998</v>
      </c>
      <c r="C235" s="39" t="s">
        <v>4993</v>
      </c>
      <c r="D235" s="39">
        <v>3</v>
      </c>
      <c r="E235" s="39">
        <v>1</v>
      </c>
      <c r="F235" s="39" t="s">
        <v>4928</v>
      </c>
      <c r="G235" s="39" t="s">
        <v>4933</v>
      </c>
      <c r="J235" s="39" t="s">
        <v>4449</v>
      </c>
      <c r="L235" s="39">
        <v>2</v>
      </c>
      <c r="N235" s="39"/>
      <c r="O235" s="70"/>
      <c r="P235" s="71"/>
      <c r="Q235" s="72"/>
      <c r="T235" s="70"/>
      <c r="U235" s="73"/>
      <c r="V235" s="74"/>
      <c r="W235" s="75"/>
      <c r="Y235" s="43">
        <v>3</v>
      </c>
      <c r="Z235" s="76"/>
      <c r="AD235" s="39"/>
      <c r="AH235" s="39" t="s">
        <v>4933</v>
      </c>
      <c r="AK235" s="39" t="s">
        <v>4449</v>
      </c>
      <c r="AM235" s="39">
        <v>2</v>
      </c>
      <c r="AO235" s="39"/>
      <c r="AP235" s="70"/>
      <c r="AQ235" s="71"/>
      <c r="AR235" s="72"/>
      <c r="AU235" s="70"/>
      <c r="AV235" s="77"/>
      <c r="AW235" s="78"/>
      <c r="AX235" s="75"/>
      <c r="BA235" s="76"/>
      <c r="BF235" s="39" t="s">
        <v>5045</v>
      </c>
    </row>
    <row r="236" spans="1:59" ht="48">
      <c r="A236" s="39" t="s">
        <v>4994</v>
      </c>
      <c r="B236" s="39" t="s">
        <v>4999</v>
      </c>
      <c r="C236" s="39" t="s">
        <v>4993</v>
      </c>
      <c r="D236" s="39">
        <v>4</v>
      </c>
      <c r="E236" s="39">
        <v>1</v>
      </c>
      <c r="F236" s="39" t="s">
        <v>4928</v>
      </c>
      <c r="G236" s="39" t="s">
        <v>4934</v>
      </c>
      <c r="J236" s="39" t="s">
        <v>4449</v>
      </c>
      <c r="L236" s="39">
        <v>3</v>
      </c>
      <c r="N236" s="39"/>
      <c r="O236" s="70"/>
      <c r="P236" s="71"/>
      <c r="Q236" s="72"/>
      <c r="T236" s="70"/>
      <c r="U236" s="73"/>
      <c r="V236" s="74"/>
      <c r="W236" s="75"/>
      <c r="Y236" s="43">
        <v>3</v>
      </c>
      <c r="Z236" s="76"/>
      <c r="AD236" s="39"/>
      <c r="AE236" s="39" t="s">
        <v>5057</v>
      </c>
      <c r="AH236" s="39" t="s">
        <v>4934</v>
      </c>
      <c r="AK236" s="39" t="s">
        <v>4449</v>
      </c>
      <c r="AM236" s="39">
        <v>3</v>
      </c>
      <c r="AO236" s="39"/>
      <c r="AP236" s="70"/>
      <c r="AQ236" s="71"/>
      <c r="AR236" s="72"/>
      <c r="AU236" s="70"/>
      <c r="AV236" s="77"/>
      <c r="AW236" s="78"/>
      <c r="AX236" s="75"/>
      <c r="BA236" s="76"/>
      <c r="BF236" s="39" t="s">
        <v>5046</v>
      </c>
    </row>
    <row r="237" spans="1:59" ht="72">
      <c r="A237" s="39" t="s">
        <v>4994</v>
      </c>
      <c r="B237" s="39" t="s">
        <v>5000</v>
      </c>
      <c r="C237" s="39" t="s">
        <v>4993</v>
      </c>
      <c r="D237" s="39">
        <v>5</v>
      </c>
      <c r="E237" s="39">
        <v>1</v>
      </c>
      <c r="F237" s="39" t="s">
        <v>4928</v>
      </c>
      <c r="G237" s="39" t="s">
        <v>4935</v>
      </c>
      <c r="J237" s="39" t="s">
        <v>4451</v>
      </c>
      <c r="L237" s="39">
        <v>1</v>
      </c>
      <c r="N237" s="39"/>
      <c r="O237" s="70"/>
      <c r="P237" s="71"/>
      <c r="Q237" s="72"/>
      <c r="T237" s="70"/>
      <c r="U237" s="73"/>
      <c r="V237" s="74"/>
      <c r="W237" s="75"/>
      <c r="X237" s="63">
        <v>0</v>
      </c>
      <c r="Z237" s="76"/>
      <c r="AD237" s="39"/>
      <c r="AE237" s="39" t="s">
        <v>5082</v>
      </c>
      <c r="AH237" s="39" t="s">
        <v>4935</v>
      </c>
      <c r="AK237" s="39" t="s">
        <v>4451</v>
      </c>
      <c r="AM237" s="39">
        <v>1</v>
      </c>
      <c r="AO237" s="39"/>
      <c r="AP237" s="70"/>
      <c r="AQ237" s="71"/>
      <c r="AR237" s="72"/>
      <c r="AU237" s="70"/>
      <c r="AV237" s="77"/>
      <c r="AW237" s="78"/>
      <c r="AX237" s="75"/>
      <c r="BA237" s="76"/>
      <c r="BF237" s="39" t="s">
        <v>5047</v>
      </c>
    </row>
    <row r="238" spans="1:59" ht="72">
      <c r="A238" s="39" t="s">
        <v>4994</v>
      </c>
      <c r="B238" s="39" t="s">
        <v>5001</v>
      </c>
      <c r="C238" s="39" t="s">
        <v>4993</v>
      </c>
      <c r="D238" s="39">
        <v>6</v>
      </c>
      <c r="E238" s="39">
        <v>1</v>
      </c>
      <c r="F238" s="39" t="s">
        <v>4928</v>
      </c>
      <c r="G238" s="39" t="s">
        <v>4936</v>
      </c>
      <c r="J238" s="39" t="s">
        <v>4451</v>
      </c>
      <c r="L238" s="39">
        <v>2</v>
      </c>
      <c r="N238" s="39"/>
      <c r="O238" s="70"/>
      <c r="P238" s="71"/>
      <c r="Q238" s="72"/>
      <c r="T238" s="70"/>
      <c r="U238" s="73"/>
      <c r="V238" s="74"/>
      <c r="W238" s="75"/>
      <c r="X238" s="63">
        <v>0</v>
      </c>
      <c r="Z238" s="76"/>
      <c r="AD238" s="39"/>
      <c r="AE238" s="39" t="s">
        <v>5058</v>
      </c>
      <c r="AH238" s="39" t="s">
        <v>4937</v>
      </c>
      <c r="AK238" s="39" t="s">
        <v>31</v>
      </c>
      <c r="AO238" s="39"/>
      <c r="AP238" s="70"/>
      <c r="AQ238" s="71"/>
      <c r="AR238" s="72"/>
      <c r="AU238" s="70"/>
      <c r="AV238" s="77"/>
      <c r="AW238" s="78"/>
      <c r="AX238" s="75">
        <v>5</v>
      </c>
      <c r="AY238" s="63">
        <v>0</v>
      </c>
      <c r="BA238" s="76"/>
      <c r="BD238" s="39" t="s">
        <v>4938</v>
      </c>
      <c r="BF238" s="39" t="s">
        <v>5059</v>
      </c>
    </row>
    <row r="239" spans="1:59">
      <c r="A239" s="39" t="s">
        <v>4994</v>
      </c>
      <c r="B239" s="39" t="s">
        <v>5002</v>
      </c>
      <c r="C239" s="39" t="s">
        <v>4993</v>
      </c>
      <c r="D239" s="39">
        <v>7</v>
      </c>
      <c r="E239" s="39">
        <v>1</v>
      </c>
      <c r="F239" s="39" t="s">
        <v>4928</v>
      </c>
      <c r="G239" s="39" t="s">
        <v>4939</v>
      </c>
      <c r="J239" s="39" t="s">
        <v>4451</v>
      </c>
      <c r="L239" s="39">
        <v>3</v>
      </c>
      <c r="N239" s="39"/>
      <c r="O239" s="70"/>
      <c r="P239" s="71"/>
      <c r="Q239" s="72"/>
      <c r="T239" s="70"/>
      <c r="U239" s="73"/>
      <c r="V239" s="74"/>
      <c r="W239" s="75"/>
      <c r="X239" s="63">
        <v>0</v>
      </c>
      <c r="Z239" s="76"/>
      <c r="AD239" s="39"/>
      <c r="AE239" s="39" t="s">
        <v>5083</v>
      </c>
      <c r="AH239" s="39" t="s">
        <v>4939</v>
      </c>
      <c r="AK239" s="39" t="s">
        <v>4451</v>
      </c>
      <c r="AM239" s="39">
        <v>3</v>
      </c>
      <c r="AO239" s="39"/>
      <c r="AP239" s="70"/>
      <c r="AQ239" s="71"/>
      <c r="AR239" s="72"/>
      <c r="AU239" s="70"/>
      <c r="AV239" s="77"/>
      <c r="AW239" s="78"/>
      <c r="AX239" s="75"/>
      <c r="BA239" s="76"/>
    </row>
    <row r="240" spans="1:59" ht="48">
      <c r="A240" s="39" t="s">
        <v>4994</v>
      </c>
      <c r="B240" s="39" t="s">
        <v>5003</v>
      </c>
      <c r="C240" s="39" t="s">
        <v>4993</v>
      </c>
      <c r="D240" s="39">
        <v>8</v>
      </c>
      <c r="E240" s="39">
        <v>1</v>
      </c>
      <c r="F240" s="39" t="s">
        <v>4928</v>
      </c>
      <c r="G240" s="39" t="s">
        <v>4940</v>
      </c>
      <c r="J240" s="39" t="s">
        <v>31</v>
      </c>
      <c r="N240" s="39"/>
      <c r="O240" s="70"/>
      <c r="P240" s="71"/>
      <c r="Q240" s="72"/>
      <c r="T240" s="70"/>
      <c r="U240" s="73"/>
      <c r="V240" s="74"/>
      <c r="W240" s="75"/>
      <c r="Z240" s="76"/>
      <c r="AC240" s="39" t="s">
        <v>4941</v>
      </c>
      <c r="AD240" s="39"/>
      <c r="AE240" s="39" t="s">
        <v>5048</v>
      </c>
      <c r="AH240" s="39" t="s">
        <v>4940</v>
      </c>
      <c r="AK240" s="39" t="s">
        <v>31</v>
      </c>
      <c r="AO240" s="39"/>
      <c r="AP240" s="70"/>
      <c r="AQ240" s="71"/>
      <c r="AR240" s="72"/>
      <c r="AU240" s="70"/>
      <c r="AV240" s="77"/>
      <c r="AW240" s="78"/>
      <c r="AX240" s="75">
        <v>3</v>
      </c>
      <c r="AY240" s="63">
        <v>0</v>
      </c>
      <c r="BA240" s="76"/>
      <c r="BD240" s="39" t="s">
        <v>4941</v>
      </c>
      <c r="BF240" s="39" t="s">
        <v>5060</v>
      </c>
    </row>
    <row r="241" spans="1:58" ht="48">
      <c r="A241" s="39" t="s">
        <v>4994</v>
      </c>
      <c r="B241" s="39" t="s">
        <v>5004</v>
      </c>
      <c r="C241" s="39" t="s">
        <v>4993</v>
      </c>
      <c r="D241" s="39">
        <v>9</v>
      </c>
      <c r="E241" s="39">
        <v>1</v>
      </c>
      <c r="F241" s="39" t="s">
        <v>4928</v>
      </c>
      <c r="G241" s="39" t="s">
        <v>4942</v>
      </c>
      <c r="J241" s="39" t="s">
        <v>31</v>
      </c>
      <c r="N241" s="39"/>
      <c r="O241" s="70"/>
      <c r="P241" s="71"/>
      <c r="Q241" s="72"/>
      <c r="T241" s="70"/>
      <c r="U241" s="73"/>
      <c r="V241" s="74"/>
      <c r="W241" s="75"/>
      <c r="Z241" s="76"/>
      <c r="AC241" s="39" t="s">
        <v>4941</v>
      </c>
      <c r="AD241" s="39"/>
      <c r="AE241" s="39" t="s">
        <v>5049</v>
      </c>
      <c r="AH241" s="39" t="s">
        <v>4942</v>
      </c>
      <c r="AK241" s="39" t="s">
        <v>31</v>
      </c>
      <c r="AO241" s="39"/>
      <c r="AP241" s="70"/>
      <c r="AQ241" s="71"/>
      <c r="AR241" s="72"/>
      <c r="AU241" s="70"/>
      <c r="AV241" s="77"/>
      <c r="AW241" s="78"/>
      <c r="AX241" s="75">
        <v>2</v>
      </c>
      <c r="AY241" s="63">
        <v>1</v>
      </c>
      <c r="BA241" s="76"/>
      <c r="BD241" s="39" t="s">
        <v>4941</v>
      </c>
      <c r="BF241" s="39" t="s">
        <v>5061</v>
      </c>
    </row>
    <row r="242" spans="1:58" ht="36">
      <c r="A242" s="39" t="s">
        <v>4994</v>
      </c>
      <c r="B242" s="39" t="s">
        <v>5005</v>
      </c>
      <c r="C242" s="39" t="s">
        <v>4993</v>
      </c>
      <c r="D242" s="39">
        <v>10</v>
      </c>
      <c r="E242" s="39">
        <v>1</v>
      </c>
      <c r="F242" s="39" t="s">
        <v>4928</v>
      </c>
      <c r="G242" s="39" t="s">
        <v>4943</v>
      </c>
      <c r="J242" s="39" t="s">
        <v>31</v>
      </c>
      <c r="N242" s="39"/>
      <c r="O242" s="70"/>
      <c r="P242" s="71"/>
      <c r="Q242" s="72"/>
      <c r="T242" s="70"/>
      <c r="U242" s="73"/>
      <c r="V242" s="74"/>
      <c r="W242" s="75"/>
      <c r="Z242" s="76"/>
      <c r="AC242" s="39" t="s">
        <v>4941</v>
      </c>
      <c r="AD242" s="39"/>
      <c r="AE242" s="39" t="s">
        <v>5050</v>
      </c>
      <c r="AH242" s="39" t="s">
        <v>4943</v>
      </c>
      <c r="AK242" s="39" t="s">
        <v>31</v>
      </c>
      <c r="AO242" s="39"/>
      <c r="AP242" s="70"/>
      <c r="AQ242" s="71"/>
      <c r="AR242" s="72"/>
      <c r="AU242" s="70"/>
      <c r="AV242" s="77"/>
      <c r="AW242" s="78"/>
      <c r="AX242" s="75">
        <v>2</v>
      </c>
      <c r="AY242" s="63">
        <v>2</v>
      </c>
      <c r="BA242" s="76"/>
      <c r="BD242" s="39" t="s">
        <v>4941</v>
      </c>
      <c r="BF242" s="39" t="s">
        <v>5062</v>
      </c>
    </row>
    <row r="243" spans="1:58" ht="36">
      <c r="A243" s="39" t="s">
        <v>4994</v>
      </c>
      <c r="B243" s="39" t="s">
        <v>5006</v>
      </c>
      <c r="C243" s="39" t="s">
        <v>4993</v>
      </c>
      <c r="D243" s="39">
        <v>11</v>
      </c>
      <c r="E243" s="39">
        <v>1</v>
      </c>
      <c r="F243" s="39" t="s">
        <v>4928</v>
      </c>
      <c r="G243" s="39" t="s">
        <v>4944</v>
      </c>
      <c r="J243" s="39" t="s">
        <v>31</v>
      </c>
      <c r="N243" s="39"/>
      <c r="O243" s="70"/>
      <c r="P243" s="71"/>
      <c r="Q243" s="72"/>
      <c r="T243" s="70"/>
      <c r="U243" s="73"/>
      <c r="V243" s="74"/>
      <c r="W243" s="75"/>
      <c r="Z243" s="76"/>
      <c r="AC243" s="39" t="s">
        <v>4945</v>
      </c>
      <c r="AD243" s="39"/>
      <c r="AE243" s="39" t="s">
        <v>5051</v>
      </c>
      <c r="AH243" s="39" t="s">
        <v>4944</v>
      </c>
      <c r="AK243" s="39" t="s">
        <v>31</v>
      </c>
      <c r="AO243" s="39"/>
      <c r="AP243" s="70"/>
      <c r="AQ243" s="71"/>
      <c r="AR243" s="72"/>
      <c r="AU243" s="70"/>
      <c r="AV243" s="77"/>
      <c r="AW243" s="78"/>
      <c r="AX243" s="75">
        <v>2</v>
      </c>
      <c r="AY243" s="63">
        <v>1</v>
      </c>
      <c r="BA243" s="76"/>
      <c r="BD243" s="39" t="s">
        <v>4945</v>
      </c>
      <c r="BF243" s="39" t="s">
        <v>5063</v>
      </c>
    </row>
    <row r="244" spans="1:58" ht="48">
      <c r="A244" s="39" t="s">
        <v>4994</v>
      </c>
      <c r="B244" s="39" t="s">
        <v>5007</v>
      </c>
      <c r="C244" s="39" t="s">
        <v>4993</v>
      </c>
      <c r="D244" s="39">
        <v>12</v>
      </c>
      <c r="E244" s="39">
        <v>1</v>
      </c>
      <c r="F244" s="39" t="s">
        <v>4928</v>
      </c>
      <c r="G244" s="39" t="s">
        <v>4946</v>
      </c>
      <c r="J244" s="39" t="s">
        <v>31</v>
      </c>
      <c r="N244" s="39"/>
      <c r="O244" s="70"/>
      <c r="P244" s="71"/>
      <c r="Q244" s="72"/>
      <c r="T244" s="70"/>
      <c r="U244" s="73"/>
      <c r="V244" s="74"/>
      <c r="W244" s="75"/>
      <c r="Z244" s="76"/>
      <c r="AC244" s="39" t="s">
        <v>4941</v>
      </c>
      <c r="AD244" s="39"/>
      <c r="AE244" s="39" t="s">
        <v>5052</v>
      </c>
      <c r="AH244" s="39" t="s">
        <v>4946</v>
      </c>
      <c r="AK244" s="39" t="s">
        <v>31</v>
      </c>
      <c r="AO244" s="39"/>
      <c r="AP244" s="70"/>
      <c r="AQ244" s="71"/>
      <c r="AR244" s="72"/>
      <c r="AU244" s="70"/>
      <c r="AV244" s="77"/>
      <c r="AW244" s="78"/>
      <c r="AX244" s="75">
        <v>3</v>
      </c>
      <c r="AY244" s="63" t="s">
        <v>4872</v>
      </c>
      <c r="BA244" s="76"/>
      <c r="BD244" s="39" t="s">
        <v>4941</v>
      </c>
      <c r="BF244" s="39" t="s">
        <v>5064</v>
      </c>
    </row>
    <row r="245" spans="1:58" ht="36">
      <c r="A245" s="39" t="s">
        <v>4994</v>
      </c>
      <c r="B245" s="39" t="s">
        <v>5008</v>
      </c>
      <c r="C245" s="39" t="s">
        <v>4993</v>
      </c>
      <c r="D245" s="39">
        <v>13</v>
      </c>
      <c r="E245" s="39">
        <v>1</v>
      </c>
      <c r="F245" s="39" t="s">
        <v>4928</v>
      </c>
      <c r="G245" s="39" t="s">
        <v>4947</v>
      </c>
      <c r="J245" s="39" t="s">
        <v>31</v>
      </c>
      <c r="N245" s="39"/>
      <c r="O245" s="70"/>
      <c r="P245" s="71"/>
      <c r="Q245" s="72"/>
      <c r="T245" s="70"/>
      <c r="U245" s="73"/>
      <c r="V245" s="74"/>
      <c r="W245" s="75"/>
      <c r="Z245" s="76"/>
      <c r="AC245" s="39" t="s">
        <v>4945</v>
      </c>
      <c r="AD245" s="39"/>
      <c r="AE245" s="39" t="s">
        <v>5053</v>
      </c>
      <c r="AH245" s="39" t="s">
        <v>4947</v>
      </c>
      <c r="AK245" s="39" t="s">
        <v>31</v>
      </c>
      <c r="AO245" s="39"/>
      <c r="AP245" s="70"/>
      <c r="AQ245" s="71"/>
      <c r="AR245" s="72"/>
      <c r="AU245" s="70"/>
      <c r="AV245" s="77"/>
      <c r="AW245" s="78"/>
      <c r="AX245" s="75">
        <v>1</v>
      </c>
      <c r="AY245" s="63">
        <v>2</v>
      </c>
      <c r="BA245" s="76"/>
      <c r="BD245" s="39" t="s">
        <v>4945</v>
      </c>
      <c r="BF245" s="39" t="s">
        <v>5065</v>
      </c>
    </row>
    <row r="246" spans="1:58" ht="48">
      <c r="A246" s="39" t="s">
        <v>4994</v>
      </c>
      <c r="B246" s="39" t="s">
        <v>5009</v>
      </c>
      <c r="C246" s="39" t="s">
        <v>4993</v>
      </c>
      <c r="D246" s="39">
        <v>14</v>
      </c>
      <c r="E246" s="39">
        <v>1</v>
      </c>
      <c r="F246" s="39" t="s">
        <v>4928</v>
      </c>
      <c r="G246" s="39" t="s">
        <v>4948</v>
      </c>
      <c r="J246" s="39" t="s">
        <v>31</v>
      </c>
      <c r="N246" s="39"/>
      <c r="O246" s="70"/>
      <c r="P246" s="71"/>
      <c r="Q246" s="72"/>
      <c r="T246" s="70"/>
      <c r="U246" s="73"/>
      <c r="V246" s="74"/>
      <c r="W246" s="75"/>
      <c r="Z246" s="76"/>
      <c r="AC246" s="39" t="s">
        <v>4941</v>
      </c>
      <c r="AD246" s="39"/>
      <c r="AE246" s="39" t="s">
        <v>5054</v>
      </c>
      <c r="AH246" s="39" t="s">
        <v>4948</v>
      </c>
      <c r="AK246" s="39" t="s">
        <v>31</v>
      </c>
      <c r="AO246" s="39"/>
      <c r="AP246" s="70"/>
      <c r="AQ246" s="71"/>
      <c r="AR246" s="72"/>
      <c r="AU246" s="70"/>
      <c r="AV246" s="77"/>
      <c r="AW246" s="78"/>
      <c r="AX246" s="75">
        <v>4</v>
      </c>
      <c r="AY246" s="63" t="s">
        <v>4872</v>
      </c>
      <c r="BA246" s="76"/>
      <c r="BD246" s="39" t="s">
        <v>4941</v>
      </c>
      <c r="BF246" s="39" t="s">
        <v>5066</v>
      </c>
    </row>
    <row r="247" spans="1:58" ht="36">
      <c r="A247" s="39" t="s">
        <v>4994</v>
      </c>
      <c r="B247" s="39" t="s">
        <v>5010</v>
      </c>
      <c r="C247" s="39" t="s">
        <v>4993</v>
      </c>
      <c r="D247" s="39">
        <v>15</v>
      </c>
      <c r="E247" s="39">
        <v>1</v>
      </c>
      <c r="F247" s="39" t="s">
        <v>4928</v>
      </c>
      <c r="G247" s="39" t="s">
        <v>4949</v>
      </c>
      <c r="J247" s="39" t="s">
        <v>31</v>
      </c>
      <c r="N247" s="39"/>
      <c r="O247" s="70"/>
      <c r="P247" s="71"/>
      <c r="Q247" s="72"/>
      <c r="T247" s="70"/>
      <c r="U247" s="73"/>
      <c r="V247" s="74"/>
      <c r="W247" s="75"/>
      <c r="Z247" s="76"/>
      <c r="AC247" s="39" t="s">
        <v>4945</v>
      </c>
      <c r="AD247" s="39"/>
      <c r="AE247" s="39" t="s">
        <v>5055</v>
      </c>
      <c r="AH247" s="39" t="s">
        <v>4949</v>
      </c>
      <c r="AK247" s="39" t="s">
        <v>31</v>
      </c>
      <c r="AO247" s="39"/>
      <c r="AP247" s="70"/>
      <c r="AQ247" s="71"/>
      <c r="AR247" s="72"/>
      <c r="AU247" s="70"/>
      <c r="AV247" s="77"/>
      <c r="AW247" s="78"/>
      <c r="AX247" s="75">
        <v>2</v>
      </c>
      <c r="AY247" s="63" t="s">
        <v>4872</v>
      </c>
      <c r="BA247" s="76"/>
      <c r="BD247" s="39" t="s">
        <v>4945</v>
      </c>
      <c r="BF247" s="39" t="s">
        <v>5067</v>
      </c>
    </row>
    <row r="248" spans="1:58" ht="36">
      <c r="A248" s="39" t="s">
        <v>4994</v>
      </c>
      <c r="B248" s="39" t="s">
        <v>5011</v>
      </c>
      <c r="C248" s="39" t="s">
        <v>4993</v>
      </c>
      <c r="D248" s="39">
        <v>16</v>
      </c>
      <c r="E248" s="39">
        <v>1</v>
      </c>
      <c r="F248" s="39" t="s">
        <v>4928</v>
      </c>
      <c r="G248" s="39" t="s">
        <v>4950</v>
      </c>
      <c r="J248" s="39" t="s">
        <v>31</v>
      </c>
      <c r="N248" s="39"/>
      <c r="O248" s="70"/>
      <c r="P248" s="71"/>
      <c r="Q248" s="72"/>
      <c r="T248" s="70"/>
      <c r="U248" s="73"/>
      <c r="V248" s="74"/>
      <c r="W248" s="75"/>
      <c r="Z248" s="76"/>
      <c r="AC248" s="39" t="s">
        <v>4941</v>
      </c>
      <c r="AD248" s="39"/>
      <c r="AE248" s="39" t="s">
        <v>5056</v>
      </c>
      <c r="AH248" s="39" t="s">
        <v>4950</v>
      </c>
      <c r="AK248" s="39" t="s">
        <v>31</v>
      </c>
      <c r="AO248" s="39"/>
      <c r="AP248" s="70"/>
      <c r="AQ248" s="71"/>
      <c r="AR248" s="72"/>
      <c r="AU248" s="70"/>
      <c r="AV248" s="77"/>
      <c r="AW248" s="78"/>
      <c r="AX248" s="75">
        <v>3</v>
      </c>
      <c r="AY248" s="63" t="s">
        <v>4909</v>
      </c>
      <c r="BA248" s="76"/>
      <c r="BD248" s="39" t="s">
        <v>4941</v>
      </c>
      <c r="BF248" s="39" t="s">
        <v>5068</v>
      </c>
    </row>
    <row r="249" spans="1:58" ht="36">
      <c r="A249" s="39" t="s">
        <v>4994</v>
      </c>
      <c r="B249" s="39" t="s">
        <v>5012</v>
      </c>
      <c r="C249" s="39" t="s">
        <v>4993</v>
      </c>
      <c r="D249" s="39">
        <v>17</v>
      </c>
      <c r="E249" s="39">
        <v>1</v>
      </c>
      <c r="F249" s="39" t="s">
        <v>4928</v>
      </c>
      <c r="G249" s="39" t="s">
        <v>4951</v>
      </c>
      <c r="H249" s="39" t="s">
        <v>4952</v>
      </c>
      <c r="I249" s="39" t="s">
        <v>4077</v>
      </c>
      <c r="J249" s="39" t="s">
        <v>29</v>
      </c>
      <c r="N249" s="39"/>
      <c r="O249" s="70"/>
      <c r="P249" s="71"/>
      <c r="Q249" s="72">
        <v>4</v>
      </c>
      <c r="R249" s="63">
        <v>3</v>
      </c>
      <c r="S249" s="43">
        <v>4</v>
      </c>
      <c r="T249" s="70"/>
      <c r="U249" s="73">
        <v>2</v>
      </c>
      <c r="V249" s="74">
        <v>0</v>
      </c>
      <c r="W249" s="75"/>
      <c r="Z249" s="76">
        <v>1</v>
      </c>
      <c r="AC249" s="39" t="s">
        <v>4953</v>
      </c>
      <c r="AD249" s="39" t="s">
        <v>4305</v>
      </c>
      <c r="AE249" s="39" t="s">
        <v>5665</v>
      </c>
      <c r="AH249" s="39" t="s">
        <v>4954</v>
      </c>
      <c r="AK249" s="39" t="s">
        <v>4111</v>
      </c>
      <c r="AL249" s="39" t="s">
        <v>26</v>
      </c>
      <c r="AO249" s="39"/>
      <c r="AP249" s="70"/>
      <c r="AQ249" s="71"/>
      <c r="AR249" s="72"/>
      <c r="AU249" s="70"/>
      <c r="AV249" s="77"/>
      <c r="AW249" s="78"/>
      <c r="AX249" s="75"/>
      <c r="BA249" s="76"/>
      <c r="BD249" s="39" t="s">
        <v>4955</v>
      </c>
      <c r="BF249" s="39" t="s">
        <v>5069</v>
      </c>
    </row>
    <row r="250" spans="1:58" ht="48">
      <c r="A250" s="39" t="s">
        <v>4994</v>
      </c>
      <c r="B250" s="39" t="s">
        <v>5013</v>
      </c>
      <c r="C250" s="39" t="s">
        <v>4993</v>
      </c>
      <c r="D250" s="39">
        <v>18</v>
      </c>
      <c r="E250" s="39">
        <v>1</v>
      </c>
      <c r="F250" s="39" t="s">
        <v>4928</v>
      </c>
      <c r="G250" s="39" t="s">
        <v>4956</v>
      </c>
      <c r="H250" s="39" t="s">
        <v>4957</v>
      </c>
      <c r="I250" s="39" t="s">
        <v>4077</v>
      </c>
      <c r="J250" s="39" t="s">
        <v>29</v>
      </c>
      <c r="N250" s="39"/>
      <c r="O250" s="70"/>
      <c r="P250" s="71"/>
      <c r="Q250" s="72">
        <v>3</v>
      </c>
      <c r="R250" s="63">
        <v>4</v>
      </c>
      <c r="S250" s="43">
        <v>4</v>
      </c>
      <c r="T250" s="70"/>
      <c r="U250" s="73">
        <v>1</v>
      </c>
      <c r="V250" s="74">
        <v>1</v>
      </c>
      <c r="W250" s="75"/>
      <c r="Z250" s="76">
        <v>1</v>
      </c>
      <c r="AC250" s="39" t="s">
        <v>4958</v>
      </c>
      <c r="AD250" s="39" t="s">
        <v>5667</v>
      </c>
      <c r="AE250" s="39" t="s">
        <v>5666</v>
      </c>
      <c r="AH250" s="39" t="s">
        <v>4954</v>
      </c>
      <c r="AK250" s="39" t="s">
        <v>4111</v>
      </c>
      <c r="AL250" s="39" t="s">
        <v>26</v>
      </c>
      <c r="AO250" s="39"/>
      <c r="AP250" s="70"/>
      <c r="AQ250" s="71"/>
      <c r="AR250" s="72"/>
      <c r="AU250" s="70"/>
      <c r="AV250" s="77"/>
      <c r="AW250" s="78"/>
      <c r="AX250" s="75"/>
      <c r="BA250" s="76"/>
      <c r="BD250" s="39" t="s">
        <v>4955</v>
      </c>
      <c r="BF250" s="39" t="s">
        <v>5069</v>
      </c>
    </row>
    <row r="251" spans="1:58" ht="48">
      <c r="A251" s="39" t="s">
        <v>4994</v>
      </c>
      <c r="B251" s="39" t="s">
        <v>5014</v>
      </c>
      <c r="C251" s="39" t="s">
        <v>4993</v>
      </c>
      <c r="D251" s="39">
        <v>19</v>
      </c>
      <c r="E251" s="39">
        <v>1</v>
      </c>
      <c r="F251" s="39" t="s">
        <v>4928</v>
      </c>
      <c r="G251" s="39" t="s">
        <v>4959</v>
      </c>
      <c r="H251" s="39" t="s">
        <v>4960</v>
      </c>
      <c r="I251" s="39" t="s">
        <v>4077</v>
      </c>
      <c r="J251" s="39" t="s">
        <v>29</v>
      </c>
      <c r="N251" s="39"/>
      <c r="O251" s="70"/>
      <c r="P251" s="71"/>
      <c r="Q251" s="72">
        <v>-2</v>
      </c>
      <c r="R251" s="63">
        <v>-2</v>
      </c>
      <c r="S251" s="43">
        <v>3</v>
      </c>
      <c r="T251" s="70"/>
      <c r="U251" s="73">
        <v>0</v>
      </c>
      <c r="V251" s="74">
        <v>2</v>
      </c>
      <c r="W251" s="75"/>
      <c r="Z251" s="76">
        <v>1</v>
      </c>
      <c r="AC251" s="39" t="s">
        <v>4961</v>
      </c>
      <c r="AD251" s="39" t="s">
        <v>5669</v>
      </c>
      <c r="AE251" s="39" t="s">
        <v>5668</v>
      </c>
      <c r="AH251" s="39" t="s">
        <v>4954</v>
      </c>
      <c r="AK251" s="39" t="s">
        <v>4111</v>
      </c>
      <c r="AL251" s="39" t="s">
        <v>26</v>
      </c>
      <c r="AO251" s="39"/>
      <c r="AP251" s="70"/>
      <c r="AQ251" s="71"/>
      <c r="AR251" s="72"/>
      <c r="AU251" s="70"/>
      <c r="AV251" s="77"/>
      <c r="AW251" s="78"/>
      <c r="AX251" s="75"/>
      <c r="BA251" s="76"/>
      <c r="BD251" s="39" t="s">
        <v>4955</v>
      </c>
      <c r="BF251" s="39" t="s">
        <v>5069</v>
      </c>
    </row>
    <row r="252" spans="1:58" ht="36">
      <c r="A252" s="39" t="s">
        <v>4994</v>
      </c>
      <c r="B252" s="69" t="s">
        <v>5015</v>
      </c>
      <c r="C252" s="39" t="s">
        <v>4993</v>
      </c>
      <c r="D252" s="39">
        <v>20</v>
      </c>
      <c r="E252" s="39">
        <v>1</v>
      </c>
      <c r="F252" s="39" t="s">
        <v>4928</v>
      </c>
      <c r="G252" s="39" t="s">
        <v>4962</v>
      </c>
      <c r="H252" s="39" t="s">
        <v>4963</v>
      </c>
      <c r="I252" s="39" t="s">
        <v>4077</v>
      </c>
      <c r="J252" s="39" t="s">
        <v>29</v>
      </c>
      <c r="N252" s="39"/>
      <c r="O252" s="70"/>
      <c r="P252" s="71"/>
      <c r="Q252" s="72">
        <v>3</v>
      </c>
      <c r="R252" s="63">
        <v>3</v>
      </c>
      <c r="S252" s="43">
        <v>5</v>
      </c>
      <c r="T252" s="70"/>
      <c r="U252" s="73">
        <v>1</v>
      </c>
      <c r="V252" s="74">
        <v>1</v>
      </c>
      <c r="W252" s="75"/>
      <c r="Z252" s="76">
        <v>1</v>
      </c>
      <c r="AC252" s="39" t="s">
        <v>4932</v>
      </c>
      <c r="AD252" s="39" t="s">
        <v>4305</v>
      </c>
      <c r="AE252" s="39" t="s">
        <v>5670</v>
      </c>
      <c r="AH252" s="39" t="s">
        <v>4954</v>
      </c>
      <c r="AK252" s="39" t="s">
        <v>4111</v>
      </c>
      <c r="AL252" s="39" t="s">
        <v>26</v>
      </c>
      <c r="AO252" s="39"/>
      <c r="AP252" s="70"/>
      <c r="AQ252" s="71"/>
      <c r="AR252" s="72"/>
      <c r="AU252" s="70"/>
      <c r="AV252" s="77"/>
      <c r="AW252" s="78"/>
      <c r="AX252" s="75"/>
      <c r="BA252" s="76"/>
      <c r="BD252" s="39" t="s">
        <v>4955</v>
      </c>
      <c r="BF252" s="39" t="s">
        <v>5069</v>
      </c>
    </row>
    <row r="253" spans="1:58" ht="60">
      <c r="A253" s="39" t="s">
        <v>4994</v>
      </c>
      <c r="B253" s="39" t="s">
        <v>5016</v>
      </c>
      <c r="C253" s="39" t="s">
        <v>4993</v>
      </c>
      <c r="D253" s="39">
        <v>21</v>
      </c>
      <c r="E253" s="39">
        <v>3</v>
      </c>
      <c r="F253" s="39" t="s">
        <v>4928</v>
      </c>
      <c r="G253" s="39" t="s">
        <v>4964</v>
      </c>
      <c r="J253" s="39" t="s">
        <v>4111</v>
      </c>
      <c r="K253" s="39" t="s">
        <v>26</v>
      </c>
      <c r="N253" s="39"/>
      <c r="O253" s="70"/>
      <c r="P253" s="71"/>
      <c r="Q253" s="72"/>
      <c r="S253" s="43">
        <v>2</v>
      </c>
      <c r="T253" s="70">
        <v>2</v>
      </c>
      <c r="U253" s="73"/>
      <c r="V253" s="74"/>
      <c r="W253" s="75"/>
      <c r="Z253" s="76"/>
      <c r="AC253" s="39" t="s">
        <v>4965</v>
      </c>
      <c r="AD253" s="39"/>
      <c r="AE253" s="39" t="s">
        <v>5070</v>
      </c>
      <c r="AH253" s="39" t="s">
        <v>4954</v>
      </c>
      <c r="AK253" s="39" t="s">
        <v>4111</v>
      </c>
      <c r="AL253" s="39" t="s">
        <v>26</v>
      </c>
      <c r="AO253" s="39"/>
      <c r="AP253" s="70"/>
      <c r="AQ253" s="71"/>
      <c r="AR253" s="72"/>
      <c r="AU253" s="70"/>
      <c r="AV253" s="77"/>
      <c r="AW253" s="78"/>
      <c r="AX253" s="75"/>
      <c r="BA253" s="76"/>
      <c r="BD253" s="39" t="s">
        <v>4955</v>
      </c>
      <c r="BF253" s="39" t="s">
        <v>5069</v>
      </c>
    </row>
    <row r="254" spans="1:58" ht="48">
      <c r="A254" s="39" t="s">
        <v>4994</v>
      </c>
      <c r="B254" s="39" t="s">
        <v>5017</v>
      </c>
      <c r="C254" s="39" t="s">
        <v>4993</v>
      </c>
      <c r="D254" s="39">
        <v>22</v>
      </c>
      <c r="E254" s="39">
        <v>1</v>
      </c>
      <c r="F254" s="39" t="s">
        <v>4928</v>
      </c>
      <c r="G254" s="39" t="s">
        <v>4966</v>
      </c>
      <c r="H254" s="39" t="s">
        <v>4967</v>
      </c>
      <c r="I254" s="39" t="s">
        <v>4077</v>
      </c>
      <c r="J254" s="39" t="s">
        <v>4111</v>
      </c>
      <c r="K254" s="39" t="s">
        <v>26</v>
      </c>
      <c r="N254" s="39">
        <v>4</v>
      </c>
      <c r="O254" s="70">
        <v>1</v>
      </c>
      <c r="P254" s="71">
        <v>1</v>
      </c>
      <c r="Q254" s="72"/>
      <c r="S254" s="43">
        <v>2</v>
      </c>
      <c r="T254" s="70">
        <v>2</v>
      </c>
      <c r="U254" s="73"/>
      <c r="V254" s="74"/>
      <c r="W254" s="75"/>
      <c r="Z254" s="76"/>
      <c r="AA254" s="39" t="s">
        <v>4878</v>
      </c>
      <c r="AB254" s="39" t="s">
        <v>25</v>
      </c>
      <c r="AC254" s="39" t="s">
        <v>4968</v>
      </c>
      <c r="AD254" s="39"/>
      <c r="AE254" s="39" t="s">
        <v>5071</v>
      </c>
      <c r="AO254" s="39"/>
      <c r="AP254" s="70"/>
      <c r="AQ254" s="71"/>
      <c r="AR254" s="72"/>
      <c r="AU254" s="70"/>
      <c r="AV254" s="77"/>
      <c r="AW254" s="78"/>
      <c r="AX254" s="75"/>
      <c r="BA254" s="76"/>
    </row>
    <row r="255" spans="1:58" ht="36">
      <c r="A255" s="39" t="s">
        <v>4994</v>
      </c>
      <c r="B255" s="39" t="s">
        <v>5018</v>
      </c>
      <c r="C255" s="39" t="s">
        <v>4993</v>
      </c>
      <c r="D255" s="39">
        <v>23</v>
      </c>
      <c r="E255" s="39">
        <v>1</v>
      </c>
      <c r="F255" s="39" t="s">
        <v>4928</v>
      </c>
      <c r="G255" s="39" t="s">
        <v>4969</v>
      </c>
      <c r="J255" s="39" t="s">
        <v>4111</v>
      </c>
      <c r="K255" s="39" t="s">
        <v>26</v>
      </c>
      <c r="N255" s="39">
        <v>1</v>
      </c>
      <c r="O255" s="70"/>
      <c r="P255" s="71"/>
      <c r="Q255" s="72">
        <v>1</v>
      </c>
      <c r="T255" s="70"/>
      <c r="U255" s="73"/>
      <c r="V255" s="74"/>
      <c r="W255" s="75"/>
      <c r="Z255" s="76"/>
      <c r="AA255" s="39" t="s">
        <v>4892</v>
      </c>
      <c r="AC255" s="39" t="s">
        <v>4970</v>
      </c>
      <c r="AD255" s="39" t="s">
        <v>5672</v>
      </c>
      <c r="AE255" s="39" t="s">
        <v>5671</v>
      </c>
      <c r="AO255" s="39"/>
      <c r="AP255" s="70"/>
      <c r="AQ255" s="71"/>
      <c r="AR255" s="72"/>
      <c r="AU255" s="70"/>
      <c r="AV255" s="77"/>
      <c r="AW255" s="78"/>
      <c r="AX255" s="75"/>
      <c r="BA255" s="76"/>
    </row>
    <row r="256" spans="1:58" ht="48">
      <c r="A256" s="39" t="s">
        <v>4994</v>
      </c>
      <c r="B256" s="39" t="s">
        <v>5019</v>
      </c>
      <c r="C256" s="39" t="s">
        <v>4993</v>
      </c>
      <c r="D256" s="39">
        <v>24</v>
      </c>
      <c r="E256" s="39">
        <v>1</v>
      </c>
      <c r="F256" s="39" t="s">
        <v>4928</v>
      </c>
      <c r="G256" s="39" t="s">
        <v>4971</v>
      </c>
      <c r="J256" s="39" t="s">
        <v>4111</v>
      </c>
      <c r="K256" s="39" t="s">
        <v>26</v>
      </c>
      <c r="N256" s="39">
        <v>1</v>
      </c>
      <c r="O256" s="70">
        <v>1</v>
      </c>
      <c r="P256" s="71"/>
      <c r="Q256" s="72"/>
      <c r="T256" s="70"/>
      <c r="U256" s="73"/>
      <c r="V256" s="74"/>
      <c r="W256" s="75"/>
      <c r="Z256" s="76"/>
      <c r="AA256" s="39" t="s">
        <v>4885</v>
      </c>
      <c r="AC256" s="39" t="s">
        <v>4970</v>
      </c>
      <c r="AD256" s="39" t="s">
        <v>5672</v>
      </c>
      <c r="AE256" s="39" t="s">
        <v>5673</v>
      </c>
      <c r="AO256" s="39"/>
      <c r="AP256" s="70"/>
      <c r="AQ256" s="71"/>
      <c r="AR256" s="72"/>
      <c r="AU256" s="70"/>
      <c r="AV256" s="77"/>
      <c r="AW256" s="78"/>
      <c r="AX256" s="75"/>
      <c r="BA256" s="76"/>
    </row>
    <row r="257" spans="1:53" ht="36">
      <c r="A257" s="39" t="s">
        <v>4994</v>
      </c>
      <c r="B257" s="39" t="s">
        <v>5020</v>
      </c>
      <c r="C257" s="39" t="s">
        <v>4993</v>
      </c>
      <c r="D257" s="39">
        <v>25</v>
      </c>
      <c r="E257" s="39">
        <v>1</v>
      </c>
      <c r="F257" s="39" t="s">
        <v>4928</v>
      </c>
      <c r="G257" s="39" t="s">
        <v>4972</v>
      </c>
      <c r="J257" s="39" t="s">
        <v>4111</v>
      </c>
      <c r="K257" s="39" t="s">
        <v>26</v>
      </c>
      <c r="N257" s="39">
        <v>1</v>
      </c>
      <c r="O257" s="70"/>
      <c r="P257" s="71">
        <v>1</v>
      </c>
      <c r="Q257" s="72"/>
      <c r="T257" s="70"/>
      <c r="U257" s="73"/>
      <c r="V257" s="74"/>
      <c r="W257" s="75"/>
      <c r="Z257" s="76"/>
      <c r="AA257" s="39" t="s">
        <v>4973</v>
      </c>
      <c r="AC257" s="39" t="s">
        <v>4970</v>
      </c>
      <c r="AD257" s="39" t="s">
        <v>5672</v>
      </c>
      <c r="AE257" s="39" t="s">
        <v>5674</v>
      </c>
      <c r="AO257" s="39"/>
      <c r="AP257" s="70"/>
      <c r="AQ257" s="71"/>
      <c r="AR257" s="72"/>
      <c r="AU257" s="70"/>
      <c r="AV257" s="77"/>
      <c r="AW257" s="78"/>
      <c r="AX257" s="75"/>
      <c r="BA257" s="76"/>
    </row>
    <row r="258" spans="1:53" ht="48">
      <c r="A258" s="39" t="s">
        <v>4994</v>
      </c>
      <c r="B258" s="39" t="s">
        <v>5021</v>
      </c>
      <c r="C258" s="39" t="s">
        <v>4993</v>
      </c>
      <c r="D258" s="39">
        <v>24</v>
      </c>
      <c r="E258" s="39">
        <v>1</v>
      </c>
      <c r="F258" s="39" t="s">
        <v>4928</v>
      </c>
      <c r="G258" s="39" t="s">
        <v>4974</v>
      </c>
      <c r="J258" s="39" t="s">
        <v>4111</v>
      </c>
      <c r="K258" s="39" t="s">
        <v>26</v>
      </c>
      <c r="N258" s="39">
        <v>1</v>
      </c>
      <c r="O258" s="70"/>
      <c r="P258" s="71"/>
      <c r="Q258" s="72"/>
      <c r="R258" s="63">
        <v>1</v>
      </c>
      <c r="T258" s="70"/>
      <c r="U258" s="73"/>
      <c r="V258" s="74"/>
      <c r="W258" s="75"/>
      <c r="Z258" s="76"/>
      <c r="AA258" s="39" t="s">
        <v>4975</v>
      </c>
      <c r="AC258" s="39" t="s">
        <v>4970</v>
      </c>
      <c r="AD258" s="39" t="s">
        <v>5672</v>
      </c>
      <c r="AE258" s="39" t="s">
        <v>5675</v>
      </c>
      <c r="AO258" s="39"/>
      <c r="AP258" s="70"/>
      <c r="AQ258" s="71"/>
      <c r="AR258" s="72"/>
      <c r="AU258" s="70"/>
      <c r="AV258" s="77"/>
      <c r="AW258" s="78"/>
      <c r="AX258" s="75"/>
      <c r="BA258" s="76"/>
    </row>
    <row r="259" spans="1:53" ht="84">
      <c r="A259" s="39" t="s">
        <v>4994</v>
      </c>
      <c r="B259" s="39" t="s">
        <v>5022</v>
      </c>
      <c r="C259" s="39" t="s">
        <v>4993</v>
      </c>
      <c r="D259" s="39">
        <v>27</v>
      </c>
      <c r="E259" s="39">
        <v>1</v>
      </c>
      <c r="F259" s="39" t="s">
        <v>4928</v>
      </c>
      <c r="G259" s="39" t="s">
        <v>4976</v>
      </c>
      <c r="H259" s="39" t="s">
        <v>4977</v>
      </c>
      <c r="I259" s="39" t="s">
        <v>4077</v>
      </c>
      <c r="J259" s="39" t="s">
        <v>29</v>
      </c>
      <c r="N259" s="39"/>
      <c r="O259" s="70"/>
      <c r="P259" s="71"/>
      <c r="Q259" s="72">
        <v>4</v>
      </c>
      <c r="S259" s="43">
        <v>8</v>
      </c>
      <c r="T259" s="70"/>
      <c r="U259" s="73">
        <v>2</v>
      </c>
      <c r="V259" s="74">
        <v>2</v>
      </c>
      <c r="W259" s="75"/>
      <c r="Z259" s="76"/>
      <c r="AC259" s="39" t="s">
        <v>4978</v>
      </c>
      <c r="AD259" s="39"/>
      <c r="AE259" s="39" t="s">
        <v>5072</v>
      </c>
      <c r="AO259" s="39"/>
      <c r="AP259" s="70"/>
      <c r="AQ259" s="71"/>
      <c r="AR259" s="72"/>
      <c r="AU259" s="70"/>
      <c r="AV259" s="77"/>
      <c r="AW259" s="78"/>
      <c r="AX259" s="75"/>
      <c r="BA259" s="76"/>
    </row>
    <row r="260" spans="1:53" ht="48">
      <c r="A260" s="39" t="s">
        <v>4994</v>
      </c>
      <c r="B260" s="39" t="s">
        <v>5023</v>
      </c>
      <c r="C260" s="39" t="s">
        <v>4993</v>
      </c>
      <c r="D260" s="39">
        <v>28</v>
      </c>
      <c r="E260" s="39">
        <v>2</v>
      </c>
      <c r="F260" s="39" t="s">
        <v>4928</v>
      </c>
      <c r="G260" s="39" t="s">
        <v>4979</v>
      </c>
      <c r="J260" s="39" t="s">
        <v>29</v>
      </c>
      <c r="N260" s="39"/>
      <c r="O260" s="70"/>
      <c r="P260" s="71"/>
      <c r="Q260" s="72">
        <v>4</v>
      </c>
      <c r="R260" s="63">
        <v>2</v>
      </c>
      <c r="S260" s="43">
        <v>4</v>
      </c>
      <c r="T260" s="70"/>
      <c r="U260" s="73">
        <v>1</v>
      </c>
      <c r="V260" s="74">
        <v>1</v>
      </c>
      <c r="W260" s="75"/>
      <c r="Z260" s="76"/>
      <c r="AC260" s="39" t="s">
        <v>4980</v>
      </c>
      <c r="AD260" s="39" t="s">
        <v>5073</v>
      </c>
      <c r="AO260" s="39"/>
      <c r="AP260" s="70"/>
      <c r="AQ260" s="71"/>
      <c r="AR260" s="72"/>
      <c r="AU260" s="70"/>
      <c r="AV260" s="77"/>
      <c r="AW260" s="78"/>
      <c r="AX260" s="75"/>
      <c r="BA260" s="76"/>
    </row>
    <row r="261" spans="1:53" ht="48">
      <c r="A261" s="39" t="s">
        <v>4994</v>
      </c>
      <c r="B261" s="39" t="s">
        <v>5024</v>
      </c>
      <c r="C261" s="39" t="s">
        <v>4993</v>
      </c>
      <c r="D261" s="39">
        <v>29</v>
      </c>
      <c r="E261" s="39">
        <v>3</v>
      </c>
      <c r="F261" s="39" t="s">
        <v>4928</v>
      </c>
      <c r="G261" s="39" t="s">
        <v>4981</v>
      </c>
      <c r="J261" s="39" t="s">
        <v>29</v>
      </c>
      <c r="N261" s="39"/>
      <c r="O261" s="70"/>
      <c r="P261" s="71"/>
      <c r="Q261" s="72">
        <v>3</v>
      </c>
      <c r="R261" s="63">
        <v>3</v>
      </c>
      <c r="S261" s="43">
        <v>3</v>
      </c>
      <c r="T261" s="70"/>
      <c r="U261" s="73">
        <v>2</v>
      </c>
      <c r="V261" s="74">
        <v>0</v>
      </c>
      <c r="W261" s="75"/>
      <c r="Z261" s="76"/>
      <c r="AC261" s="39" t="s">
        <v>4297</v>
      </c>
      <c r="AD261" s="39" t="s">
        <v>5677</v>
      </c>
      <c r="AE261" s="39" t="s">
        <v>5676</v>
      </c>
      <c r="AO261" s="39"/>
      <c r="AP261" s="70"/>
      <c r="AQ261" s="71"/>
      <c r="AR261" s="72"/>
      <c r="AU261" s="70"/>
      <c r="AV261" s="77"/>
      <c r="AW261" s="78"/>
      <c r="AX261" s="75"/>
      <c r="BA261" s="76"/>
    </row>
    <row r="262" spans="1:53" ht="48">
      <c r="A262" s="39" t="s">
        <v>4994</v>
      </c>
      <c r="B262" s="69" t="s">
        <v>5025</v>
      </c>
      <c r="C262" s="39" t="s">
        <v>4993</v>
      </c>
      <c r="D262" s="39">
        <v>30</v>
      </c>
      <c r="E262" s="39">
        <v>3</v>
      </c>
      <c r="F262" s="39" t="s">
        <v>4928</v>
      </c>
      <c r="G262" s="39" t="s">
        <v>4982</v>
      </c>
      <c r="J262" s="39" t="s">
        <v>29</v>
      </c>
      <c r="N262" s="39"/>
      <c r="O262" s="70"/>
      <c r="P262" s="71"/>
      <c r="Q262" s="72">
        <v>2</v>
      </c>
      <c r="R262" s="63">
        <v>4</v>
      </c>
      <c r="S262" s="43">
        <v>2</v>
      </c>
      <c r="T262" s="70"/>
      <c r="U262" s="73">
        <v>1</v>
      </c>
      <c r="V262" s="74">
        <v>0</v>
      </c>
      <c r="W262" s="75"/>
      <c r="Z262" s="76"/>
      <c r="AC262" s="39" t="s">
        <v>4983</v>
      </c>
      <c r="AD262" s="39" t="s">
        <v>5669</v>
      </c>
      <c r="AE262" s="39" t="s">
        <v>5678</v>
      </c>
      <c r="AO262" s="39"/>
      <c r="AP262" s="70"/>
      <c r="AQ262" s="71"/>
      <c r="AR262" s="72"/>
      <c r="AU262" s="70"/>
      <c r="AV262" s="77"/>
      <c r="AW262" s="78"/>
      <c r="AX262" s="75"/>
      <c r="BA262" s="76"/>
    </row>
    <row r="263" spans="1:53" ht="60">
      <c r="A263" s="39" t="s">
        <v>4994</v>
      </c>
      <c r="B263" s="39" t="s">
        <v>5026</v>
      </c>
      <c r="C263" s="39" t="s">
        <v>4993</v>
      </c>
      <c r="D263" s="39">
        <v>31</v>
      </c>
      <c r="E263" s="39">
        <v>3</v>
      </c>
      <c r="F263" s="39" t="s">
        <v>4928</v>
      </c>
      <c r="G263" s="39" t="s">
        <v>4984</v>
      </c>
      <c r="J263" s="39" t="s">
        <v>28</v>
      </c>
      <c r="N263" s="39"/>
      <c r="O263" s="70"/>
      <c r="P263" s="71"/>
      <c r="Q263" s="72"/>
      <c r="T263" s="70"/>
      <c r="U263" s="73"/>
      <c r="V263" s="74"/>
      <c r="W263" s="75"/>
      <c r="Z263" s="76"/>
      <c r="AC263" s="39" t="s">
        <v>4309</v>
      </c>
      <c r="AD263" s="39" t="s">
        <v>4582</v>
      </c>
      <c r="AE263" s="39" t="s">
        <v>5679</v>
      </c>
      <c r="AO263" s="39"/>
      <c r="AP263" s="70"/>
      <c r="AQ263" s="71"/>
      <c r="AR263" s="72"/>
      <c r="AU263" s="70"/>
      <c r="AV263" s="77"/>
      <c r="AW263" s="78"/>
      <c r="AX263" s="75"/>
      <c r="BA263" s="76"/>
    </row>
    <row r="264" spans="1:53" ht="24">
      <c r="A264" s="39" t="s">
        <v>4994</v>
      </c>
      <c r="B264" s="39" t="s">
        <v>5027</v>
      </c>
      <c r="C264" s="39" t="s">
        <v>4993</v>
      </c>
      <c r="D264" s="39">
        <v>32</v>
      </c>
      <c r="E264" s="39">
        <v>3</v>
      </c>
      <c r="F264" s="39" t="s">
        <v>4928</v>
      </c>
      <c r="G264" s="39" t="s">
        <v>4985</v>
      </c>
      <c r="J264" s="39" t="s">
        <v>28</v>
      </c>
      <c r="N264" s="39"/>
      <c r="O264" s="70"/>
      <c r="P264" s="71"/>
      <c r="Q264" s="72"/>
      <c r="T264" s="70"/>
      <c r="U264" s="73"/>
      <c r="V264" s="74"/>
      <c r="W264" s="75"/>
      <c r="Z264" s="76"/>
      <c r="AC264" s="39" t="s">
        <v>4986</v>
      </c>
      <c r="AD264" s="39" t="s">
        <v>4582</v>
      </c>
      <c r="AE264" s="39" t="s">
        <v>5680</v>
      </c>
      <c r="AO264" s="39"/>
      <c r="AP264" s="70"/>
      <c r="AQ264" s="71"/>
      <c r="AR264" s="72"/>
      <c r="AU264" s="70"/>
      <c r="AV264" s="77"/>
      <c r="AW264" s="78"/>
      <c r="AX264" s="75"/>
      <c r="BA264" s="76"/>
    </row>
    <row r="265" spans="1:53" ht="48">
      <c r="A265" s="39" t="s">
        <v>4994</v>
      </c>
      <c r="B265" s="39" t="s">
        <v>5028</v>
      </c>
      <c r="C265" s="39" t="s">
        <v>4993</v>
      </c>
      <c r="D265" s="39">
        <v>33</v>
      </c>
      <c r="E265" s="39">
        <v>4</v>
      </c>
      <c r="F265" s="39" t="s">
        <v>4928</v>
      </c>
      <c r="G265" s="39" t="s">
        <v>4987</v>
      </c>
      <c r="J265" s="39" t="s">
        <v>28</v>
      </c>
      <c r="N265" s="39"/>
      <c r="O265" s="70"/>
      <c r="P265" s="71"/>
      <c r="Q265" s="72"/>
      <c r="T265" s="70"/>
      <c r="U265" s="73"/>
      <c r="V265" s="74"/>
      <c r="W265" s="75"/>
      <c r="Z265" s="76"/>
      <c r="AC265" s="39" t="s">
        <v>4311</v>
      </c>
      <c r="AD265" s="39"/>
      <c r="AE265" s="39" t="s">
        <v>5074</v>
      </c>
      <c r="AO265" s="39"/>
      <c r="AP265" s="70"/>
      <c r="AQ265" s="71"/>
      <c r="AR265" s="72"/>
      <c r="AU265" s="70"/>
      <c r="AV265" s="77"/>
      <c r="AW265" s="78"/>
      <c r="AX265" s="75"/>
      <c r="BA265" s="76"/>
    </row>
    <row r="266" spans="1:53" ht="48">
      <c r="A266" s="39" t="s">
        <v>4994</v>
      </c>
      <c r="B266" s="39" t="s">
        <v>5029</v>
      </c>
      <c r="C266" s="39" t="s">
        <v>4993</v>
      </c>
      <c r="D266" s="39">
        <v>34</v>
      </c>
      <c r="E266" s="39">
        <v>2</v>
      </c>
      <c r="F266" s="39" t="s">
        <v>4928</v>
      </c>
      <c r="G266" s="39" t="s">
        <v>4988</v>
      </c>
      <c r="J266" s="39" t="s">
        <v>28</v>
      </c>
      <c r="N266" s="39"/>
      <c r="O266" s="70"/>
      <c r="P266" s="71"/>
      <c r="Q266" s="72"/>
      <c r="T266" s="70"/>
      <c r="U266" s="73"/>
      <c r="V266" s="74"/>
      <c r="W266" s="75"/>
      <c r="Z266" s="76"/>
      <c r="AC266" s="39" t="s">
        <v>4309</v>
      </c>
      <c r="AD266" s="39"/>
      <c r="AE266" s="39" t="s">
        <v>5075</v>
      </c>
      <c r="AO266" s="39"/>
      <c r="AP266" s="70"/>
      <c r="AQ266" s="71"/>
      <c r="AR266" s="72"/>
      <c r="AU266" s="70"/>
      <c r="AV266" s="77"/>
      <c r="AW266" s="78"/>
      <c r="AX266" s="75"/>
      <c r="BA266" s="76"/>
    </row>
    <row r="267" spans="1:53" ht="60">
      <c r="A267" s="39" t="s">
        <v>4994</v>
      </c>
      <c r="B267" s="39" t="s">
        <v>5030</v>
      </c>
      <c r="C267" s="39" t="s">
        <v>4993</v>
      </c>
      <c r="D267" s="39">
        <v>35</v>
      </c>
      <c r="E267" s="39">
        <v>2</v>
      </c>
      <c r="F267" s="39" t="s">
        <v>4928</v>
      </c>
      <c r="G267" s="39" t="s">
        <v>4989</v>
      </c>
      <c r="J267" s="39" t="s">
        <v>28</v>
      </c>
      <c r="N267" s="39"/>
      <c r="O267" s="70"/>
      <c r="P267" s="71"/>
      <c r="Q267" s="72"/>
      <c r="T267" s="70"/>
      <c r="U267" s="73"/>
      <c r="V267" s="74"/>
      <c r="W267" s="75"/>
      <c r="Z267" s="76"/>
      <c r="AC267" s="39" t="s">
        <v>4316</v>
      </c>
      <c r="AD267" s="39"/>
      <c r="AE267" s="39" t="s">
        <v>5076</v>
      </c>
      <c r="AO267" s="39"/>
      <c r="AP267" s="70"/>
      <c r="AQ267" s="71"/>
      <c r="AR267" s="72"/>
      <c r="AU267" s="70"/>
      <c r="AV267" s="77"/>
      <c r="AW267" s="78"/>
      <c r="AX267" s="75"/>
      <c r="BA267" s="76"/>
    </row>
    <row r="268" spans="1:53" ht="36">
      <c r="A268" s="39" t="s">
        <v>4994</v>
      </c>
      <c r="B268" s="39" t="s">
        <v>5031</v>
      </c>
      <c r="C268" s="39" t="s">
        <v>4993</v>
      </c>
      <c r="D268" s="39">
        <v>36</v>
      </c>
      <c r="E268" s="39">
        <v>2</v>
      </c>
      <c r="F268" s="39" t="s">
        <v>4928</v>
      </c>
      <c r="G268" s="39" t="s">
        <v>4990</v>
      </c>
      <c r="J268" s="39" t="s">
        <v>28</v>
      </c>
      <c r="N268" s="39"/>
      <c r="O268" s="70"/>
      <c r="P268" s="71"/>
      <c r="Q268" s="72"/>
      <c r="T268" s="70"/>
      <c r="U268" s="73"/>
      <c r="V268" s="74"/>
      <c r="W268" s="75"/>
      <c r="Z268" s="76"/>
      <c r="AC268" s="39" t="s">
        <v>4991</v>
      </c>
      <c r="AD268" s="39"/>
      <c r="AE268" s="39" t="s">
        <v>5077</v>
      </c>
      <c r="AO268" s="39"/>
      <c r="AP268" s="70"/>
      <c r="AQ268" s="71"/>
      <c r="AR268" s="72"/>
      <c r="AU268" s="70"/>
      <c r="AV268" s="77"/>
      <c r="AW268" s="78"/>
      <c r="AX268" s="75"/>
      <c r="BA268" s="76"/>
    </row>
    <row r="269" spans="1:53" ht="72">
      <c r="A269" s="39" t="s">
        <v>4994</v>
      </c>
      <c r="B269" s="39" t="s">
        <v>5032</v>
      </c>
      <c r="C269" s="39" t="s">
        <v>4993</v>
      </c>
      <c r="D269" s="39">
        <v>37</v>
      </c>
      <c r="E269" s="39">
        <v>2</v>
      </c>
      <c r="F269" s="39" t="s">
        <v>4928</v>
      </c>
      <c r="G269" s="39" t="s">
        <v>4992</v>
      </c>
      <c r="J269" s="39" t="s">
        <v>28</v>
      </c>
      <c r="N269" s="39"/>
      <c r="O269" s="70"/>
      <c r="P269" s="71"/>
      <c r="Q269" s="72"/>
      <c r="T269" s="70"/>
      <c r="U269" s="73"/>
      <c r="V269" s="74"/>
      <c r="W269" s="75"/>
      <c r="Z269" s="76"/>
      <c r="AC269" s="39" t="s">
        <v>4309</v>
      </c>
      <c r="AD269" s="39"/>
      <c r="AE269" s="39" t="s">
        <v>5078</v>
      </c>
      <c r="AO269" s="39"/>
      <c r="AP269" s="70"/>
      <c r="AQ269" s="71"/>
      <c r="AR269" s="72"/>
      <c r="AU269" s="70"/>
      <c r="AV269" s="77"/>
      <c r="AW269" s="78"/>
      <c r="AX269" s="75"/>
      <c r="BA269" s="76"/>
    </row>
    <row r="270" spans="1:53">
      <c r="A270" s="39" t="s">
        <v>4994</v>
      </c>
      <c r="B270" s="39" t="s">
        <v>5033</v>
      </c>
      <c r="C270" s="39" t="s">
        <v>4993</v>
      </c>
      <c r="D270" s="39">
        <v>38</v>
      </c>
      <c r="E270" s="39">
        <v>1</v>
      </c>
      <c r="F270" s="39" t="s">
        <v>4928</v>
      </c>
      <c r="G270" s="39" t="s">
        <v>4896</v>
      </c>
      <c r="J270" s="39" t="s">
        <v>4900</v>
      </c>
      <c r="N270" s="39"/>
      <c r="O270" s="70"/>
      <c r="P270" s="71"/>
      <c r="Q270" s="72"/>
      <c r="T270" s="70"/>
      <c r="U270" s="73"/>
      <c r="V270" s="74"/>
      <c r="W270" s="75"/>
      <c r="Z270" s="76"/>
      <c r="AD270" s="39"/>
      <c r="AH270" s="39" t="s">
        <v>4901</v>
      </c>
      <c r="AK270" s="39" t="s">
        <v>4900</v>
      </c>
      <c r="AO270" s="39"/>
      <c r="AP270" s="70"/>
      <c r="AQ270" s="71"/>
      <c r="AR270" s="72"/>
      <c r="AU270" s="70"/>
      <c r="AV270" s="77"/>
      <c r="AW270" s="78"/>
      <c r="AX270" s="75"/>
      <c r="BA270" s="76"/>
    </row>
    <row r="271" spans="1:53">
      <c r="A271" s="39" t="s">
        <v>4994</v>
      </c>
      <c r="B271" s="39" t="s">
        <v>5038</v>
      </c>
      <c r="C271" s="39" t="s">
        <v>4993</v>
      </c>
      <c r="D271" s="39">
        <v>39</v>
      </c>
      <c r="E271" s="39">
        <v>1</v>
      </c>
      <c r="F271" s="39" t="s">
        <v>4928</v>
      </c>
      <c r="G271" s="39" t="s">
        <v>4897</v>
      </c>
      <c r="J271" s="39" t="s">
        <v>4900</v>
      </c>
      <c r="N271" s="39"/>
      <c r="O271" s="70"/>
      <c r="P271" s="71"/>
      <c r="Q271" s="72"/>
      <c r="T271" s="70"/>
      <c r="U271" s="73"/>
      <c r="V271" s="74"/>
      <c r="W271" s="75"/>
      <c r="Z271" s="76"/>
      <c r="AD271" s="39"/>
      <c r="AH271" s="39" t="s">
        <v>4902</v>
      </c>
      <c r="AK271" s="39" t="s">
        <v>4900</v>
      </c>
      <c r="AO271" s="39"/>
      <c r="AP271" s="70"/>
      <c r="AQ271" s="71"/>
      <c r="AR271" s="72"/>
      <c r="AU271" s="70"/>
      <c r="AV271" s="77"/>
      <c r="AW271" s="78"/>
      <c r="AX271" s="75"/>
      <c r="BA271" s="76"/>
    </row>
    <row r="272" spans="1:53">
      <c r="A272" s="39" t="s">
        <v>4994</v>
      </c>
      <c r="B272" s="39" t="s">
        <v>5039</v>
      </c>
      <c r="C272" s="39" t="s">
        <v>4993</v>
      </c>
      <c r="D272" s="39">
        <v>40</v>
      </c>
      <c r="E272" s="39">
        <v>1</v>
      </c>
      <c r="F272" s="39" t="s">
        <v>4928</v>
      </c>
      <c r="G272" s="39" t="s">
        <v>4898</v>
      </c>
      <c r="J272" s="39" t="s">
        <v>4900</v>
      </c>
      <c r="N272" s="39"/>
      <c r="O272" s="70"/>
      <c r="P272" s="71"/>
      <c r="Q272" s="72"/>
      <c r="T272" s="70"/>
      <c r="U272" s="73"/>
      <c r="V272" s="74"/>
      <c r="W272" s="75"/>
      <c r="Z272" s="76"/>
      <c r="AD272" s="39"/>
      <c r="AH272" s="39" t="s">
        <v>4903</v>
      </c>
      <c r="AK272" s="39" t="s">
        <v>4900</v>
      </c>
      <c r="AO272" s="39"/>
      <c r="AP272" s="70"/>
      <c r="AQ272" s="71"/>
      <c r="AR272" s="72"/>
      <c r="AU272" s="70"/>
      <c r="AV272" s="77"/>
      <c r="AW272" s="78"/>
      <c r="AX272" s="75"/>
      <c r="BA272" s="76"/>
    </row>
    <row r="273" spans="1:58">
      <c r="A273" s="39" t="s">
        <v>4994</v>
      </c>
      <c r="B273" s="39" t="s">
        <v>5040</v>
      </c>
      <c r="C273" s="39" t="s">
        <v>4993</v>
      </c>
      <c r="D273" s="39">
        <v>41</v>
      </c>
      <c r="E273" s="39">
        <v>1</v>
      </c>
      <c r="F273" s="39" t="s">
        <v>4928</v>
      </c>
      <c r="G273" s="39" t="s">
        <v>4899</v>
      </c>
      <c r="J273" s="39" t="s">
        <v>4900</v>
      </c>
      <c r="N273" s="39"/>
      <c r="O273" s="70"/>
      <c r="P273" s="71"/>
      <c r="Q273" s="72"/>
      <c r="T273" s="70"/>
      <c r="U273" s="73"/>
      <c r="V273" s="74"/>
      <c r="W273" s="75"/>
      <c r="Z273" s="76"/>
      <c r="AD273" s="39"/>
      <c r="AH273" s="39" t="s">
        <v>4904</v>
      </c>
      <c r="AK273" s="39" t="s">
        <v>4900</v>
      </c>
      <c r="AO273" s="39"/>
      <c r="AP273" s="70"/>
      <c r="AQ273" s="71"/>
      <c r="AR273" s="72"/>
      <c r="AU273" s="70"/>
      <c r="AV273" s="77"/>
      <c r="AW273" s="78"/>
      <c r="AX273" s="75"/>
      <c r="BA273" s="76"/>
    </row>
    <row r="274" spans="1:58">
      <c r="A274" s="39" t="s">
        <v>4994</v>
      </c>
      <c r="B274" s="39" t="s">
        <v>5041</v>
      </c>
      <c r="C274" s="39" t="s">
        <v>4993</v>
      </c>
      <c r="D274" s="39">
        <v>42</v>
      </c>
      <c r="E274" s="39">
        <v>1</v>
      </c>
      <c r="F274" s="39" t="s">
        <v>4928</v>
      </c>
      <c r="G274" s="39" t="s">
        <v>5034</v>
      </c>
      <c r="J274" s="39" t="s">
        <v>4900</v>
      </c>
      <c r="N274" s="39"/>
      <c r="O274" s="70"/>
      <c r="P274" s="71"/>
      <c r="Q274" s="72"/>
      <c r="T274" s="70"/>
      <c r="U274" s="73"/>
      <c r="V274" s="74"/>
      <c r="W274" s="75"/>
      <c r="Z274" s="76"/>
      <c r="AD274" s="39"/>
      <c r="AH274" s="39" t="s">
        <v>5036</v>
      </c>
      <c r="AK274" s="39" t="s">
        <v>4900</v>
      </c>
      <c r="AO274" s="39"/>
      <c r="AP274" s="70"/>
      <c r="AQ274" s="71"/>
      <c r="AR274" s="72"/>
      <c r="AU274" s="70"/>
      <c r="AV274" s="77"/>
      <c r="AW274" s="78"/>
      <c r="AX274" s="75"/>
      <c r="BA274" s="76"/>
    </row>
    <row r="275" spans="1:58">
      <c r="A275" s="39" t="s">
        <v>4994</v>
      </c>
      <c r="B275" s="39" t="s">
        <v>5042</v>
      </c>
      <c r="C275" s="39" t="s">
        <v>4993</v>
      </c>
      <c r="D275" s="39">
        <v>43</v>
      </c>
      <c r="E275" s="39">
        <v>1</v>
      </c>
      <c r="F275" s="39" t="s">
        <v>4928</v>
      </c>
      <c r="G275" s="39" t="s">
        <v>5035</v>
      </c>
      <c r="J275" s="39" t="s">
        <v>4900</v>
      </c>
      <c r="N275" s="39"/>
      <c r="O275" s="70"/>
      <c r="P275" s="71"/>
      <c r="Q275" s="72"/>
      <c r="T275" s="70"/>
      <c r="U275" s="73"/>
      <c r="V275" s="74"/>
      <c r="W275" s="75"/>
      <c r="Z275" s="76"/>
      <c r="AD275" s="39"/>
      <c r="AH275" s="39" t="s">
        <v>5037</v>
      </c>
      <c r="AK275" s="39" t="s">
        <v>4900</v>
      </c>
      <c r="AO275" s="39"/>
      <c r="AP275" s="70"/>
      <c r="AQ275" s="71"/>
      <c r="AR275" s="72"/>
      <c r="AU275" s="70"/>
      <c r="AV275" s="77"/>
      <c r="AW275" s="78"/>
      <c r="AX275" s="75"/>
      <c r="BA275" s="76"/>
    </row>
    <row r="276" spans="1:58" ht="60">
      <c r="A276" s="39" t="s">
        <v>5084</v>
      </c>
      <c r="B276" s="39" t="s">
        <v>5087</v>
      </c>
      <c r="C276" s="39" t="s">
        <v>5088</v>
      </c>
      <c r="D276" s="39">
        <v>1</v>
      </c>
      <c r="E276" s="39">
        <v>1</v>
      </c>
      <c r="G276" s="39" t="s">
        <v>5089</v>
      </c>
      <c r="H276" s="39" t="s">
        <v>5090</v>
      </c>
      <c r="I276" s="39" t="s">
        <v>4077</v>
      </c>
      <c r="J276" s="39" t="s">
        <v>4057</v>
      </c>
      <c r="K276" s="39" t="s">
        <v>4052</v>
      </c>
      <c r="N276" s="39"/>
      <c r="O276" s="70">
        <v>4</v>
      </c>
      <c r="P276" s="71">
        <v>2</v>
      </c>
      <c r="Q276" s="72">
        <v>4</v>
      </c>
      <c r="R276" s="63">
        <v>2</v>
      </c>
      <c r="S276" s="43">
        <v>9</v>
      </c>
      <c r="T276" s="70">
        <v>6</v>
      </c>
      <c r="U276" s="73"/>
      <c r="V276" s="74"/>
      <c r="W276" s="75"/>
      <c r="Z276" s="76"/>
      <c r="AC276" s="39" t="s">
        <v>5091</v>
      </c>
      <c r="AD276" s="39"/>
      <c r="AE276" s="39" t="s">
        <v>5092</v>
      </c>
      <c r="AH276" s="39" t="s">
        <v>5089</v>
      </c>
      <c r="AI276" s="39" t="s">
        <v>5090</v>
      </c>
      <c r="AJ276" s="39" t="s">
        <v>4077</v>
      </c>
      <c r="AK276" s="39" t="s">
        <v>5043</v>
      </c>
      <c r="AL276" s="39" t="s">
        <v>5093</v>
      </c>
      <c r="AO276" s="39"/>
      <c r="AP276" s="70"/>
      <c r="AQ276" s="71"/>
      <c r="AR276" s="72"/>
      <c r="AU276" s="70"/>
      <c r="AV276" s="77"/>
      <c r="AW276" s="78"/>
      <c r="AX276" s="75"/>
      <c r="BA276" s="76"/>
      <c r="BD276" s="39" t="s">
        <v>5091</v>
      </c>
      <c r="BF276" s="39" t="s">
        <v>5751</v>
      </c>
    </row>
    <row r="277" spans="1:58" ht="72">
      <c r="A277" s="39" t="s">
        <v>5084</v>
      </c>
      <c r="B277" s="39" t="s">
        <v>5094</v>
      </c>
      <c r="C277" s="39" t="s">
        <v>5088</v>
      </c>
      <c r="D277" s="39">
        <v>2</v>
      </c>
      <c r="E277" s="39">
        <v>1</v>
      </c>
      <c r="G277" s="39" t="s">
        <v>5095</v>
      </c>
      <c r="H277" s="39" t="s">
        <v>5096</v>
      </c>
      <c r="I277" s="39" t="s">
        <v>4077</v>
      </c>
      <c r="J277" s="39" t="s">
        <v>4057</v>
      </c>
      <c r="K277" s="39" t="s">
        <v>4053</v>
      </c>
      <c r="N277" s="39"/>
      <c r="O277" s="70">
        <v>3</v>
      </c>
      <c r="P277" s="71">
        <v>4</v>
      </c>
      <c r="Q277" s="72">
        <v>2</v>
      </c>
      <c r="R277" s="63">
        <v>3</v>
      </c>
      <c r="S277" s="43">
        <v>6</v>
      </c>
      <c r="T277" s="70">
        <v>9</v>
      </c>
      <c r="U277" s="73"/>
      <c r="V277" s="74"/>
      <c r="W277" s="75"/>
      <c r="Z277" s="76"/>
      <c r="AC277" s="39" t="s">
        <v>5097</v>
      </c>
      <c r="AD277" s="39"/>
      <c r="AE277" s="39" t="s">
        <v>5098</v>
      </c>
      <c r="AH277" s="39" t="s">
        <v>5095</v>
      </c>
      <c r="AI277" s="39" t="s">
        <v>5096</v>
      </c>
      <c r="AJ277" s="39" t="s">
        <v>4077</v>
      </c>
      <c r="AK277" s="39" t="s">
        <v>5043</v>
      </c>
      <c r="AL277" s="39" t="s">
        <v>5099</v>
      </c>
      <c r="AO277" s="39"/>
      <c r="AP277" s="70"/>
      <c r="AQ277" s="71"/>
      <c r="AR277" s="72"/>
      <c r="AU277" s="70"/>
      <c r="AV277" s="77"/>
      <c r="AW277" s="78"/>
      <c r="AX277" s="75"/>
      <c r="BA277" s="76"/>
      <c r="BD277" s="39" t="s">
        <v>5097</v>
      </c>
      <c r="BF277" s="39" t="s">
        <v>5760</v>
      </c>
    </row>
    <row r="278" spans="1:58" ht="72">
      <c r="A278" s="39" t="s">
        <v>5084</v>
      </c>
      <c r="B278" s="39" t="s">
        <v>5100</v>
      </c>
      <c r="C278" s="39" t="s">
        <v>5088</v>
      </c>
      <c r="D278" s="39">
        <v>3</v>
      </c>
      <c r="E278" s="39">
        <v>1</v>
      </c>
      <c r="G278" s="39" t="s">
        <v>5101</v>
      </c>
      <c r="H278" s="39" t="s">
        <v>5102</v>
      </c>
      <c r="I278" s="39" t="s">
        <v>4077</v>
      </c>
      <c r="J278" s="39" t="s">
        <v>4057</v>
      </c>
      <c r="K278" s="39" t="s">
        <v>4055</v>
      </c>
      <c r="N278" s="39"/>
      <c r="O278" s="70">
        <v>3</v>
      </c>
      <c r="P278" s="71">
        <v>3</v>
      </c>
      <c r="Q278" s="72">
        <v>3</v>
      </c>
      <c r="R278" s="63">
        <v>3</v>
      </c>
      <c r="S278" s="43">
        <v>8</v>
      </c>
      <c r="T278" s="70">
        <v>7</v>
      </c>
      <c r="U278" s="73"/>
      <c r="V278" s="74"/>
      <c r="W278" s="75"/>
      <c r="Z278" s="76"/>
      <c r="AC278" s="39" t="s">
        <v>4108</v>
      </c>
      <c r="AD278" s="39"/>
      <c r="AE278" s="39" t="s">
        <v>5103</v>
      </c>
      <c r="AH278" s="39" t="s">
        <v>5101</v>
      </c>
      <c r="AI278" s="39" t="s">
        <v>5102</v>
      </c>
      <c r="AJ278" s="39" t="s">
        <v>4077</v>
      </c>
      <c r="AK278" s="39" t="s">
        <v>5043</v>
      </c>
      <c r="AL278" s="39" t="s">
        <v>5104</v>
      </c>
      <c r="AO278" s="39"/>
      <c r="AP278" s="70"/>
      <c r="AQ278" s="71"/>
      <c r="AR278" s="72"/>
      <c r="AU278" s="70"/>
      <c r="AV278" s="77"/>
      <c r="AW278" s="78"/>
      <c r="AX278" s="75"/>
      <c r="BA278" s="76"/>
      <c r="BD278" s="39" t="s">
        <v>4108</v>
      </c>
      <c r="BF278" s="39" t="s">
        <v>5753</v>
      </c>
    </row>
    <row r="279" spans="1:58" ht="60">
      <c r="A279" s="39" t="s">
        <v>5084</v>
      </c>
      <c r="B279" s="39" t="s">
        <v>5105</v>
      </c>
      <c r="C279" s="39" t="s">
        <v>5088</v>
      </c>
      <c r="D279" s="39">
        <v>4</v>
      </c>
      <c r="E279" s="39">
        <v>1</v>
      </c>
      <c r="G279" s="39" t="s">
        <v>5106</v>
      </c>
      <c r="H279" s="39" t="s">
        <v>5107</v>
      </c>
      <c r="I279" s="39" t="s">
        <v>4077</v>
      </c>
      <c r="J279" s="39" t="s">
        <v>4057</v>
      </c>
      <c r="K279" s="39" t="s">
        <v>4054</v>
      </c>
      <c r="N279" s="39"/>
      <c r="O279" s="70">
        <v>4</v>
      </c>
      <c r="P279" s="71">
        <v>3</v>
      </c>
      <c r="Q279" s="72">
        <v>3</v>
      </c>
      <c r="R279" s="63">
        <v>2</v>
      </c>
      <c r="S279" s="43">
        <v>7</v>
      </c>
      <c r="T279" s="70">
        <v>8</v>
      </c>
      <c r="U279" s="73"/>
      <c r="V279" s="74"/>
      <c r="W279" s="75"/>
      <c r="Z279" s="76"/>
      <c r="AC279" s="39" t="s">
        <v>5108</v>
      </c>
      <c r="AD279" s="39"/>
      <c r="AE279" s="39" t="s">
        <v>5109</v>
      </c>
      <c r="AH279" s="39" t="s">
        <v>5106</v>
      </c>
      <c r="AI279" s="39" t="s">
        <v>5107</v>
      </c>
      <c r="AJ279" s="39" t="s">
        <v>4077</v>
      </c>
      <c r="AK279" s="39" t="s">
        <v>5043</v>
      </c>
      <c r="AL279" s="39" t="s">
        <v>5044</v>
      </c>
      <c r="AO279" s="39"/>
      <c r="AP279" s="70"/>
      <c r="AQ279" s="71"/>
      <c r="AR279" s="72"/>
      <c r="AU279" s="70"/>
      <c r="AV279" s="77"/>
      <c r="AW279" s="78"/>
      <c r="AX279" s="75"/>
      <c r="BA279" s="76"/>
      <c r="BD279" s="39" t="s">
        <v>5108</v>
      </c>
      <c r="BF279" s="39" t="s">
        <v>5752</v>
      </c>
    </row>
    <row r="280" spans="1:58" ht="60">
      <c r="A280" s="39" t="s">
        <v>5084</v>
      </c>
      <c r="B280" s="39" t="s">
        <v>5110</v>
      </c>
      <c r="C280" s="39" t="s">
        <v>5088</v>
      </c>
      <c r="D280" s="39">
        <v>5</v>
      </c>
      <c r="E280" s="39">
        <v>1</v>
      </c>
      <c r="G280" s="39" t="s">
        <v>5111</v>
      </c>
      <c r="H280" s="39" t="s">
        <v>5112</v>
      </c>
      <c r="I280" s="39" t="s">
        <v>4077</v>
      </c>
      <c r="J280" s="39" t="s">
        <v>4057</v>
      </c>
      <c r="K280" s="39" t="s">
        <v>4056</v>
      </c>
      <c r="N280" s="39"/>
      <c r="O280" s="70">
        <v>4</v>
      </c>
      <c r="P280" s="71">
        <v>2</v>
      </c>
      <c r="Q280" s="72">
        <v>2</v>
      </c>
      <c r="R280" s="63">
        <v>3</v>
      </c>
      <c r="S280" s="43">
        <v>6</v>
      </c>
      <c r="T280" s="70">
        <v>5</v>
      </c>
      <c r="U280" s="73"/>
      <c r="V280" s="74"/>
      <c r="W280" s="75"/>
      <c r="Z280" s="76"/>
      <c r="AC280" s="39" t="s">
        <v>4108</v>
      </c>
      <c r="AD280" s="39"/>
      <c r="AE280" s="39" t="s">
        <v>5113</v>
      </c>
      <c r="AH280" s="39" t="s">
        <v>5111</v>
      </c>
      <c r="AI280" s="39" t="s">
        <v>5112</v>
      </c>
      <c r="AJ280" s="39" t="s">
        <v>4077</v>
      </c>
      <c r="AK280" s="39" t="s">
        <v>5043</v>
      </c>
      <c r="AL280" s="39" t="s">
        <v>5114</v>
      </c>
      <c r="AO280" s="39"/>
      <c r="AP280" s="70"/>
      <c r="AQ280" s="71"/>
      <c r="AR280" s="72"/>
      <c r="AU280" s="70"/>
      <c r="AV280" s="77"/>
      <c r="AW280" s="78"/>
      <c r="AX280" s="75"/>
      <c r="BA280" s="76"/>
      <c r="BD280" s="39" t="s">
        <v>4108</v>
      </c>
      <c r="BF280" s="39" t="s">
        <v>5754</v>
      </c>
    </row>
    <row r="281" spans="1:58" ht="36">
      <c r="A281" s="39" t="s">
        <v>5084</v>
      </c>
      <c r="B281" s="39" t="s">
        <v>5115</v>
      </c>
      <c r="C281" s="39" t="s">
        <v>5088</v>
      </c>
      <c r="D281" s="39">
        <v>6</v>
      </c>
      <c r="E281" s="39">
        <v>1</v>
      </c>
      <c r="G281" s="39" t="s">
        <v>5116</v>
      </c>
      <c r="H281" s="39" t="s">
        <v>5117</v>
      </c>
      <c r="I281" s="39" t="s">
        <v>4077</v>
      </c>
      <c r="J281" s="39" t="s">
        <v>4111</v>
      </c>
      <c r="K281" s="39" t="s">
        <v>26</v>
      </c>
      <c r="N281" s="39">
        <v>1</v>
      </c>
      <c r="O281" s="70"/>
      <c r="P281" s="71"/>
      <c r="Q281" s="72"/>
      <c r="T281" s="70"/>
      <c r="U281" s="73"/>
      <c r="V281" s="74"/>
      <c r="W281" s="75"/>
      <c r="Z281" s="76"/>
      <c r="AA281" s="39" t="s">
        <v>5118</v>
      </c>
      <c r="AB281" s="39" t="s">
        <v>4127</v>
      </c>
      <c r="AC281" s="39" t="s">
        <v>4216</v>
      </c>
      <c r="AD281" s="39" t="s">
        <v>5682</v>
      </c>
      <c r="AE281" s="39" t="s">
        <v>5681</v>
      </c>
      <c r="AO281" s="39"/>
      <c r="AP281" s="70"/>
      <c r="AQ281" s="71"/>
      <c r="AR281" s="72"/>
      <c r="AU281" s="70"/>
      <c r="AV281" s="77"/>
      <c r="AW281" s="78"/>
      <c r="AX281" s="75"/>
      <c r="BA281" s="76"/>
    </row>
    <row r="282" spans="1:58" ht="60">
      <c r="A282" s="39" t="s">
        <v>5084</v>
      </c>
      <c r="B282" s="39" t="s">
        <v>5119</v>
      </c>
      <c r="C282" s="39" t="s">
        <v>5088</v>
      </c>
      <c r="D282" s="39">
        <v>7</v>
      </c>
      <c r="E282" s="39">
        <v>1</v>
      </c>
      <c r="G282" s="39" t="s">
        <v>5120</v>
      </c>
      <c r="J282" s="39" t="s">
        <v>28</v>
      </c>
      <c r="K282" s="39" t="s">
        <v>26</v>
      </c>
      <c r="M282" s="39" t="s">
        <v>4919</v>
      </c>
      <c r="N282" s="39"/>
      <c r="O282" s="70"/>
      <c r="P282" s="71"/>
      <c r="Q282" s="72"/>
      <c r="T282" s="70"/>
      <c r="U282" s="73"/>
      <c r="V282" s="74"/>
      <c r="W282" s="75"/>
      <c r="Z282" s="76"/>
      <c r="AC282" s="39" t="s">
        <v>4115</v>
      </c>
      <c r="AD282" s="39"/>
      <c r="AE282" s="39" t="s">
        <v>5121</v>
      </c>
      <c r="AO282" s="39"/>
      <c r="AP282" s="70"/>
      <c r="AQ282" s="71"/>
      <c r="AR282" s="72"/>
      <c r="AU282" s="70"/>
      <c r="AV282" s="77"/>
      <c r="AW282" s="78"/>
      <c r="AX282" s="75"/>
      <c r="BA282" s="76"/>
    </row>
    <row r="283" spans="1:58" ht="24">
      <c r="A283" s="39" t="s">
        <v>5084</v>
      </c>
      <c r="B283" s="39" t="s">
        <v>5122</v>
      </c>
      <c r="C283" s="39" t="s">
        <v>5088</v>
      </c>
      <c r="D283" s="39">
        <v>8</v>
      </c>
      <c r="E283" s="39">
        <v>1</v>
      </c>
      <c r="G283" s="39" t="s">
        <v>5123</v>
      </c>
      <c r="J283" s="39" t="s">
        <v>27</v>
      </c>
      <c r="K283" s="39" t="s">
        <v>26</v>
      </c>
      <c r="N283" s="39">
        <v>1</v>
      </c>
      <c r="O283" s="70"/>
      <c r="P283" s="71"/>
      <c r="Q283" s="72"/>
      <c r="T283" s="70"/>
      <c r="U283" s="73"/>
      <c r="V283" s="74"/>
      <c r="W283" s="75"/>
      <c r="Z283" s="76"/>
      <c r="AA283" s="39" t="s">
        <v>5124</v>
      </c>
      <c r="AC283" s="39" t="s">
        <v>4185</v>
      </c>
      <c r="AD283" s="39" t="s">
        <v>5684</v>
      </c>
      <c r="AE283" s="39" t="s">
        <v>5683</v>
      </c>
      <c r="AO283" s="39"/>
      <c r="AP283" s="70"/>
      <c r="AQ283" s="71"/>
      <c r="AR283" s="72"/>
      <c r="AU283" s="70"/>
      <c r="AV283" s="77"/>
      <c r="AW283" s="78"/>
      <c r="AX283" s="75"/>
      <c r="BA283" s="76"/>
    </row>
    <row r="284" spans="1:58" ht="60">
      <c r="A284" s="39" t="s">
        <v>5084</v>
      </c>
      <c r="B284" s="39" t="s">
        <v>5125</v>
      </c>
      <c r="C284" s="39" t="s">
        <v>5088</v>
      </c>
      <c r="D284" s="39">
        <v>9</v>
      </c>
      <c r="E284" s="39">
        <v>1</v>
      </c>
      <c r="G284" s="39" t="s">
        <v>5126</v>
      </c>
      <c r="J284" s="39" t="s">
        <v>28</v>
      </c>
      <c r="K284" s="39" t="s">
        <v>26</v>
      </c>
      <c r="M284" s="39" t="s">
        <v>4919</v>
      </c>
      <c r="N284" s="39"/>
      <c r="O284" s="70"/>
      <c r="P284" s="71"/>
      <c r="Q284" s="72"/>
      <c r="T284" s="70"/>
      <c r="U284" s="73"/>
      <c r="V284" s="74"/>
      <c r="W284" s="75"/>
      <c r="Z284" s="76"/>
      <c r="AC284" s="39" t="s">
        <v>4269</v>
      </c>
      <c r="AD284" s="39"/>
      <c r="AE284" s="39" t="s">
        <v>5127</v>
      </c>
      <c r="AO284" s="39"/>
      <c r="AP284" s="70"/>
      <c r="AQ284" s="71"/>
      <c r="AR284" s="72"/>
      <c r="AU284" s="70"/>
      <c r="AV284" s="77"/>
      <c r="AW284" s="78"/>
      <c r="AX284" s="75"/>
      <c r="BA284" s="76"/>
    </row>
    <row r="285" spans="1:58" ht="24">
      <c r="A285" s="39" t="s">
        <v>5084</v>
      </c>
      <c r="B285" s="39" t="s">
        <v>5128</v>
      </c>
      <c r="C285" s="39" t="s">
        <v>5088</v>
      </c>
      <c r="D285" s="39">
        <v>10</v>
      </c>
      <c r="E285" s="39">
        <v>1</v>
      </c>
      <c r="G285" s="39" t="s">
        <v>5129</v>
      </c>
      <c r="H285" s="39" t="s">
        <v>5130</v>
      </c>
      <c r="I285" s="39" t="s">
        <v>4077</v>
      </c>
      <c r="J285" s="39" t="s">
        <v>4111</v>
      </c>
      <c r="K285" s="39" t="s">
        <v>26</v>
      </c>
      <c r="N285" s="39"/>
      <c r="O285" s="70"/>
      <c r="P285" s="71"/>
      <c r="Q285" s="72"/>
      <c r="T285" s="70"/>
      <c r="U285" s="73"/>
      <c r="V285" s="74"/>
      <c r="W285" s="75"/>
      <c r="Z285" s="76"/>
      <c r="AA285" s="39" t="s">
        <v>5131</v>
      </c>
      <c r="AB285" s="39" t="s">
        <v>4169</v>
      </c>
      <c r="AC285" s="39" t="s">
        <v>4113</v>
      </c>
      <c r="AD285" s="39" t="s">
        <v>5686</v>
      </c>
      <c r="AE285" s="39" t="s">
        <v>5685</v>
      </c>
      <c r="AO285" s="39"/>
      <c r="AP285" s="70"/>
      <c r="AQ285" s="71"/>
      <c r="AR285" s="72"/>
      <c r="AU285" s="70"/>
      <c r="AV285" s="77"/>
      <c r="AW285" s="78"/>
      <c r="AX285" s="75"/>
      <c r="BA285" s="76"/>
    </row>
    <row r="286" spans="1:58" ht="72">
      <c r="A286" s="39" t="s">
        <v>5084</v>
      </c>
      <c r="B286" s="39" t="s">
        <v>5132</v>
      </c>
      <c r="C286" s="39" t="s">
        <v>5088</v>
      </c>
      <c r="D286" s="39">
        <v>11</v>
      </c>
      <c r="E286" s="39">
        <v>1</v>
      </c>
      <c r="G286" s="39" t="s">
        <v>5133</v>
      </c>
      <c r="J286" s="39" t="s">
        <v>28</v>
      </c>
      <c r="K286" s="39" t="s">
        <v>26</v>
      </c>
      <c r="M286" s="39" t="s">
        <v>4919</v>
      </c>
      <c r="N286" s="39"/>
      <c r="O286" s="70"/>
      <c r="P286" s="71"/>
      <c r="Q286" s="72"/>
      <c r="T286" s="70"/>
      <c r="U286" s="73"/>
      <c r="V286" s="74"/>
      <c r="W286" s="75"/>
      <c r="Z286" s="76"/>
      <c r="AC286" s="39" t="s">
        <v>4115</v>
      </c>
      <c r="AD286" s="39"/>
      <c r="AE286" s="39" t="s">
        <v>5134</v>
      </c>
      <c r="AO286" s="39"/>
      <c r="AP286" s="70"/>
      <c r="AQ286" s="71"/>
      <c r="AR286" s="72"/>
      <c r="AU286" s="70"/>
      <c r="AV286" s="77"/>
      <c r="AW286" s="78"/>
      <c r="AX286" s="75"/>
      <c r="BA286" s="76"/>
    </row>
    <row r="287" spans="1:58" ht="36">
      <c r="A287" s="39" t="s">
        <v>5084</v>
      </c>
      <c r="B287" s="39" t="s">
        <v>5135</v>
      </c>
      <c r="C287" s="39" t="s">
        <v>5088</v>
      </c>
      <c r="D287" s="39">
        <v>12</v>
      </c>
      <c r="E287" s="39">
        <v>1</v>
      </c>
      <c r="G287" s="39" t="s">
        <v>5136</v>
      </c>
      <c r="H287" s="39" t="s">
        <v>5137</v>
      </c>
      <c r="I287" s="39" t="s">
        <v>4077</v>
      </c>
      <c r="J287" s="39" t="s">
        <v>4111</v>
      </c>
      <c r="K287" s="39" t="s">
        <v>26</v>
      </c>
      <c r="N287" s="39">
        <v>2</v>
      </c>
      <c r="O287" s="70"/>
      <c r="P287" s="71"/>
      <c r="Q287" s="72"/>
      <c r="T287" s="70"/>
      <c r="U287" s="73"/>
      <c r="V287" s="74"/>
      <c r="W287" s="75"/>
      <c r="Z287" s="76"/>
      <c r="AA287" s="39" t="s">
        <v>5138</v>
      </c>
      <c r="AB287" s="39" t="s">
        <v>4112</v>
      </c>
      <c r="AC287" s="39" t="s">
        <v>5139</v>
      </c>
      <c r="AD287" s="39" t="s">
        <v>5688</v>
      </c>
      <c r="AE287" s="39" t="s">
        <v>5687</v>
      </c>
      <c r="AO287" s="39"/>
      <c r="AP287" s="70"/>
      <c r="AQ287" s="71"/>
      <c r="AR287" s="72"/>
      <c r="AU287" s="70"/>
      <c r="AV287" s="77"/>
      <c r="AW287" s="78"/>
      <c r="AX287" s="75"/>
      <c r="BA287" s="76"/>
    </row>
    <row r="288" spans="1:58" ht="24">
      <c r="A288" s="39" t="s">
        <v>5084</v>
      </c>
      <c r="B288" s="39" t="s">
        <v>5140</v>
      </c>
      <c r="C288" s="39" t="s">
        <v>5088</v>
      </c>
      <c r="D288" s="39">
        <v>13</v>
      </c>
      <c r="E288" s="39">
        <v>1</v>
      </c>
      <c r="G288" s="39" t="s">
        <v>5141</v>
      </c>
      <c r="J288" s="39" t="s">
        <v>28</v>
      </c>
      <c r="K288" s="39" t="s">
        <v>26</v>
      </c>
      <c r="M288" s="39" t="s">
        <v>4919</v>
      </c>
      <c r="N288" s="39"/>
      <c r="O288" s="70"/>
      <c r="P288" s="71"/>
      <c r="Q288" s="72"/>
      <c r="T288" s="70"/>
      <c r="U288" s="73"/>
      <c r="V288" s="74"/>
      <c r="W288" s="75"/>
      <c r="Z288" s="76"/>
      <c r="AC288" s="39" t="s">
        <v>5142</v>
      </c>
      <c r="AD288" s="39"/>
      <c r="AE288" s="39" t="s">
        <v>5143</v>
      </c>
      <c r="AO288" s="39"/>
      <c r="AP288" s="70"/>
      <c r="AQ288" s="71"/>
      <c r="AR288" s="72"/>
      <c r="AU288" s="70"/>
      <c r="AV288" s="77"/>
      <c r="AW288" s="78"/>
      <c r="AX288" s="75"/>
      <c r="BA288" s="76"/>
    </row>
    <row r="289" spans="1:53" ht="60">
      <c r="A289" s="39" t="s">
        <v>5084</v>
      </c>
      <c r="B289" s="39" t="s">
        <v>5144</v>
      </c>
      <c r="C289" s="39" t="s">
        <v>5088</v>
      </c>
      <c r="D289" s="39">
        <v>14</v>
      </c>
      <c r="E289" s="39">
        <v>1</v>
      </c>
      <c r="G289" s="39" t="s">
        <v>5145</v>
      </c>
      <c r="H289" s="39" t="s">
        <v>5146</v>
      </c>
      <c r="I289" s="39" t="s">
        <v>4077</v>
      </c>
      <c r="J289" s="39" t="s">
        <v>4111</v>
      </c>
      <c r="K289" s="39" t="s">
        <v>26</v>
      </c>
      <c r="N289" s="39">
        <v>2</v>
      </c>
      <c r="O289" s="70"/>
      <c r="P289" s="71"/>
      <c r="Q289" s="72"/>
      <c r="S289" s="43">
        <v>2</v>
      </c>
      <c r="T289" s="70">
        <v>3</v>
      </c>
      <c r="U289" s="73"/>
      <c r="V289" s="74"/>
      <c r="W289" s="75"/>
      <c r="Z289" s="76"/>
      <c r="AC289" s="39" t="s">
        <v>4149</v>
      </c>
      <c r="AD289" s="39" t="s">
        <v>5690</v>
      </c>
      <c r="AE289" s="39" t="s">
        <v>5689</v>
      </c>
      <c r="AO289" s="39"/>
      <c r="AP289" s="70"/>
      <c r="AQ289" s="71"/>
      <c r="AR289" s="72"/>
      <c r="AU289" s="70"/>
      <c r="AV289" s="77"/>
      <c r="AW289" s="78"/>
      <c r="AX289" s="75"/>
      <c r="BA289" s="76"/>
    </row>
    <row r="290" spans="1:53" ht="48">
      <c r="A290" s="39" t="s">
        <v>5084</v>
      </c>
      <c r="B290" s="39" t="s">
        <v>5147</v>
      </c>
      <c r="C290" s="39" t="s">
        <v>5088</v>
      </c>
      <c r="D290" s="39">
        <v>15</v>
      </c>
      <c r="E290" s="39">
        <v>1</v>
      </c>
      <c r="G290" s="39" t="s">
        <v>5148</v>
      </c>
      <c r="J290" s="39" t="s">
        <v>28</v>
      </c>
      <c r="K290" s="39" t="s">
        <v>26</v>
      </c>
      <c r="M290" s="39" t="s">
        <v>4919</v>
      </c>
      <c r="N290" s="39"/>
      <c r="O290" s="70"/>
      <c r="P290" s="71"/>
      <c r="Q290" s="72"/>
      <c r="T290" s="70"/>
      <c r="U290" s="73"/>
      <c r="V290" s="74"/>
      <c r="W290" s="75"/>
      <c r="Z290" s="76"/>
      <c r="AC290" s="39" t="s">
        <v>4134</v>
      </c>
      <c r="AD290" s="39"/>
      <c r="AE290" s="39" t="s">
        <v>5149</v>
      </c>
      <c r="AO290" s="39"/>
      <c r="AP290" s="70"/>
      <c r="AQ290" s="71"/>
      <c r="AR290" s="72"/>
      <c r="AU290" s="70"/>
      <c r="AV290" s="77"/>
      <c r="AW290" s="78"/>
      <c r="AX290" s="75"/>
      <c r="BA290" s="76"/>
    </row>
    <row r="291" spans="1:53" ht="36">
      <c r="A291" s="39" t="s">
        <v>5084</v>
      </c>
      <c r="B291" s="39" t="s">
        <v>5150</v>
      </c>
      <c r="C291" s="39" t="s">
        <v>5088</v>
      </c>
      <c r="D291" s="39">
        <v>16</v>
      </c>
      <c r="E291" s="39">
        <v>2</v>
      </c>
      <c r="G291" s="39" t="s">
        <v>5151</v>
      </c>
      <c r="J291" s="39" t="s">
        <v>4111</v>
      </c>
      <c r="K291" s="39" t="s">
        <v>4052</v>
      </c>
      <c r="L291" s="39">
        <v>0</v>
      </c>
      <c r="N291" s="39">
        <v>1</v>
      </c>
      <c r="O291" s="70"/>
      <c r="P291" s="71"/>
      <c r="Q291" s="72"/>
      <c r="T291" s="70"/>
      <c r="U291" s="73"/>
      <c r="V291" s="74"/>
      <c r="W291" s="75"/>
      <c r="Z291" s="76"/>
      <c r="AA291" s="39" t="s">
        <v>4060</v>
      </c>
      <c r="AB291" s="39" t="s">
        <v>4112</v>
      </c>
      <c r="AC291" s="39" t="s">
        <v>4146</v>
      </c>
      <c r="AD291" s="39"/>
      <c r="AE291" s="39" t="s">
        <v>5152</v>
      </c>
      <c r="AO291" s="39"/>
      <c r="AP291" s="70"/>
      <c r="AQ291" s="71"/>
      <c r="AR291" s="72"/>
      <c r="AU291" s="70"/>
      <c r="AV291" s="77"/>
      <c r="AW291" s="78"/>
      <c r="AX291" s="75"/>
      <c r="BA291" s="76"/>
    </row>
    <row r="292" spans="1:53">
      <c r="A292" s="39" t="s">
        <v>5084</v>
      </c>
      <c r="B292" s="39" t="s">
        <v>5153</v>
      </c>
      <c r="C292" s="39" t="s">
        <v>5088</v>
      </c>
      <c r="D292" s="39">
        <v>17</v>
      </c>
      <c r="E292" s="39">
        <v>2</v>
      </c>
      <c r="G292" s="39" t="s">
        <v>5154</v>
      </c>
      <c r="J292" s="39" t="s">
        <v>27</v>
      </c>
      <c r="K292" s="39" t="s">
        <v>4052</v>
      </c>
      <c r="L292" s="39">
        <v>0</v>
      </c>
      <c r="N292" s="39">
        <v>1</v>
      </c>
      <c r="O292" s="70"/>
      <c r="P292" s="71"/>
      <c r="Q292" s="72"/>
      <c r="T292" s="70"/>
      <c r="U292" s="73"/>
      <c r="V292" s="74"/>
      <c r="W292" s="75"/>
      <c r="Z292" s="76"/>
      <c r="AA292" s="39" t="s">
        <v>4882</v>
      </c>
      <c r="AC292" s="39" t="s">
        <v>4154</v>
      </c>
      <c r="AD292" s="39" t="s">
        <v>4486</v>
      </c>
      <c r="AE292" s="39" t="s">
        <v>5691</v>
      </c>
      <c r="AO292" s="39"/>
      <c r="AP292" s="70"/>
      <c r="AQ292" s="71"/>
      <c r="AR292" s="72"/>
      <c r="AU292" s="70"/>
      <c r="AV292" s="77"/>
      <c r="AW292" s="78"/>
      <c r="AX292" s="75"/>
      <c r="BA292" s="76"/>
    </row>
    <row r="293" spans="1:53" ht="24">
      <c r="A293" s="39" t="s">
        <v>5084</v>
      </c>
      <c r="B293" s="39" t="s">
        <v>5155</v>
      </c>
      <c r="C293" s="39" t="s">
        <v>5088</v>
      </c>
      <c r="D293" s="39">
        <v>18</v>
      </c>
      <c r="E293" s="39">
        <v>2</v>
      </c>
      <c r="G293" s="39" t="s">
        <v>5156</v>
      </c>
      <c r="J293" s="39" t="s">
        <v>27</v>
      </c>
      <c r="K293" s="39" t="s">
        <v>4052</v>
      </c>
      <c r="L293" s="39">
        <v>0</v>
      </c>
      <c r="N293" s="39">
        <v>0</v>
      </c>
      <c r="O293" s="70"/>
      <c r="P293" s="71"/>
      <c r="Q293" s="72"/>
      <c r="T293" s="70"/>
      <c r="U293" s="73"/>
      <c r="V293" s="74"/>
      <c r="W293" s="75"/>
      <c r="Z293" s="76"/>
      <c r="AA293" s="39" t="s">
        <v>4062</v>
      </c>
      <c r="AC293" s="39" t="s">
        <v>4154</v>
      </c>
      <c r="AD293" s="39"/>
      <c r="AE293" s="39" t="s">
        <v>5157</v>
      </c>
      <c r="AO293" s="39"/>
      <c r="AP293" s="70"/>
      <c r="AQ293" s="71"/>
      <c r="AR293" s="72"/>
      <c r="AU293" s="70"/>
      <c r="AV293" s="77"/>
      <c r="AW293" s="78"/>
      <c r="AX293" s="75"/>
      <c r="BA293" s="76"/>
    </row>
    <row r="294" spans="1:53" ht="24">
      <c r="A294" s="39" t="s">
        <v>5084</v>
      </c>
      <c r="B294" s="39" t="s">
        <v>5158</v>
      </c>
      <c r="C294" s="39" t="s">
        <v>5088</v>
      </c>
      <c r="D294" s="39">
        <v>19</v>
      </c>
      <c r="E294" s="39">
        <v>2</v>
      </c>
      <c r="G294" s="39" t="s">
        <v>5154</v>
      </c>
      <c r="J294" s="39" t="s">
        <v>27</v>
      </c>
      <c r="K294" s="39" t="s">
        <v>4052</v>
      </c>
      <c r="L294" s="39">
        <v>2</v>
      </c>
      <c r="N294" s="39">
        <v>1</v>
      </c>
      <c r="O294" s="70"/>
      <c r="P294" s="71"/>
      <c r="Q294" s="72"/>
      <c r="T294" s="70"/>
      <c r="U294" s="73"/>
      <c r="V294" s="74"/>
      <c r="W294" s="75"/>
      <c r="Z294" s="76"/>
      <c r="AA294" s="39" t="s">
        <v>5159</v>
      </c>
      <c r="AC294" s="39" t="s">
        <v>4154</v>
      </c>
      <c r="AD294" s="39" t="s">
        <v>4486</v>
      </c>
      <c r="AE294" s="39" t="s">
        <v>5692</v>
      </c>
      <c r="AO294" s="39"/>
      <c r="AP294" s="70"/>
      <c r="AQ294" s="71"/>
      <c r="AR294" s="72"/>
      <c r="AU294" s="70"/>
      <c r="AV294" s="77"/>
      <c r="AW294" s="78"/>
      <c r="AX294" s="75"/>
      <c r="BA294" s="76"/>
    </row>
    <row r="295" spans="1:53" ht="36">
      <c r="A295" s="39" t="s">
        <v>5084</v>
      </c>
      <c r="B295" s="39" t="s">
        <v>5160</v>
      </c>
      <c r="C295" s="39" t="s">
        <v>5088</v>
      </c>
      <c r="D295" s="39">
        <v>20</v>
      </c>
      <c r="E295" s="39">
        <v>2</v>
      </c>
      <c r="G295" s="39" t="s">
        <v>5161</v>
      </c>
      <c r="J295" s="39" t="s">
        <v>4111</v>
      </c>
      <c r="K295" s="39" t="s">
        <v>4053</v>
      </c>
      <c r="L295" s="39">
        <v>0</v>
      </c>
      <c r="N295" s="39">
        <v>2</v>
      </c>
      <c r="O295" s="70"/>
      <c r="P295" s="71"/>
      <c r="Q295" s="72"/>
      <c r="S295" s="43">
        <v>1</v>
      </c>
      <c r="T295" s="70">
        <v>2</v>
      </c>
      <c r="U295" s="73"/>
      <c r="V295" s="74"/>
      <c r="W295" s="75"/>
      <c r="Z295" s="76"/>
      <c r="AA295" s="39" t="s">
        <v>4059</v>
      </c>
      <c r="AB295" s="39" t="s">
        <v>25</v>
      </c>
      <c r="AC295" s="39" t="s">
        <v>5162</v>
      </c>
      <c r="AD295" s="39"/>
      <c r="AE295" s="39" t="s">
        <v>5163</v>
      </c>
      <c r="AO295" s="39"/>
      <c r="AP295" s="70"/>
      <c r="AQ295" s="71"/>
      <c r="AR295" s="72"/>
      <c r="AU295" s="70"/>
      <c r="AV295" s="77"/>
      <c r="AW295" s="78"/>
      <c r="AX295" s="75"/>
      <c r="BA295" s="76"/>
    </row>
    <row r="296" spans="1:53" ht="36">
      <c r="A296" s="39" t="s">
        <v>5084</v>
      </c>
      <c r="B296" s="39" t="s">
        <v>5164</v>
      </c>
      <c r="C296" s="39" t="s">
        <v>5088</v>
      </c>
      <c r="D296" s="39">
        <v>21</v>
      </c>
      <c r="E296" s="39">
        <v>2</v>
      </c>
      <c r="G296" s="39" t="s">
        <v>5165</v>
      </c>
      <c r="H296" s="39" t="s">
        <v>5166</v>
      </c>
      <c r="J296" s="39" t="s">
        <v>4111</v>
      </c>
      <c r="K296" s="39" t="s">
        <v>4053</v>
      </c>
      <c r="L296" s="39">
        <v>0</v>
      </c>
      <c r="N296" s="39">
        <v>1</v>
      </c>
      <c r="O296" s="70"/>
      <c r="P296" s="71"/>
      <c r="Q296" s="72"/>
      <c r="T296" s="70"/>
      <c r="U296" s="73"/>
      <c r="V296" s="74"/>
      <c r="W296" s="75"/>
      <c r="Z296" s="76"/>
      <c r="AA296" s="39" t="s">
        <v>4062</v>
      </c>
      <c r="AC296" s="39" t="s">
        <v>5167</v>
      </c>
      <c r="AD296" s="39"/>
      <c r="AE296" s="39" t="s">
        <v>5168</v>
      </c>
      <c r="AO296" s="39"/>
      <c r="AP296" s="70"/>
      <c r="AQ296" s="71"/>
      <c r="AR296" s="72"/>
      <c r="AU296" s="70"/>
      <c r="AV296" s="77"/>
      <c r="AW296" s="78"/>
      <c r="AX296" s="75"/>
      <c r="BA296" s="76"/>
    </row>
    <row r="297" spans="1:53" ht="24">
      <c r="A297" s="39" t="s">
        <v>5084</v>
      </c>
      <c r="B297" s="39" t="s">
        <v>5169</v>
      </c>
      <c r="C297" s="39" t="s">
        <v>5088</v>
      </c>
      <c r="D297" s="39">
        <v>22</v>
      </c>
      <c r="E297" s="39">
        <v>2</v>
      </c>
      <c r="G297" s="39" t="s">
        <v>5170</v>
      </c>
      <c r="J297" s="39" t="s">
        <v>27</v>
      </c>
      <c r="K297" s="39" t="s">
        <v>4053</v>
      </c>
      <c r="L297" s="39">
        <v>0</v>
      </c>
      <c r="N297" s="39">
        <v>0</v>
      </c>
      <c r="O297" s="70"/>
      <c r="P297" s="71"/>
      <c r="Q297" s="72"/>
      <c r="T297" s="70"/>
      <c r="U297" s="73"/>
      <c r="V297" s="74"/>
      <c r="W297" s="75"/>
      <c r="Z297" s="76"/>
      <c r="AA297" s="39" t="s">
        <v>4884</v>
      </c>
      <c r="AC297" s="39" t="s">
        <v>4188</v>
      </c>
      <c r="AD297" s="39" t="s">
        <v>4486</v>
      </c>
      <c r="AE297" s="39" t="s">
        <v>5693</v>
      </c>
      <c r="AO297" s="39"/>
      <c r="AP297" s="70"/>
      <c r="AQ297" s="71"/>
      <c r="AR297" s="72"/>
      <c r="AU297" s="70"/>
      <c r="AV297" s="77"/>
      <c r="AW297" s="78"/>
      <c r="AX297" s="75"/>
      <c r="BA297" s="76"/>
    </row>
    <row r="298" spans="1:53" ht="24">
      <c r="A298" s="39" t="s">
        <v>5084</v>
      </c>
      <c r="B298" s="39" t="s">
        <v>5171</v>
      </c>
      <c r="C298" s="39" t="s">
        <v>5088</v>
      </c>
      <c r="D298" s="39">
        <v>23</v>
      </c>
      <c r="E298" s="39">
        <v>2</v>
      </c>
      <c r="G298" s="39" t="s">
        <v>5172</v>
      </c>
      <c r="J298" s="39" t="s">
        <v>27</v>
      </c>
      <c r="K298" s="39" t="s">
        <v>4053</v>
      </c>
      <c r="L298" s="39">
        <v>0</v>
      </c>
      <c r="N298" s="39">
        <v>1</v>
      </c>
      <c r="O298" s="70"/>
      <c r="P298" s="71"/>
      <c r="Q298" s="72"/>
      <c r="T298" s="70"/>
      <c r="U298" s="73"/>
      <c r="V298" s="74"/>
      <c r="W298" s="75"/>
      <c r="Z298" s="76"/>
      <c r="AA298" s="39" t="s">
        <v>4888</v>
      </c>
      <c r="AC298" s="39" t="s">
        <v>4185</v>
      </c>
      <c r="AD298" s="39"/>
      <c r="AE298" s="39" t="s">
        <v>5173</v>
      </c>
      <c r="AO298" s="39"/>
      <c r="AP298" s="70"/>
      <c r="AQ298" s="71"/>
      <c r="AR298" s="72"/>
      <c r="AU298" s="70"/>
      <c r="AV298" s="77"/>
      <c r="AW298" s="78"/>
      <c r="AX298" s="75"/>
      <c r="BA298" s="76"/>
    </row>
    <row r="299" spans="1:53" ht="60">
      <c r="A299" s="39" t="s">
        <v>5084</v>
      </c>
      <c r="B299" s="39" t="s">
        <v>5174</v>
      </c>
      <c r="C299" s="39" t="s">
        <v>5088</v>
      </c>
      <c r="D299" s="39">
        <v>24</v>
      </c>
      <c r="E299" s="39">
        <v>2</v>
      </c>
      <c r="G299" s="39" t="s">
        <v>5175</v>
      </c>
      <c r="J299" s="39" t="s">
        <v>4111</v>
      </c>
      <c r="K299" s="39" t="s">
        <v>4055</v>
      </c>
      <c r="L299" s="39">
        <v>0</v>
      </c>
      <c r="N299" s="39">
        <v>1</v>
      </c>
      <c r="O299" s="70"/>
      <c r="P299" s="71"/>
      <c r="Q299" s="72"/>
      <c r="T299" s="70"/>
      <c r="U299" s="73"/>
      <c r="V299" s="74"/>
      <c r="W299" s="75"/>
      <c r="Z299" s="76"/>
      <c r="AA299" s="39" t="s">
        <v>4058</v>
      </c>
      <c r="AC299" s="39" t="s">
        <v>5176</v>
      </c>
      <c r="AD299" s="39" t="s">
        <v>5695</v>
      </c>
      <c r="AE299" s="39" t="s">
        <v>5694</v>
      </c>
      <c r="AO299" s="39"/>
      <c r="AP299" s="70"/>
      <c r="AQ299" s="71"/>
      <c r="AR299" s="72"/>
      <c r="AU299" s="70"/>
      <c r="AV299" s="77"/>
      <c r="AW299" s="78"/>
      <c r="AX299" s="75"/>
      <c r="BA299" s="76"/>
    </row>
    <row r="300" spans="1:53" ht="24">
      <c r="A300" s="39" t="s">
        <v>5084</v>
      </c>
      <c r="B300" s="39" t="s">
        <v>5177</v>
      </c>
      <c r="C300" s="39" t="s">
        <v>5088</v>
      </c>
      <c r="D300" s="39">
        <v>25</v>
      </c>
      <c r="E300" s="39">
        <v>2</v>
      </c>
      <c r="G300" s="39" t="s">
        <v>5178</v>
      </c>
      <c r="J300" s="39" t="s">
        <v>27</v>
      </c>
      <c r="K300" s="39" t="s">
        <v>4055</v>
      </c>
      <c r="L300" s="39">
        <v>0</v>
      </c>
      <c r="N300" s="39">
        <v>1</v>
      </c>
      <c r="O300" s="70"/>
      <c r="P300" s="71"/>
      <c r="Q300" s="72"/>
      <c r="T300" s="70"/>
      <c r="U300" s="73"/>
      <c r="V300" s="74"/>
      <c r="W300" s="75"/>
      <c r="Z300" s="76"/>
      <c r="AA300" s="39" t="s">
        <v>4888</v>
      </c>
      <c r="AC300" s="39" t="s">
        <v>5179</v>
      </c>
      <c r="AD300" s="39" t="s">
        <v>5697</v>
      </c>
      <c r="AE300" s="39" t="s">
        <v>5696</v>
      </c>
      <c r="AO300" s="39"/>
      <c r="AP300" s="70"/>
      <c r="AQ300" s="71"/>
      <c r="AR300" s="72"/>
      <c r="AU300" s="70"/>
      <c r="AV300" s="77"/>
      <c r="AW300" s="78"/>
      <c r="AX300" s="75"/>
      <c r="BA300" s="76"/>
    </row>
    <row r="301" spans="1:53" ht="24">
      <c r="A301" s="39" t="s">
        <v>5084</v>
      </c>
      <c r="B301" s="39" t="s">
        <v>5180</v>
      </c>
      <c r="C301" s="39" t="s">
        <v>5088</v>
      </c>
      <c r="D301" s="39">
        <v>26</v>
      </c>
      <c r="E301" s="39">
        <v>2</v>
      </c>
      <c r="G301" s="39" t="s">
        <v>5181</v>
      </c>
      <c r="J301" s="39" t="s">
        <v>4159</v>
      </c>
      <c r="K301" s="39" t="s">
        <v>4055</v>
      </c>
      <c r="L301" s="39">
        <v>0</v>
      </c>
      <c r="N301" s="39"/>
      <c r="O301" s="70"/>
      <c r="P301" s="71"/>
      <c r="Q301" s="72"/>
      <c r="T301" s="70"/>
      <c r="U301" s="73"/>
      <c r="V301" s="74"/>
      <c r="W301" s="75"/>
      <c r="Z301" s="76"/>
      <c r="AA301" s="39" t="s">
        <v>4062</v>
      </c>
      <c r="AC301" s="39" t="s">
        <v>4213</v>
      </c>
      <c r="AD301" s="39" t="s">
        <v>4261</v>
      </c>
      <c r="AE301" s="39" t="s">
        <v>5698</v>
      </c>
      <c r="AO301" s="39"/>
      <c r="AP301" s="70"/>
      <c r="AQ301" s="71"/>
      <c r="AR301" s="72"/>
      <c r="AU301" s="70"/>
      <c r="AV301" s="77"/>
      <c r="AW301" s="78"/>
      <c r="AX301" s="75"/>
      <c r="BA301" s="76"/>
    </row>
    <row r="302" spans="1:53" ht="36">
      <c r="A302" s="39" t="s">
        <v>5084</v>
      </c>
      <c r="B302" s="39" t="s">
        <v>5182</v>
      </c>
      <c r="C302" s="39" t="s">
        <v>5088</v>
      </c>
      <c r="D302" s="39">
        <v>27</v>
      </c>
      <c r="E302" s="39">
        <v>2</v>
      </c>
      <c r="G302" s="39" t="s">
        <v>5183</v>
      </c>
      <c r="J302" s="39" t="s">
        <v>4111</v>
      </c>
      <c r="K302" s="39" t="s">
        <v>4055</v>
      </c>
      <c r="L302" s="39">
        <v>1</v>
      </c>
      <c r="N302" s="39">
        <v>1</v>
      </c>
      <c r="O302" s="70"/>
      <c r="P302" s="71"/>
      <c r="Q302" s="72"/>
      <c r="S302" s="43">
        <v>3</v>
      </c>
      <c r="T302" s="70">
        <v>1</v>
      </c>
      <c r="U302" s="73"/>
      <c r="V302" s="74"/>
      <c r="W302" s="75"/>
      <c r="Z302" s="76"/>
      <c r="AA302" s="39" t="s">
        <v>4060</v>
      </c>
      <c r="AC302" s="39" t="s">
        <v>4203</v>
      </c>
      <c r="AD302" s="39"/>
      <c r="AE302" s="39" t="s">
        <v>5184</v>
      </c>
      <c r="AO302" s="39"/>
      <c r="AP302" s="70"/>
      <c r="AQ302" s="71"/>
      <c r="AR302" s="72"/>
      <c r="AU302" s="70"/>
      <c r="AV302" s="77"/>
      <c r="AW302" s="78"/>
      <c r="AX302" s="75"/>
      <c r="BA302" s="76"/>
    </row>
    <row r="303" spans="1:53" ht="60">
      <c r="A303" s="39" t="s">
        <v>5084</v>
      </c>
      <c r="B303" s="39" t="s">
        <v>5185</v>
      </c>
      <c r="C303" s="39" t="s">
        <v>5088</v>
      </c>
      <c r="D303" s="39">
        <v>28</v>
      </c>
      <c r="E303" s="39">
        <v>2</v>
      </c>
      <c r="G303" s="39" t="s">
        <v>5186</v>
      </c>
      <c r="J303" s="39" t="s">
        <v>4111</v>
      </c>
      <c r="K303" s="39" t="s">
        <v>4054</v>
      </c>
      <c r="L303" s="39">
        <v>0</v>
      </c>
      <c r="N303" s="39">
        <v>4</v>
      </c>
      <c r="O303" s="70"/>
      <c r="P303" s="71"/>
      <c r="Q303" s="72"/>
      <c r="T303" s="70"/>
      <c r="U303" s="73"/>
      <c r="V303" s="74"/>
      <c r="W303" s="75"/>
      <c r="Z303" s="76"/>
      <c r="AA303" s="39" t="s">
        <v>4059</v>
      </c>
      <c r="AB303" s="39" t="s">
        <v>4219</v>
      </c>
      <c r="AC303" s="39" t="s">
        <v>4130</v>
      </c>
      <c r="AD303" s="39" t="s">
        <v>5642</v>
      </c>
      <c r="AE303" s="39" t="s">
        <v>5699</v>
      </c>
      <c r="AO303" s="39"/>
      <c r="AP303" s="70"/>
      <c r="AQ303" s="71"/>
      <c r="AR303" s="72"/>
      <c r="AU303" s="70"/>
      <c r="AV303" s="77"/>
      <c r="AW303" s="78"/>
      <c r="AX303" s="75"/>
      <c r="BA303" s="76"/>
    </row>
    <row r="304" spans="1:53" ht="24">
      <c r="A304" s="39" t="s">
        <v>5084</v>
      </c>
      <c r="B304" s="39" t="s">
        <v>5187</v>
      </c>
      <c r="C304" s="39" t="s">
        <v>5088</v>
      </c>
      <c r="D304" s="39">
        <v>29</v>
      </c>
      <c r="E304" s="39">
        <v>2</v>
      </c>
      <c r="G304" s="39" t="s">
        <v>5188</v>
      </c>
      <c r="J304" s="39" t="s">
        <v>4111</v>
      </c>
      <c r="K304" s="39" t="s">
        <v>4054</v>
      </c>
      <c r="L304" s="39">
        <v>0</v>
      </c>
      <c r="N304" s="39">
        <v>1</v>
      </c>
      <c r="O304" s="70"/>
      <c r="P304" s="71"/>
      <c r="Q304" s="72"/>
      <c r="T304" s="70"/>
      <c r="U304" s="73"/>
      <c r="V304" s="74"/>
      <c r="W304" s="75"/>
      <c r="Z304" s="76"/>
      <c r="AA304" s="39" t="s">
        <v>4058</v>
      </c>
      <c r="AB304" s="39" t="s">
        <v>4112</v>
      </c>
      <c r="AC304" s="39" t="s">
        <v>4118</v>
      </c>
      <c r="AD304" s="39"/>
      <c r="AE304" s="39" t="s">
        <v>5189</v>
      </c>
      <c r="AO304" s="39"/>
      <c r="AP304" s="70"/>
      <c r="AQ304" s="71"/>
      <c r="AR304" s="72"/>
      <c r="AU304" s="70"/>
      <c r="AV304" s="77"/>
      <c r="AW304" s="78"/>
      <c r="AX304" s="75"/>
      <c r="BA304" s="76"/>
    </row>
    <row r="305" spans="1:58" ht="24">
      <c r="A305" s="39" t="s">
        <v>5084</v>
      </c>
      <c r="B305" s="39" t="s">
        <v>5190</v>
      </c>
      <c r="C305" s="39" t="s">
        <v>5088</v>
      </c>
      <c r="D305" s="39">
        <v>30</v>
      </c>
      <c r="E305" s="39">
        <v>2</v>
      </c>
      <c r="G305" s="39" t="s">
        <v>5191</v>
      </c>
      <c r="J305" s="39" t="s">
        <v>4111</v>
      </c>
      <c r="K305" s="39" t="s">
        <v>4054</v>
      </c>
      <c r="L305" s="39">
        <v>0</v>
      </c>
      <c r="N305" s="39">
        <v>2</v>
      </c>
      <c r="O305" s="70"/>
      <c r="P305" s="71"/>
      <c r="Q305" s="72"/>
      <c r="T305" s="70"/>
      <c r="U305" s="73"/>
      <c r="V305" s="74"/>
      <c r="W305" s="75"/>
      <c r="Z305" s="76"/>
      <c r="AA305" s="39" t="s">
        <v>4058</v>
      </c>
      <c r="AB305" s="39" t="s">
        <v>4219</v>
      </c>
      <c r="AC305" s="39" t="s">
        <v>4130</v>
      </c>
      <c r="AD305" s="39" t="s">
        <v>5642</v>
      </c>
      <c r="AE305" s="39" t="s">
        <v>5700</v>
      </c>
      <c r="AO305" s="39"/>
      <c r="AP305" s="70"/>
      <c r="AQ305" s="71"/>
      <c r="AR305" s="72"/>
      <c r="AU305" s="70"/>
      <c r="AV305" s="77"/>
      <c r="AW305" s="78"/>
      <c r="AX305" s="75"/>
      <c r="BA305" s="76"/>
    </row>
    <row r="306" spans="1:58" ht="72">
      <c r="A306" s="39" t="s">
        <v>5084</v>
      </c>
      <c r="B306" s="39" t="s">
        <v>5192</v>
      </c>
      <c r="C306" s="39" t="s">
        <v>5088</v>
      </c>
      <c r="D306" s="39">
        <v>31</v>
      </c>
      <c r="E306" s="39">
        <v>2</v>
      </c>
      <c r="G306" s="39" t="s">
        <v>5193</v>
      </c>
      <c r="J306" s="39" t="s">
        <v>27</v>
      </c>
      <c r="K306" s="39" t="s">
        <v>4054</v>
      </c>
      <c r="L306" s="39">
        <v>2</v>
      </c>
      <c r="N306" s="39">
        <v>3</v>
      </c>
      <c r="O306" s="70"/>
      <c r="P306" s="71"/>
      <c r="Q306" s="72"/>
      <c r="T306" s="70"/>
      <c r="U306" s="73"/>
      <c r="V306" s="74"/>
      <c r="W306" s="75"/>
      <c r="Z306" s="76"/>
      <c r="AA306" s="39" t="s">
        <v>4891</v>
      </c>
      <c r="AC306" s="39" t="s">
        <v>4130</v>
      </c>
      <c r="AD306" s="39"/>
      <c r="AE306" s="39" t="s">
        <v>5194</v>
      </c>
      <c r="AO306" s="39"/>
      <c r="AP306" s="70"/>
      <c r="AQ306" s="71"/>
      <c r="AR306" s="72"/>
      <c r="AU306" s="70"/>
      <c r="AV306" s="77"/>
      <c r="AW306" s="78"/>
      <c r="AX306" s="75"/>
      <c r="BA306" s="76"/>
    </row>
    <row r="307" spans="1:58" ht="48">
      <c r="A307" s="39" t="s">
        <v>5084</v>
      </c>
      <c r="B307" s="39" t="s">
        <v>5195</v>
      </c>
      <c r="C307" s="39" t="s">
        <v>5088</v>
      </c>
      <c r="D307" s="39">
        <v>32</v>
      </c>
      <c r="E307" s="39">
        <v>2</v>
      </c>
      <c r="G307" s="39" t="s">
        <v>5196</v>
      </c>
      <c r="J307" s="39" t="s">
        <v>4111</v>
      </c>
      <c r="K307" s="39" t="s">
        <v>4056</v>
      </c>
      <c r="L307" s="39">
        <v>0</v>
      </c>
      <c r="N307" s="39">
        <v>1</v>
      </c>
      <c r="O307" s="70"/>
      <c r="P307" s="71"/>
      <c r="Q307" s="72"/>
      <c r="T307" s="70"/>
      <c r="U307" s="73"/>
      <c r="V307" s="74"/>
      <c r="W307" s="75"/>
      <c r="Z307" s="76"/>
      <c r="AA307" s="39" t="s">
        <v>4060</v>
      </c>
      <c r="AB307" s="39" t="s">
        <v>4112</v>
      </c>
      <c r="AC307" s="39" t="s">
        <v>4146</v>
      </c>
      <c r="AD307" s="39"/>
      <c r="AE307" s="39" t="s">
        <v>5197</v>
      </c>
      <c r="AO307" s="39"/>
      <c r="AP307" s="70"/>
      <c r="AQ307" s="71"/>
      <c r="AR307" s="72"/>
      <c r="AU307" s="70"/>
      <c r="AV307" s="77"/>
      <c r="AW307" s="78"/>
      <c r="AX307" s="75"/>
      <c r="BA307" s="76"/>
    </row>
    <row r="308" spans="1:58" ht="24">
      <c r="A308" s="39" t="s">
        <v>5084</v>
      </c>
      <c r="B308" s="39" t="s">
        <v>5198</v>
      </c>
      <c r="C308" s="39" t="s">
        <v>5088</v>
      </c>
      <c r="D308" s="39">
        <v>33</v>
      </c>
      <c r="E308" s="39">
        <v>2</v>
      </c>
      <c r="G308" s="39" t="s">
        <v>5199</v>
      </c>
      <c r="H308" s="39" t="s">
        <v>5200</v>
      </c>
      <c r="I308" s="39" t="s">
        <v>4077</v>
      </c>
      <c r="J308" s="39" t="s">
        <v>4111</v>
      </c>
      <c r="K308" s="39" t="s">
        <v>4056</v>
      </c>
      <c r="L308" s="39">
        <v>0</v>
      </c>
      <c r="N308" s="39">
        <v>3</v>
      </c>
      <c r="O308" s="70"/>
      <c r="P308" s="71"/>
      <c r="Q308" s="72"/>
      <c r="S308" s="43">
        <v>1</v>
      </c>
      <c r="T308" s="70">
        <v>2</v>
      </c>
      <c r="U308" s="73"/>
      <c r="V308" s="74"/>
      <c r="W308" s="75"/>
      <c r="Z308" s="76"/>
      <c r="AA308" s="39" t="s">
        <v>4058</v>
      </c>
      <c r="AB308" s="39" t="s">
        <v>25</v>
      </c>
      <c r="AC308" s="39" t="s">
        <v>4175</v>
      </c>
      <c r="AD308" s="39"/>
      <c r="AE308" s="39" t="s">
        <v>5201</v>
      </c>
      <c r="AO308" s="39"/>
      <c r="AP308" s="70"/>
      <c r="AQ308" s="71"/>
      <c r="AR308" s="72"/>
      <c r="AU308" s="70"/>
      <c r="AV308" s="77"/>
      <c r="AW308" s="78"/>
      <c r="AX308" s="75"/>
      <c r="BA308" s="76"/>
    </row>
    <row r="309" spans="1:58" ht="24">
      <c r="A309" s="39" t="s">
        <v>5084</v>
      </c>
      <c r="B309" s="39" t="s">
        <v>5202</v>
      </c>
      <c r="C309" s="39" t="s">
        <v>5088</v>
      </c>
      <c r="D309" s="39">
        <v>34</v>
      </c>
      <c r="E309" s="39">
        <v>2</v>
      </c>
      <c r="G309" s="39" t="s">
        <v>5203</v>
      </c>
      <c r="J309" s="39" t="s">
        <v>27</v>
      </c>
      <c r="K309" s="39" t="s">
        <v>4056</v>
      </c>
      <c r="L309" s="39">
        <v>0</v>
      </c>
      <c r="N309" s="39">
        <v>1</v>
      </c>
      <c r="O309" s="70"/>
      <c r="P309" s="71"/>
      <c r="Q309" s="72"/>
      <c r="T309" s="70"/>
      <c r="U309" s="73"/>
      <c r="V309" s="74"/>
      <c r="W309" s="75"/>
      <c r="Z309" s="76"/>
      <c r="AA309" s="39" t="s">
        <v>4888</v>
      </c>
      <c r="AC309" s="39" t="s">
        <v>5179</v>
      </c>
      <c r="AD309" s="39"/>
      <c r="AE309" s="39" t="s">
        <v>5204</v>
      </c>
      <c r="AO309" s="39"/>
      <c r="AP309" s="70"/>
      <c r="AQ309" s="71"/>
      <c r="AR309" s="72"/>
      <c r="AU309" s="70"/>
      <c r="AV309" s="77"/>
      <c r="AW309" s="78"/>
      <c r="AX309" s="75"/>
      <c r="BA309" s="76"/>
    </row>
    <row r="310" spans="1:58" ht="24">
      <c r="A310" s="39" t="s">
        <v>5084</v>
      </c>
      <c r="B310" s="39" t="s">
        <v>5205</v>
      </c>
      <c r="C310" s="39" t="s">
        <v>5088</v>
      </c>
      <c r="D310" s="39">
        <v>35</v>
      </c>
      <c r="E310" s="39">
        <v>2</v>
      </c>
      <c r="G310" s="39" t="s">
        <v>5199</v>
      </c>
      <c r="H310" s="39" t="s">
        <v>5200</v>
      </c>
      <c r="I310" s="39" t="s">
        <v>4077</v>
      </c>
      <c r="J310" s="39" t="s">
        <v>4111</v>
      </c>
      <c r="K310" s="39" t="s">
        <v>4056</v>
      </c>
      <c r="L310" s="39">
        <v>2</v>
      </c>
      <c r="N310" s="39">
        <v>3</v>
      </c>
      <c r="O310" s="70"/>
      <c r="P310" s="71"/>
      <c r="Q310" s="72"/>
      <c r="S310" s="43">
        <v>1</v>
      </c>
      <c r="T310" s="70">
        <v>3</v>
      </c>
      <c r="U310" s="73"/>
      <c r="V310" s="74"/>
      <c r="W310" s="75"/>
      <c r="Z310" s="76"/>
      <c r="AA310" s="39" t="s">
        <v>4058</v>
      </c>
      <c r="AB310" s="39" t="s">
        <v>25</v>
      </c>
      <c r="AC310" s="39" t="s">
        <v>4175</v>
      </c>
      <c r="AD310" s="39"/>
      <c r="AE310" s="39" t="s">
        <v>5206</v>
      </c>
      <c r="AO310" s="39"/>
      <c r="AP310" s="70"/>
      <c r="AQ310" s="71"/>
      <c r="AR310" s="72"/>
      <c r="AU310" s="70"/>
      <c r="AV310" s="77"/>
      <c r="AW310" s="78"/>
      <c r="AX310" s="75"/>
      <c r="BA310" s="76"/>
    </row>
    <row r="311" spans="1:58" ht="36">
      <c r="A311" s="39" t="s">
        <v>5084</v>
      </c>
      <c r="B311" s="39" t="s">
        <v>5207</v>
      </c>
      <c r="C311" s="39" t="s">
        <v>5088</v>
      </c>
      <c r="D311" s="39">
        <v>36</v>
      </c>
      <c r="E311" s="39">
        <v>2</v>
      </c>
      <c r="G311" s="39" t="s">
        <v>5208</v>
      </c>
      <c r="J311" s="39" t="s">
        <v>4111</v>
      </c>
      <c r="K311" s="39" t="s">
        <v>26</v>
      </c>
      <c r="L311" s="39">
        <v>0</v>
      </c>
      <c r="N311" s="39">
        <v>2</v>
      </c>
      <c r="O311" s="70"/>
      <c r="P311" s="71"/>
      <c r="Q311" s="72"/>
      <c r="T311" s="70"/>
      <c r="U311" s="73"/>
      <c r="V311" s="74"/>
      <c r="W311" s="75"/>
      <c r="Z311" s="76"/>
      <c r="AA311" s="39" t="s">
        <v>4060</v>
      </c>
      <c r="AB311" s="39" t="s">
        <v>4112</v>
      </c>
      <c r="AC311" s="39" t="s">
        <v>4146</v>
      </c>
      <c r="AD311" s="39"/>
      <c r="AE311" s="39" t="s">
        <v>5209</v>
      </c>
      <c r="AO311" s="39"/>
      <c r="AP311" s="70"/>
      <c r="AQ311" s="71"/>
      <c r="AR311" s="72"/>
      <c r="AU311" s="70"/>
      <c r="AV311" s="77"/>
      <c r="AW311" s="78"/>
      <c r="AX311" s="75"/>
      <c r="BA311" s="76"/>
    </row>
    <row r="312" spans="1:58">
      <c r="A312" s="39" t="s">
        <v>5084</v>
      </c>
      <c r="B312" s="39" t="s">
        <v>5210</v>
      </c>
      <c r="C312" s="39" t="s">
        <v>5088</v>
      </c>
      <c r="D312" s="39">
        <v>37</v>
      </c>
      <c r="E312" s="39">
        <v>2</v>
      </c>
      <c r="G312" s="39" t="s">
        <v>5211</v>
      </c>
      <c r="J312" s="39" t="s">
        <v>28</v>
      </c>
      <c r="K312" s="39" t="s">
        <v>26</v>
      </c>
      <c r="M312" s="39" t="s">
        <v>4513</v>
      </c>
      <c r="N312" s="39"/>
      <c r="O312" s="70"/>
      <c r="P312" s="71"/>
      <c r="Q312" s="72"/>
      <c r="T312" s="70"/>
      <c r="U312" s="73"/>
      <c r="V312" s="74"/>
      <c r="W312" s="75"/>
      <c r="Z312" s="76"/>
      <c r="AC312" s="39" t="s">
        <v>5212</v>
      </c>
      <c r="AD312" s="39" t="s">
        <v>5484</v>
      </c>
      <c r="AE312" s="39" t="s">
        <v>5701</v>
      </c>
      <c r="AO312" s="39"/>
      <c r="AP312" s="70"/>
      <c r="AQ312" s="71"/>
      <c r="AR312" s="72"/>
      <c r="AU312" s="70"/>
      <c r="AV312" s="77"/>
      <c r="AW312" s="78"/>
      <c r="AX312" s="75"/>
      <c r="BA312" s="76"/>
    </row>
    <row r="313" spans="1:58" ht="48">
      <c r="A313" s="39" t="s">
        <v>5084</v>
      </c>
      <c r="B313" s="39" t="s">
        <v>5213</v>
      </c>
      <c r="C313" s="39" t="s">
        <v>5088</v>
      </c>
      <c r="D313" s="39">
        <v>38</v>
      </c>
      <c r="E313" s="39">
        <v>2</v>
      </c>
      <c r="G313" s="39" t="s">
        <v>5214</v>
      </c>
      <c r="J313" s="39" t="s">
        <v>28</v>
      </c>
      <c r="K313" s="39" t="s">
        <v>26</v>
      </c>
      <c r="M313" s="39" t="s">
        <v>4513</v>
      </c>
      <c r="N313" s="39"/>
      <c r="O313" s="70"/>
      <c r="P313" s="71"/>
      <c r="Q313" s="72"/>
      <c r="T313" s="70"/>
      <c r="U313" s="73"/>
      <c r="V313" s="74"/>
      <c r="W313" s="75"/>
      <c r="Z313" s="76"/>
      <c r="AC313" s="39" t="s">
        <v>5215</v>
      </c>
      <c r="AD313" s="39"/>
      <c r="AE313" s="39" t="s">
        <v>5216</v>
      </c>
      <c r="AO313" s="39"/>
      <c r="AP313" s="70"/>
      <c r="AQ313" s="71"/>
      <c r="AR313" s="72"/>
      <c r="AU313" s="70"/>
      <c r="AV313" s="77"/>
      <c r="AW313" s="78"/>
      <c r="AX313" s="75"/>
      <c r="BA313" s="76"/>
    </row>
    <row r="314" spans="1:58" ht="48">
      <c r="A314" s="39" t="s">
        <v>5084</v>
      </c>
      <c r="B314" s="39" t="s">
        <v>5217</v>
      </c>
      <c r="C314" s="39" t="s">
        <v>5088</v>
      </c>
      <c r="D314" s="39">
        <v>39</v>
      </c>
      <c r="E314" s="39">
        <v>2</v>
      </c>
      <c r="G314" s="39" t="s">
        <v>5218</v>
      </c>
      <c r="J314" s="39" t="s">
        <v>28</v>
      </c>
      <c r="K314" s="39" t="s">
        <v>26</v>
      </c>
      <c r="M314" s="39" t="s">
        <v>4513</v>
      </c>
      <c r="N314" s="39"/>
      <c r="O314" s="70"/>
      <c r="P314" s="71"/>
      <c r="Q314" s="72"/>
      <c r="T314" s="70"/>
      <c r="U314" s="73"/>
      <c r="V314" s="74"/>
      <c r="W314" s="75"/>
      <c r="Z314" s="76"/>
      <c r="AC314" s="39" t="s">
        <v>4134</v>
      </c>
      <c r="AD314" s="39"/>
      <c r="AE314" s="39" t="s">
        <v>5219</v>
      </c>
      <c r="AO314" s="39"/>
      <c r="AP314" s="70"/>
      <c r="AQ314" s="71"/>
      <c r="AR314" s="72"/>
      <c r="AU314" s="70"/>
      <c r="AV314" s="77"/>
      <c r="AW314" s="78"/>
      <c r="AX314" s="75"/>
      <c r="BA314" s="76"/>
    </row>
    <row r="315" spans="1:58" ht="24">
      <c r="A315" s="39" t="s">
        <v>5084</v>
      </c>
      <c r="B315" s="39" t="s">
        <v>5220</v>
      </c>
      <c r="C315" s="39" t="s">
        <v>5088</v>
      </c>
      <c r="D315" s="39">
        <v>40</v>
      </c>
      <c r="E315" s="39">
        <v>1</v>
      </c>
      <c r="F315" s="39" t="s">
        <v>5221</v>
      </c>
      <c r="G315" s="39" t="s">
        <v>5222</v>
      </c>
      <c r="H315" s="39" t="s">
        <v>5223</v>
      </c>
      <c r="I315" s="39" t="s">
        <v>4077</v>
      </c>
      <c r="J315" s="39" t="s">
        <v>4111</v>
      </c>
      <c r="K315" s="39" t="s">
        <v>26</v>
      </c>
      <c r="N315" s="39">
        <v>2</v>
      </c>
      <c r="O315" s="70"/>
      <c r="P315" s="71"/>
      <c r="Q315" s="72"/>
      <c r="S315" s="43">
        <v>2</v>
      </c>
      <c r="T315" s="70">
        <v>2</v>
      </c>
      <c r="U315" s="73"/>
      <c r="V315" s="74"/>
      <c r="W315" s="75"/>
      <c r="Z315" s="76"/>
      <c r="AA315" s="39" t="s">
        <v>4881</v>
      </c>
      <c r="AB315" s="39" t="s">
        <v>25</v>
      </c>
      <c r="AC315" s="39" t="s">
        <v>4175</v>
      </c>
      <c r="AD315" s="39"/>
      <c r="AE315" s="39" t="s">
        <v>5224</v>
      </c>
      <c r="AO315" s="39"/>
      <c r="AP315" s="70"/>
      <c r="AQ315" s="71"/>
      <c r="AR315" s="72"/>
      <c r="AU315" s="70"/>
      <c r="AV315" s="77"/>
      <c r="AW315" s="78"/>
      <c r="AX315" s="75"/>
      <c r="BA315" s="76"/>
    </row>
    <row r="316" spans="1:58" ht="60">
      <c r="A316" s="39" t="s">
        <v>5084</v>
      </c>
      <c r="B316" s="39" t="s">
        <v>5225</v>
      </c>
      <c r="C316" s="39" t="s">
        <v>5088</v>
      </c>
      <c r="D316" s="39">
        <v>41</v>
      </c>
      <c r="E316" s="39">
        <v>1</v>
      </c>
      <c r="F316" s="39" t="s">
        <v>5226</v>
      </c>
      <c r="G316" s="39" t="s">
        <v>5226</v>
      </c>
      <c r="H316" s="39" t="s">
        <v>4531</v>
      </c>
      <c r="J316" s="39" t="s">
        <v>4448</v>
      </c>
      <c r="N316" s="39"/>
      <c r="O316" s="70"/>
      <c r="P316" s="71"/>
      <c r="Q316" s="72"/>
      <c r="T316" s="70"/>
      <c r="U316" s="73"/>
      <c r="V316" s="74"/>
      <c r="W316" s="75"/>
      <c r="Z316" s="76"/>
      <c r="AD316" s="39"/>
      <c r="AE316" s="39" t="s">
        <v>5702</v>
      </c>
      <c r="AH316" s="39" t="s">
        <v>5226</v>
      </c>
      <c r="AI316" s="39" t="s">
        <v>4532</v>
      </c>
      <c r="AK316" s="39" t="s">
        <v>4448</v>
      </c>
      <c r="AO316" s="39"/>
      <c r="AP316" s="70"/>
      <c r="AQ316" s="71"/>
      <c r="AR316" s="72"/>
      <c r="AU316" s="70"/>
      <c r="AV316" s="77"/>
      <c r="AW316" s="78"/>
      <c r="AX316" s="75"/>
      <c r="BA316" s="76"/>
      <c r="BF316" s="39" t="s">
        <v>5703</v>
      </c>
    </row>
    <row r="317" spans="1:58" ht="72">
      <c r="A317" s="39" t="s">
        <v>5084</v>
      </c>
      <c r="B317" s="39" t="s">
        <v>5227</v>
      </c>
      <c r="C317" s="39" t="s">
        <v>5088</v>
      </c>
      <c r="D317" s="39">
        <v>42</v>
      </c>
      <c r="E317" s="39">
        <v>1</v>
      </c>
      <c r="F317" s="39" t="s">
        <v>5226</v>
      </c>
      <c r="G317" s="39" t="s">
        <v>5228</v>
      </c>
      <c r="J317" s="39" t="s">
        <v>4449</v>
      </c>
      <c r="L317" s="39">
        <v>1</v>
      </c>
      <c r="N317" s="39"/>
      <c r="O317" s="70"/>
      <c r="P317" s="71"/>
      <c r="Q317" s="72"/>
      <c r="T317" s="70"/>
      <c r="U317" s="73"/>
      <c r="V317" s="74"/>
      <c r="W317" s="75"/>
      <c r="Y317" s="43">
        <v>7</v>
      </c>
      <c r="Z317" s="76"/>
      <c r="AD317" s="39"/>
      <c r="AH317" s="39" t="s">
        <v>5228</v>
      </c>
      <c r="AK317" s="39" t="s">
        <v>4449</v>
      </c>
      <c r="AM317" s="39">
        <v>1</v>
      </c>
      <c r="AO317" s="39"/>
      <c r="AP317" s="70"/>
      <c r="AQ317" s="71"/>
      <c r="AR317" s="72"/>
      <c r="AU317" s="70"/>
      <c r="AV317" s="77"/>
      <c r="AW317" s="78"/>
      <c r="AX317" s="75"/>
      <c r="BA317" s="76"/>
      <c r="BF317" s="39" t="s">
        <v>5229</v>
      </c>
    </row>
    <row r="318" spans="1:58" ht="60">
      <c r="A318" s="39" t="s">
        <v>5084</v>
      </c>
      <c r="B318" s="39" t="s">
        <v>5230</v>
      </c>
      <c r="C318" s="39" t="s">
        <v>5088</v>
      </c>
      <c r="D318" s="39">
        <v>43</v>
      </c>
      <c r="E318" s="39">
        <v>1</v>
      </c>
      <c r="F318" s="39" t="s">
        <v>5226</v>
      </c>
      <c r="G318" s="39" t="s">
        <v>5231</v>
      </c>
      <c r="J318" s="39" t="s">
        <v>4449</v>
      </c>
      <c r="L318" s="39">
        <v>2</v>
      </c>
      <c r="N318" s="39"/>
      <c r="O318" s="70"/>
      <c r="P318" s="71"/>
      <c r="Q318" s="72"/>
      <c r="T318" s="70"/>
      <c r="U318" s="73"/>
      <c r="V318" s="74"/>
      <c r="W318" s="75"/>
      <c r="Y318" s="43">
        <v>3</v>
      </c>
      <c r="Z318" s="76"/>
      <c r="AD318" s="39"/>
      <c r="AE318" s="39" t="s">
        <v>5232</v>
      </c>
      <c r="AH318" s="39" t="s">
        <v>5231</v>
      </c>
      <c r="AK318" s="39" t="s">
        <v>4449</v>
      </c>
      <c r="AM318" s="39">
        <v>2</v>
      </c>
      <c r="AO318" s="39"/>
      <c r="AP318" s="70"/>
      <c r="AQ318" s="71"/>
      <c r="AR318" s="72"/>
      <c r="AU318" s="70"/>
      <c r="AV318" s="77"/>
      <c r="AW318" s="78"/>
      <c r="AX318" s="75"/>
      <c r="BA318" s="76"/>
      <c r="BF318" s="39" t="s">
        <v>5233</v>
      </c>
    </row>
    <row r="319" spans="1:58" ht="60">
      <c r="A319" s="39" t="s">
        <v>5084</v>
      </c>
      <c r="B319" s="39" t="s">
        <v>5234</v>
      </c>
      <c r="C319" s="39" t="s">
        <v>5088</v>
      </c>
      <c r="D319" s="39">
        <v>44</v>
      </c>
      <c r="E319" s="39">
        <v>1</v>
      </c>
      <c r="F319" s="39" t="s">
        <v>5226</v>
      </c>
      <c r="G319" s="39" t="s">
        <v>5235</v>
      </c>
      <c r="J319" s="39" t="s">
        <v>4449</v>
      </c>
      <c r="L319" s="39">
        <v>3</v>
      </c>
      <c r="N319" s="39"/>
      <c r="O319" s="70"/>
      <c r="P319" s="71"/>
      <c r="Q319" s="72"/>
      <c r="T319" s="70"/>
      <c r="U319" s="73"/>
      <c r="V319" s="74"/>
      <c r="W319" s="75"/>
      <c r="Y319" s="43">
        <v>2</v>
      </c>
      <c r="Z319" s="76"/>
      <c r="AD319" s="39"/>
      <c r="AE319" s="39" t="s">
        <v>5236</v>
      </c>
      <c r="AH319" s="39" t="s">
        <v>5235</v>
      </c>
      <c r="AK319" s="39" t="s">
        <v>4449</v>
      </c>
      <c r="AM319" s="39">
        <v>3</v>
      </c>
      <c r="AO319" s="39"/>
      <c r="AP319" s="70"/>
      <c r="AQ319" s="71"/>
      <c r="AR319" s="72"/>
      <c r="AU319" s="70"/>
      <c r="AV319" s="77"/>
      <c r="AW319" s="78"/>
      <c r="AX319" s="75"/>
      <c r="BA319" s="76"/>
      <c r="BF319" s="39" t="s">
        <v>5237</v>
      </c>
    </row>
    <row r="320" spans="1:58" ht="24">
      <c r="A320" s="39" t="s">
        <v>5084</v>
      </c>
      <c r="B320" s="39" t="s">
        <v>5238</v>
      </c>
      <c r="C320" s="39" t="s">
        <v>5088</v>
      </c>
      <c r="D320" s="39">
        <v>45</v>
      </c>
      <c r="E320" s="39">
        <v>1</v>
      </c>
      <c r="F320" s="39" t="s">
        <v>5226</v>
      </c>
      <c r="G320" s="39" t="s">
        <v>5239</v>
      </c>
      <c r="J320" s="39" t="s">
        <v>4451</v>
      </c>
      <c r="L320" s="39">
        <v>1</v>
      </c>
      <c r="N320" s="39"/>
      <c r="O320" s="70"/>
      <c r="P320" s="71"/>
      <c r="Q320" s="72"/>
      <c r="T320" s="70"/>
      <c r="U320" s="73"/>
      <c r="V320" s="74"/>
      <c r="W320" s="75"/>
      <c r="X320" s="63" t="s">
        <v>5441</v>
      </c>
      <c r="Z320" s="76"/>
      <c r="AD320" s="39"/>
      <c r="AH320" s="39" t="s">
        <v>5239</v>
      </c>
      <c r="AK320" s="39" t="s">
        <v>4451</v>
      </c>
      <c r="AM320" s="39">
        <v>1</v>
      </c>
      <c r="AO320" s="39"/>
      <c r="AP320" s="70"/>
      <c r="AQ320" s="71"/>
      <c r="AR320" s="72"/>
      <c r="AU320" s="70"/>
      <c r="AV320" s="77"/>
      <c r="AW320" s="78"/>
      <c r="AX320" s="75"/>
      <c r="BA320" s="76"/>
      <c r="BF320" s="39" t="s">
        <v>5240</v>
      </c>
    </row>
    <row r="321" spans="1:58" ht="96">
      <c r="A321" s="39" t="s">
        <v>5084</v>
      </c>
      <c r="B321" s="39" t="s">
        <v>5241</v>
      </c>
      <c r="C321" s="39" t="s">
        <v>5088</v>
      </c>
      <c r="D321" s="39">
        <v>46</v>
      </c>
      <c r="E321" s="39">
        <v>1</v>
      </c>
      <c r="F321" s="39" t="s">
        <v>5226</v>
      </c>
      <c r="G321" s="39" t="s">
        <v>5242</v>
      </c>
      <c r="J321" s="39" t="s">
        <v>4451</v>
      </c>
      <c r="L321" s="39">
        <v>2</v>
      </c>
      <c r="N321" s="39"/>
      <c r="O321" s="70"/>
      <c r="P321" s="71"/>
      <c r="Q321" s="72"/>
      <c r="T321" s="70"/>
      <c r="U321" s="73"/>
      <c r="V321" s="74"/>
      <c r="W321" s="75"/>
      <c r="X321" s="63">
        <v>0</v>
      </c>
      <c r="Z321" s="76"/>
      <c r="AD321" s="39"/>
      <c r="AE321" s="39" t="s">
        <v>5243</v>
      </c>
      <c r="AH321" s="39" t="s">
        <v>5242</v>
      </c>
      <c r="AK321" s="39" t="s">
        <v>4451</v>
      </c>
      <c r="AM321" s="39">
        <v>2</v>
      </c>
      <c r="AO321" s="39"/>
      <c r="AP321" s="70"/>
      <c r="AQ321" s="71"/>
      <c r="AR321" s="72"/>
      <c r="AU321" s="70"/>
      <c r="AV321" s="77"/>
      <c r="AW321" s="78"/>
      <c r="AX321" s="75"/>
      <c r="BA321" s="76"/>
      <c r="BF321" s="39" t="s">
        <v>5244</v>
      </c>
    </row>
    <row r="322" spans="1:58" ht="24">
      <c r="A322" s="39" t="s">
        <v>5084</v>
      </c>
      <c r="B322" s="39" t="s">
        <v>5245</v>
      </c>
      <c r="C322" s="39" t="s">
        <v>5088</v>
      </c>
      <c r="D322" s="39">
        <v>47</v>
      </c>
      <c r="E322" s="39">
        <v>1</v>
      </c>
      <c r="F322" s="39" t="s">
        <v>5226</v>
      </c>
      <c r="G322" s="39" t="s">
        <v>5246</v>
      </c>
      <c r="J322" s="39" t="s">
        <v>4451</v>
      </c>
      <c r="L322" s="39">
        <v>3</v>
      </c>
      <c r="N322" s="39"/>
      <c r="O322" s="70"/>
      <c r="P322" s="71"/>
      <c r="Q322" s="72"/>
      <c r="T322" s="70"/>
      <c r="U322" s="73"/>
      <c r="V322" s="74"/>
      <c r="W322" s="75"/>
      <c r="X322" s="63">
        <v>0</v>
      </c>
      <c r="Z322" s="76"/>
      <c r="AD322" s="39"/>
      <c r="AE322" s="39" t="s">
        <v>5247</v>
      </c>
      <c r="AH322" s="39" t="s">
        <v>5246</v>
      </c>
      <c r="AK322" s="39" t="s">
        <v>4451</v>
      </c>
      <c r="AM322" s="39">
        <v>3</v>
      </c>
      <c r="AO322" s="39"/>
      <c r="AP322" s="70"/>
      <c r="AQ322" s="71"/>
      <c r="AR322" s="72"/>
      <c r="AU322" s="70"/>
      <c r="AV322" s="77"/>
      <c r="AW322" s="78"/>
      <c r="AX322" s="75"/>
      <c r="BA322" s="76"/>
      <c r="BF322" s="39" t="s">
        <v>5248</v>
      </c>
    </row>
    <row r="323" spans="1:58" ht="24">
      <c r="A323" s="39" t="s">
        <v>5084</v>
      </c>
      <c r="B323" s="39" t="s">
        <v>5249</v>
      </c>
      <c r="C323" s="39" t="s">
        <v>5088</v>
      </c>
      <c r="D323" s="39">
        <v>48</v>
      </c>
      <c r="E323" s="39">
        <v>1</v>
      </c>
      <c r="F323" s="39" t="s">
        <v>5226</v>
      </c>
      <c r="G323" s="39" t="s">
        <v>5250</v>
      </c>
      <c r="J323" s="39" t="s">
        <v>31</v>
      </c>
      <c r="N323" s="39"/>
      <c r="O323" s="70"/>
      <c r="P323" s="71"/>
      <c r="Q323" s="72"/>
      <c r="T323" s="70"/>
      <c r="U323" s="73"/>
      <c r="V323" s="74"/>
      <c r="W323" s="75"/>
      <c r="Z323" s="76"/>
      <c r="AC323" s="39" t="s">
        <v>4096</v>
      </c>
      <c r="AD323" s="39"/>
      <c r="AH323" s="39" t="s">
        <v>5250</v>
      </c>
      <c r="AK323" s="39" t="s">
        <v>31</v>
      </c>
      <c r="AO323" s="39"/>
      <c r="AP323" s="70"/>
      <c r="AQ323" s="71"/>
      <c r="AR323" s="72"/>
      <c r="AU323" s="70"/>
      <c r="AV323" s="77"/>
      <c r="AW323" s="78"/>
      <c r="AX323" s="75">
        <v>3</v>
      </c>
      <c r="AY323" s="63">
        <v>0</v>
      </c>
      <c r="BA323" s="76"/>
      <c r="BD323" s="39" t="s">
        <v>4096</v>
      </c>
      <c r="BF323" s="39" t="s">
        <v>5251</v>
      </c>
    </row>
    <row r="324" spans="1:58" ht="36">
      <c r="A324" s="39" t="s">
        <v>5084</v>
      </c>
      <c r="B324" s="39" t="s">
        <v>5252</v>
      </c>
      <c r="C324" s="39" t="s">
        <v>5088</v>
      </c>
      <c r="D324" s="39">
        <v>49</v>
      </c>
      <c r="E324" s="39">
        <v>1</v>
      </c>
      <c r="F324" s="39" t="s">
        <v>5226</v>
      </c>
      <c r="G324" s="39" t="s">
        <v>5253</v>
      </c>
      <c r="J324" s="39" t="s">
        <v>31</v>
      </c>
      <c r="N324" s="39"/>
      <c r="O324" s="70"/>
      <c r="P324" s="71"/>
      <c r="Q324" s="72"/>
      <c r="T324" s="70"/>
      <c r="U324" s="73"/>
      <c r="V324" s="74"/>
      <c r="W324" s="75"/>
      <c r="Z324" s="76"/>
      <c r="AC324" s="39" t="s">
        <v>4096</v>
      </c>
      <c r="AD324" s="39"/>
      <c r="AH324" s="39" t="s">
        <v>5253</v>
      </c>
      <c r="AK324" s="39" t="s">
        <v>31</v>
      </c>
      <c r="AO324" s="39"/>
      <c r="AP324" s="70"/>
      <c r="AQ324" s="71"/>
      <c r="AR324" s="72"/>
      <c r="AU324" s="70"/>
      <c r="AV324" s="77"/>
      <c r="AW324" s="78"/>
      <c r="AX324" s="75">
        <v>3</v>
      </c>
      <c r="AY324" s="63" t="s">
        <v>5442</v>
      </c>
      <c r="BA324" s="76"/>
      <c r="BD324" s="39" t="s">
        <v>4096</v>
      </c>
      <c r="BF324" s="39" t="s">
        <v>5254</v>
      </c>
    </row>
    <row r="325" spans="1:58" ht="24">
      <c r="A325" s="39" t="s">
        <v>5084</v>
      </c>
      <c r="B325" s="39" t="s">
        <v>5255</v>
      </c>
      <c r="C325" s="39" t="s">
        <v>5088</v>
      </c>
      <c r="D325" s="39">
        <v>50</v>
      </c>
      <c r="E325" s="39">
        <v>1</v>
      </c>
      <c r="F325" s="39" t="s">
        <v>5226</v>
      </c>
      <c r="G325" s="39" t="s">
        <v>5256</v>
      </c>
      <c r="J325" s="39" t="s">
        <v>31</v>
      </c>
      <c r="N325" s="39"/>
      <c r="O325" s="70"/>
      <c r="P325" s="71"/>
      <c r="Q325" s="72"/>
      <c r="T325" s="70"/>
      <c r="U325" s="73"/>
      <c r="V325" s="74"/>
      <c r="W325" s="75"/>
      <c r="Z325" s="76"/>
      <c r="AC325" s="39" t="s">
        <v>4096</v>
      </c>
      <c r="AD325" s="39"/>
      <c r="AH325" s="39" t="s">
        <v>5256</v>
      </c>
      <c r="AK325" s="39" t="s">
        <v>31</v>
      </c>
      <c r="AO325" s="39"/>
      <c r="AP325" s="70"/>
      <c r="AQ325" s="71"/>
      <c r="AR325" s="72"/>
      <c r="AU325" s="70"/>
      <c r="AV325" s="77"/>
      <c r="AW325" s="78"/>
      <c r="AX325" s="75">
        <v>3</v>
      </c>
      <c r="AY325" s="63" t="s">
        <v>4871</v>
      </c>
      <c r="BA325" s="76">
        <v>1</v>
      </c>
      <c r="BD325" s="39" t="s">
        <v>4096</v>
      </c>
      <c r="BF325" s="39" t="s">
        <v>5257</v>
      </c>
    </row>
    <row r="326" spans="1:58" ht="36">
      <c r="A326" s="39" t="s">
        <v>5084</v>
      </c>
      <c r="B326" s="39" t="s">
        <v>5258</v>
      </c>
      <c r="C326" s="39" t="s">
        <v>5088</v>
      </c>
      <c r="D326" s="39">
        <v>51</v>
      </c>
      <c r="E326" s="39">
        <v>1</v>
      </c>
      <c r="F326" s="39" t="s">
        <v>5226</v>
      </c>
      <c r="G326" s="39" t="s">
        <v>5259</v>
      </c>
      <c r="J326" s="39" t="s">
        <v>31</v>
      </c>
      <c r="N326" s="39"/>
      <c r="O326" s="70"/>
      <c r="P326" s="71"/>
      <c r="Q326" s="72"/>
      <c r="T326" s="70"/>
      <c r="U326" s="73"/>
      <c r="V326" s="74"/>
      <c r="W326" s="75"/>
      <c r="Z326" s="76"/>
      <c r="AC326" s="39" t="s">
        <v>4096</v>
      </c>
      <c r="AD326" s="39"/>
      <c r="AH326" s="39" t="s">
        <v>5259</v>
      </c>
      <c r="AK326" s="39" t="s">
        <v>31</v>
      </c>
      <c r="AO326" s="39"/>
      <c r="AP326" s="70"/>
      <c r="AQ326" s="71"/>
      <c r="AR326" s="72"/>
      <c r="AU326" s="70"/>
      <c r="AV326" s="77"/>
      <c r="AW326" s="78"/>
      <c r="AX326" s="75">
        <v>1</v>
      </c>
      <c r="AY326" s="63">
        <v>2</v>
      </c>
      <c r="BA326" s="76"/>
      <c r="BD326" s="39" t="s">
        <v>4096</v>
      </c>
      <c r="BF326" s="39" t="s">
        <v>5260</v>
      </c>
    </row>
    <row r="327" spans="1:58" ht="24">
      <c r="A327" s="39" t="s">
        <v>5084</v>
      </c>
      <c r="B327" s="39" t="s">
        <v>5261</v>
      </c>
      <c r="C327" s="39" t="s">
        <v>5088</v>
      </c>
      <c r="D327" s="39">
        <v>52</v>
      </c>
      <c r="E327" s="39">
        <v>1</v>
      </c>
      <c r="F327" s="39" t="s">
        <v>5226</v>
      </c>
      <c r="G327" s="39" t="s">
        <v>5262</v>
      </c>
      <c r="J327" s="39" t="s">
        <v>31</v>
      </c>
      <c r="N327" s="39"/>
      <c r="O327" s="70"/>
      <c r="P327" s="71"/>
      <c r="Q327" s="72"/>
      <c r="T327" s="70"/>
      <c r="U327" s="73"/>
      <c r="V327" s="74"/>
      <c r="W327" s="75"/>
      <c r="Z327" s="76"/>
      <c r="AC327" s="39" t="s">
        <v>4096</v>
      </c>
      <c r="AD327" s="39"/>
      <c r="AE327" s="39" t="s">
        <v>5263</v>
      </c>
      <c r="AH327" s="39" t="s">
        <v>5262</v>
      </c>
      <c r="AK327" s="39" t="s">
        <v>31</v>
      </c>
      <c r="AO327" s="39"/>
      <c r="AP327" s="70"/>
      <c r="AQ327" s="71"/>
      <c r="AR327" s="72"/>
      <c r="AU327" s="70"/>
      <c r="AV327" s="77"/>
      <c r="AW327" s="78"/>
      <c r="AX327" s="75">
        <v>1</v>
      </c>
      <c r="AY327" s="63" t="s">
        <v>5441</v>
      </c>
      <c r="BA327" s="76">
        <v>1</v>
      </c>
      <c r="BD327" s="39" t="s">
        <v>4096</v>
      </c>
      <c r="BF327" s="39" t="s">
        <v>5264</v>
      </c>
    </row>
    <row r="328" spans="1:58" ht="48">
      <c r="A328" s="39" t="s">
        <v>5084</v>
      </c>
      <c r="B328" s="39" t="s">
        <v>5265</v>
      </c>
      <c r="C328" s="39" t="s">
        <v>5088</v>
      </c>
      <c r="D328" s="39">
        <v>53</v>
      </c>
      <c r="E328" s="39">
        <v>1</v>
      </c>
      <c r="F328" s="39" t="s">
        <v>5226</v>
      </c>
      <c r="G328" s="39" t="s">
        <v>5445</v>
      </c>
      <c r="J328" s="39" t="s">
        <v>31</v>
      </c>
      <c r="N328" s="39"/>
      <c r="O328" s="70"/>
      <c r="P328" s="71"/>
      <c r="Q328" s="72"/>
      <c r="T328" s="70"/>
      <c r="U328" s="73"/>
      <c r="V328" s="74"/>
      <c r="W328" s="75"/>
      <c r="Z328" s="76"/>
      <c r="AC328" s="39" t="s">
        <v>4096</v>
      </c>
      <c r="AD328" s="39"/>
      <c r="AH328" s="39" t="s">
        <v>5445</v>
      </c>
      <c r="AK328" s="39" t="s">
        <v>31</v>
      </c>
      <c r="AO328" s="39"/>
      <c r="AP328" s="70"/>
      <c r="AQ328" s="71"/>
      <c r="AR328" s="72"/>
      <c r="AU328" s="70"/>
      <c r="AV328" s="77"/>
      <c r="AW328" s="78"/>
      <c r="AX328" s="75">
        <v>4</v>
      </c>
      <c r="AY328" s="63" t="s">
        <v>4871</v>
      </c>
      <c r="BA328" s="76"/>
      <c r="BD328" s="39" t="s">
        <v>4096</v>
      </c>
      <c r="BF328" s="39" t="s">
        <v>5266</v>
      </c>
    </row>
    <row r="329" spans="1:58" ht="60">
      <c r="A329" s="39" t="s">
        <v>5084</v>
      </c>
      <c r="B329" s="39" t="s">
        <v>5267</v>
      </c>
      <c r="C329" s="39" t="s">
        <v>5088</v>
      </c>
      <c r="D329" s="39">
        <v>54</v>
      </c>
      <c r="E329" s="39">
        <v>1</v>
      </c>
      <c r="F329" s="39" t="s">
        <v>5226</v>
      </c>
      <c r="G329" s="39" t="s">
        <v>5268</v>
      </c>
      <c r="J329" s="39" t="s">
        <v>31</v>
      </c>
      <c r="N329" s="39"/>
      <c r="O329" s="70"/>
      <c r="P329" s="71"/>
      <c r="Q329" s="72"/>
      <c r="T329" s="70"/>
      <c r="U329" s="73"/>
      <c r="V329" s="74"/>
      <c r="W329" s="75"/>
      <c r="Z329" s="76"/>
      <c r="AC329" s="39" t="s">
        <v>4096</v>
      </c>
      <c r="AD329" s="39"/>
      <c r="AE329" s="39" t="s">
        <v>5269</v>
      </c>
      <c r="AH329" s="39" t="s">
        <v>5268</v>
      </c>
      <c r="AI329" s="39" t="s">
        <v>5270</v>
      </c>
      <c r="AK329" s="39" t="s">
        <v>31</v>
      </c>
      <c r="AO329" s="39"/>
      <c r="AP329" s="70"/>
      <c r="AQ329" s="71"/>
      <c r="AR329" s="72"/>
      <c r="AU329" s="70"/>
      <c r="AV329" s="77"/>
      <c r="AW329" s="78"/>
      <c r="AX329" s="75">
        <v>2</v>
      </c>
      <c r="AY329" s="63" t="s">
        <v>5442</v>
      </c>
      <c r="BA329" s="76">
        <v>1</v>
      </c>
      <c r="BD329" s="39" t="s">
        <v>4096</v>
      </c>
      <c r="BF329" s="39" t="s">
        <v>5271</v>
      </c>
    </row>
    <row r="330" spans="1:58" ht="24">
      <c r="A330" s="39" t="s">
        <v>5084</v>
      </c>
      <c r="B330" s="39" t="s">
        <v>5272</v>
      </c>
      <c r="C330" s="39" t="s">
        <v>5088</v>
      </c>
      <c r="D330" s="39">
        <v>55</v>
      </c>
      <c r="E330" s="39">
        <v>1</v>
      </c>
      <c r="F330" s="39" t="s">
        <v>5226</v>
      </c>
      <c r="G330" s="39" t="s">
        <v>5268</v>
      </c>
      <c r="J330" s="39" t="s">
        <v>31</v>
      </c>
      <c r="N330" s="39"/>
      <c r="O330" s="70"/>
      <c r="P330" s="71"/>
      <c r="Q330" s="72"/>
      <c r="T330" s="70"/>
      <c r="U330" s="73"/>
      <c r="V330" s="74"/>
      <c r="W330" s="75"/>
      <c r="Z330" s="76"/>
      <c r="AC330" s="39" t="s">
        <v>4096</v>
      </c>
      <c r="AD330" s="39"/>
      <c r="AE330" s="39" t="s">
        <v>5269</v>
      </c>
      <c r="AH330" s="39" t="s">
        <v>5268</v>
      </c>
      <c r="AI330" s="39" t="s">
        <v>5273</v>
      </c>
      <c r="AK330" s="39" t="s">
        <v>31</v>
      </c>
      <c r="AO330" s="39"/>
      <c r="AP330" s="70"/>
      <c r="AQ330" s="71"/>
      <c r="AR330" s="72"/>
      <c r="AU330" s="70"/>
      <c r="AV330" s="77"/>
      <c r="AW330" s="78"/>
      <c r="AX330" s="75">
        <v>2</v>
      </c>
      <c r="AY330" s="63">
        <v>0</v>
      </c>
      <c r="BA330" s="76"/>
      <c r="BD330" s="39" t="s">
        <v>4096</v>
      </c>
    </row>
    <row r="331" spans="1:58" ht="48">
      <c r="A331" s="39" t="s">
        <v>5084</v>
      </c>
      <c r="B331" s="39" t="s">
        <v>5274</v>
      </c>
      <c r="C331" s="39" t="s">
        <v>5088</v>
      </c>
      <c r="D331" s="39">
        <v>56</v>
      </c>
      <c r="E331" s="39">
        <v>1</v>
      </c>
      <c r="F331" s="39" t="s">
        <v>5226</v>
      </c>
      <c r="G331" s="39" t="s">
        <v>5275</v>
      </c>
      <c r="J331" s="39" t="s">
        <v>31</v>
      </c>
      <c r="N331" s="39"/>
      <c r="O331" s="70"/>
      <c r="P331" s="71"/>
      <c r="Q331" s="72"/>
      <c r="T331" s="70"/>
      <c r="U331" s="73"/>
      <c r="V331" s="74"/>
      <c r="W331" s="75"/>
      <c r="Z331" s="76"/>
      <c r="AC331" s="39" t="s">
        <v>4096</v>
      </c>
      <c r="AD331" s="39"/>
      <c r="AH331" s="39" t="s">
        <v>5275</v>
      </c>
      <c r="AK331" s="39" t="s">
        <v>31</v>
      </c>
      <c r="AO331" s="39"/>
      <c r="AP331" s="70"/>
      <c r="AQ331" s="71"/>
      <c r="AR331" s="72"/>
      <c r="AU331" s="70"/>
      <c r="AV331" s="77"/>
      <c r="AW331" s="78"/>
      <c r="AX331" s="75">
        <v>2</v>
      </c>
      <c r="AY331" s="63" t="s">
        <v>4871</v>
      </c>
      <c r="BA331" s="76"/>
      <c r="BD331" s="39" t="s">
        <v>4096</v>
      </c>
      <c r="BF331" s="39" t="s">
        <v>5276</v>
      </c>
    </row>
    <row r="332" spans="1:58" ht="36">
      <c r="A332" s="39" t="s">
        <v>5084</v>
      </c>
      <c r="B332" s="39" t="s">
        <v>5277</v>
      </c>
      <c r="C332" s="39" t="s">
        <v>5088</v>
      </c>
      <c r="D332" s="39">
        <v>57</v>
      </c>
      <c r="E332" s="39">
        <v>1</v>
      </c>
      <c r="F332" s="39" t="s">
        <v>5226</v>
      </c>
      <c r="G332" s="39" t="s">
        <v>5278</v>
      </c>
      <c r="J332" s="39" t="s">
        <v>31</v>
      </c>
      <c r="N332" s="39"/>
      <c r="O332" s="70"/>
      <c r="P332" s="71"/>
      <c r="Q332" s="72"/>
      <c r="T332" s="70"/>
      <c r="U332" s="73"/>
      <c r="V332" s="74"/>
      <c r="W332" s="75"/>
      <c r="Z332" s="76"/>
      <c r="AC332" s="39" t="s">
        <v>4096</v>
      </c>
      <c r="AD332" s="39"/>
      <c r="AE332" s="39" t="s">
        <v>5279</v>
      </c>
      <c r="AH332" s="39" t="s">
        <v>5278</v>
      </c>
      <c r="AK332" s="39" t="s">
        <v>31</v>
      </c>
      <c r="AO332" s="39"/>
      <c r="AP332" s="70"/>
      <c r="AQ332" s="71"/>
      <c r="AR332" s="72"/>
      <c r="AU332" s="70"/>
      <c r="AV332" s="77"/>
      <c r="AW332" s="78"/>
      <c r="AX332" s="75">
        <v>5</v>
      </c>
      <c r="AY332" s="63">
        <v>0</v>
      </c>
      <c r="BA332" s="76"/>
      <c r="BD332" s="39" t="s">
        <v>4096</v>
      </c>
      <c r="BF332" s="39" t="s">
        <v>5280</v>
      </c>
    </row>
    <row r="333" spans="1:58" ht="48">
      <c r="A333" s="39" t="s">
        <v>5084</v>
      </c>
      <c r="B333" s="39" t="s">
        <v>5281</v>
      </c>
      <c r="C333" s="39" t="s">
        <v>5088</v>
      </c>
      <c r="D333" s="39">
        <v>58</v>
      </c>
      <c r="E333" s="39">
        <v>1</v>
      </c>
      <c r="F333" s="39" t="s">
        <v>5226</v>
      </c>
      <c r="G333" s="39" t="s">
        <v>5282</v>
      </c>
      <c r="H333" s="39" t="s">
        <v>5283</v>
      </c>
      <c r="I333" s="39" t="s">
        <v>4077</v>
      </c>
      <c r="J333" s="39" t="s">
        <v>29</v>
      </c>
      <c r="N333" s="39"/>
      <c r="O333" s="70"/>
      <c r="P333" s="71"/>
      <c r="Q333" s="72">
        <v>4</v>
      </c>
      <c r="R333" s="63">
        <v>2</v>
      </c>
      <c r="S333" s="43">
        <v>7</v>
      </c>
      <c r="T333" s="70"/>
      <c r="U333" s="73">
        <v>2</v>
      </c>
      <c r="V333" s="74">
        <v>2</v>
      </c>
      <c r="W333" s="75"/>
      <c r="Z333" s="76">
        <v>2</v>
      </c>
      <c r="AC333" s="39" t="s">
        <v>5284</v>
      </c>
      <c r="AD333" s="39" t="s">
        <v>5704</v>
      </c>
      <c r="AE333" s="39" t="s">
        <v>5705</v>
      </c>
      <c r="AO333" s="39"/>
      <c r="AP333" s="70"/>
      <c r="AQ333" s="71"/>
      <c r="AR333" s="72"/>
      <c r="AU333" s="70"/>
      <c r="AV333" s="77"/>
      <c r="AW333" s="78"/>
      <c r="AX333" s="75"/>
      <c r="BA333" s="76"/>
    </row>
    <row r="334" spans="1:58" ht="36">
      <c r="A334" s="39" t="s">
        <v>5084</v>
      </c>
      <c r="B334" s="39" t="s">
        <v>5285</v>
      </c>
      <c r="C334" s="39" t="s">
        <v>5088</v>
      </c>
      <c r="D334" s="39">
        <v>59</v>
      </c>
      <c r="E334" s="39">
        <v>1</v>
      </c>
      <c r="F334" s="39" t="s">
        <v>5226</v>
      </c>
      <c r="G334" s="39" t="s">
        <v>5286</v>
      </c>
      <c r="J334" s="39" t="s">
        <v>4111</v>
      </c>
      <c r="K334" s="39" t="s">
        <v>26</v>
      </c>
      <c r="N334" s="39"/>
      <c r="O334" s="70"/>
      <c r="P334" s="71"/>
      <c r="Q334" s="72"/>
      <c r="T334" s="70"/>
      <c r="U334" s="73"/>
      <c r="V334" s="74"/>
      <c r="W334" s="75"/>
      <c r="Z334" s="76"/>
      <c r="AC334" s="39" t="s">
        <v>5167</v>
      </c>
      <c r="AD334" s="39"/>
      <c r="AE334" s="39" t="s">
        <v>5287</v>
      </c>
      <c r="AO334" s="39"/>
      <c r="AP334" s="70"/>
      <c r="AQ334" s="71"/>
      <c r="AR334" s="72"/>
      <c r="AU334" s="70"/>
      <c r="AV334" s="77"/>
      <c r="AW334" s="78"/>
      <c r="AX334" s="75"/>
      <c r="BA334" s="76"/>
    </row>
    <row r="335" spans="1:58" ht="72">
      <c r="A335" s="39" t="s">
        <v>5084</v>
      </c>
      <c r="B335" s="39" t="s">
        <v>5288</v>
      </c>
      <c r="C335" s="39" t="s">
        <v>5088</v>
      </c>
      <c r="D335" s="39">
        <v>60</v>
      </c>
      <c r="E335" s="39">
        <v>1</v>
      </c>
      <c r="F335" s="39" t="s">
        <v>5226</v>
      </c>
      <c r="G335" s="39" t="s">
        <v>5289</v>
      </c>
      <c r="H335" s="39" t="s">
        <v>5290</v>
      </c>
      <c r="I335" s="39" t="s">
        <v>4077</v>
      </c>
      <c r="J335" s="39" t="s">
        <v>4111</v>
      </c>
      <c r="K335" s="39" t="s">
        <v>26</v>
      </c>
      <c r="N335" s="39"/>
      <c r="O335" s="70"/>
      <c r="P335" s="71"/>
      <c r="Q335" s="72"/>
      <c r="S335" s="43">
        <v>2</v>
      </c>
      <c r="T335" s="70">
        <v>2</v>
      </c>
      <c r="U335" s="73"/>
      <c r="V335" s="74"/>
      <c r="W335" s="75"/>
      <c r="Z335" s="76"/>
      <c r="AC335" s="39" t="s">
        <v>4175</v>
      </c>
      <c r="AD335" s="39"/>
      <c r="AE335" s="39" t="s">
        <v>5291</v>
      </c>
      <c r="AO335" s="39"/>
      <c r="AP335" s="70"/>
      <c r="AQ335" s="71"/>
      <c r="AR335" s="72"/>
      <c r="AU335" s="70"/>
      <c r="AV335" s="77"/>
      <c r="AW335" s="78"/>
      <c r="AX335" s="75"/>
      <c r="BA335" s="76"/>
    </row>
    <row r="336" spans="1:58" ht="36">
      <c r="A336" s="39" t="s">
        <v>5084</v>
      </c>
      <c r="B336" s="39" t="s">
        <v>5292</v>
      </c>
      <c r="C336" s="39" t="s">
        <v>5088</v>
      </c>
      <c r="D336" s="39">
        <v>61</v>
      </c>
      <c r="E336" s="39">
        <v>1</v>
      </c>
      <c r="F336" s="39" t="s">
        <v>5226</v>
      </c>
      <c r="G336" s="39" t="s">
        <v>5293</v>
      </c>
      <c r="H336" s="39" t="s">
        <v>5294</v>
      </c>
      <c r="I336" s="39" t="s">
        <v>4077</v>
      </c>
      <c r="J336" s="39" t="s">
        <v>4111</v>
      </c>
      <c r="K336" s="39" t="s">
        <v>26</v>
      </c>
      <c r="N336" s="39">
        <v>3</v>
      </c>
      <c r="O336" s="70"/>
      <c r="P336" s="71"/>
      <c r="Q336" s="72"/>
      <c r="S336" s="43">
        <v>2</v>
      </c>
      <c r="T336" s="70">
        <v>3</v>
      </c>
      <c r="U336" s="73"/>
      <c r="V336" s="74"/>
      <c r="W336" s="75"/>
      <c r="Z336" s="76"/>
      <c r="AA336" s="39" t="s">
        <v>4973</v>
      </c>
      <c r="AB336" s="39" t="s">
        <v>25</v>
      </c>
      <c r="AC336" s="39" t="s">
        <v>4175</v>
      </c>
      <c r="AD336" s="39"/>
      <c r="AE336" s="39" t="s">
        <v>5295</v>
      </c>
      <c r="AO336" s="39"/>
      <c r="AP336" s="70"/>
      <c r="AQ336" s="71"/>
      <c r="AR336" s="72"/>
      <c r="AU336" s="70"/>
      <c r="AV336" s="77"/>
      <c r="AW336" s="78"/>
      <c r="AX336" s="75"/>
      <c r="BA336" s="76"/>
    </row>
    <row r="337" spans="1:58" ht="48">
      <c r="A337" s="39" t="s">
        <v>5084</v>
      </c>
      <c r="B337" s="39" t="s">
        <v>5296</v>
      </c>
      <c r="C337" s="39" t="s">
        <v>5088</v>
      </c>
      <c r="D337" s="39">
        <v>62</v>
      </c>
      <c r="E337" s="39">
        <v>1</v>
      </c>
      <c r="F337" s="39" t="s">
        <v>5297</v>
      </c>
      <c r="G337" s="39" t="s">
        <v>5297</v>
      </c>
      <c r="H337" s="39" t="s">
        <v>4531</v>
      </c>
      <c r="J337" s="39" t="s">
        <v>4448</v>
      </c>
      <c r="N337" s="39"/>
      <c r="O337" s="70"/>
      <c r="P337" s="71"/>
      <c r="Q337" s="72"/>
      <c r="T337" s="70"/>
      <c r="U337" s="73"/>
      <c r="V337" s="74"/>
      <c r="W337" s="75"/>
      <c r="Z337" s="76"/>
      <c r="AD337" s="39"/>
      <c r="AE337" s="39" t="s">
        <v>5706</v>
      </c>
      <c r="AH337" s="39" t="s">
        <v>5297</v>
      </c>
      <c r="AI337" s="39" t="s">
        <v>4532</v>
      </c>
      <c r="AK337" s="39" t="s">
        <v>4448</v>
      </c>
      <c r="AO337" s="39"/>
      <c r="AP337" s="70"/>
      <c r="AQ337" s="71"/>
      <c r="AR337" s="72"/>
      <c r="AU337" s="70"/>
      <c r="AV337" s="77"/>
      <c r="AW337" s="78"/>
      <c r="AX337" s="75"/>
      <c r="BA337" s="76"/>
      <c r="BF337" s="39" t="s">
        <v>5707</v>
      </c>
    </row>
    <row r="338" spans="1:58" ht="48">
      <c r="A338" s="39" t="s">
        <v>5084</v>
      </c>
      <c r="B338" s="39" t="s">
        <v>5298</v>
      </c>
      <c r="C338" s="39" t="s">
        <v>5088</v>
      </c>
      <c r="D338" s="39">
        <v>63</v>
      </c>
      <c r="E338" s="39">
        <v>1</v>
      </c>
      <c r="F338" s="39" t="s">
        <v>5297</v>
      </c>
      <c r="G338" s="39" t="s">
        <v>5299</v>
      </c>
      <c r="J338" s="39" t="s">
        <v>4449</v>
      </c>
      <c r="L338" s="39">
        <v>1</v>
      </c>
      <c r="N338" s="39"/>
      <c r="O338" s="70"/>
      <c r="P338" s="71"/>
      <c r="Q338" s="72"/>
      <c r="T338" s="70"/>
      <c r="U338" s="73"/>
      <c r="V338" s="74"/>
      <c r="W338" s="75"/>
      <c r="Y338" s="43">
        <v>4</v>
      </c>
      <c r="Z338" s="76"/>
      <c r="AD338" s="39"/>
      <c r="AE338" s="39" t="s">
        <v>5300</v>
      </c>
      <c r="AH338" s="39" t="s">
        <v>5446</v>
      </c>
      <c r="AK338" s="39" t="s">
        <v>4449</v>
      </c>
      <c r="AM338" s="39">
        <v>1</v>
      </c>
      <c r="AO338" s="39"/>
      <c r="AP338" s="70"/>
      <c r="AQ338" s="71"/>
      <c r="AR338" s="72"/>
      <c r="AU338" s="70"/>
      <c r="AV338" s="77"/>
      <c r="AW338" s="78"/>
      <c r="AX338" s="75"/>
      <c r="BA338" s="76"/>
      <c r="BF338" s="39" t="s">
        <v>5301</v>
      </c>
    </row>
    <row r="339" spans="1:58" ht="96">
      <c r="A339" s="39" t="s">
        <v>5084</v>
      </c>
      <c r="B339" s="39" t="s">
        <v>5302</v>
      </c>
      <c r="C339" s="39" t="s">
        <v>5088</v>
      </c>
      <c r="D339" s="39">
        <v>64</v>
      </c>
      <c r="E339" s="39">
        <v>1</v>
      </c>
      <c r="F339" s="39" t="s">
        <v>5297</v>
      </c>
      <c r="G339" s="39" t="s">
        <v>5303</v>
      </c>
      <c r="J339" s="39" t="s">
        <v>4449</v>
      </c>
      <c r="L339" s="39">
        <v>2</v>
      </c>
      <c r="N339" s="39"/>
      <c r="O339" s="70"/>
      <c r="P339" s="71"/>
      <c r="Q339" s="72"/>
      <c r="T339" s="70"/>
      <c r="U339" s="73"/>
      <c r="V339" s="74"/>
      <c r="W339" s="75"/>
      <c r="Y339" s="43">
        <v>3</v>
      </c>
      <c r="Z339" s="76"/>
      <c r="AD339" s="39"/>
      <c r="AH339" s="39" t="s">
        <v>5447</v>
      </c>
      <c r="AK339" s="39" t="s">
        <v>4449</v>
      </c>
      <c r="AM339" s="39">
        <v>2</v>
      </c>
      <c r="AO339" s="39"/>
      <c r="AP339" s="70"/>
      <c r="AQ339" s="71"/>
      <c r="AR339" s="72"/>
      <c r="AU339" s="70"/>
      <c r="AV339" s="77"/>
      <c r="AW339" s="78"/>
      <c r="AX339" s="75"/>
      <c r="BA339" s="76"/>
      <c r="BF339" s="39" t="s">
        <v>5304</v>
      </c>
    </row>
    <row r="340" spans="1:58" ht="36">
      <c r="A340" s="39" t="s">
        <v>5084</v>
      </c>
      <c r="B340" s="39" t="s">
        <v>5305</v>
      </c>
      <c r="C340" s="39" t="s">
        <v>5088</v>
      </c>
      <c r="D340" s="39">
        <v>65</v>
      </c>
      <c r="E340" s="39">
        <v>1</v>
      </c>
      <c r="F340" s="39" t="s">
        <v>5297</v>
      </c>
      <c r="G340" s="39" t="s">
        <v>5306</v>
      </c>
      <c r="J340" s="39" t="s">
        <v>4449</v>
      </c>
      <c r="L340" s="39">
        <v>3</v>
      </c>
      <c r="N340" s="39"/>
      <c r="O340" s="70"/>
      <c r="P340" s="71"/>
      <c r="Q340" s="72"/>
      <c r="T340" s="70"/>
      <c r="U340" s="73"/>
      <c r="V340" s="74"/>
      <c r="W340" s="75"/>
      <c r="Y340" s="43">
        <v>7</v>
      </c>
      <c r="Z340" s="76"/>
      <c r="AD340" s="39"/>
      <c r="AE340" s="39" t="s">
        <v>5307</v>
      </c>
      <c r="AH340" s="39" t="s">
        <v>5448</v>
      </c>
      <c r="AK340" s="39" t="s">
        <v>4449</v>
      </c>
      <c r="AM340" s="39">
        <v>3</v>
      </c>
      <c r="AO340" s="39"/>
      <c r="AP340" s="70"/>
      <c r="AQ340" s="71"/>
      <c r="AR340" s="72"/>
      <c r="AU340" s="70"/>
      <c r="AV340" s="77"/>
      <c r="AW340" s="78"/>
      <c r="AX340" s="75"/>
      <c r="BA340" s="76"/>
      <c r="BF340" s="39" t="s">
        <v>5308</v>
      </c>
    </row>
    <row r="341" spans="1:58" ht="84">
      <c r="A341" s="39" t="s">
        <v>5084</v>
      </c>
      <c r="B341" s="39" t="s">
        <v>5309</v>
      </c>
      <c r="C341" s="39" t="s">
        <v>5088</v>
      </c>
      <c r="D341" s="39">
        <v>66</v>
      </c>
      <c r="E341" s="39">
        <v>1</v>
      </c>
      <c r="F341" s="39" t="s">
        <v>5297</v>
      </c>
      <c r="G341" s="39" t="s">
        <v>5310</v>
      </c>
      <c r="J341" s="39" t="s">
        <v>4451</v>
      </c>
      <c r="L341" s="39">
        <v>1</v>
      </c>
      <c r="N341" s="39"/>
      <c r="O341" s="70"/>
      <c r="P341" s="71"/>
      <c r="Q341" s="72"/>
      <c r="T341" s="70"/>
      <c r="U341" s="73"/>
      <c r="V341" s="74"/>
      <c r="W341" s="75"/>
      <c r="X341" s="63" t="s">
        <v>5443</v>
      </c>
      <c r="Z341" s="76"/>
      <c r="AD341" s="39"/>
      <c r="AE341" s="39" t="s">
        <v>5311</v>
      </c>
      <c r="AH341" s="39" t="s">
        <v>5449</v>
      </c>
      <c r="AK341" s="39" t="s">
        <v>4451</v>
      </c>
      <c r="AM341" s="39">
        <v>1</v>
      </c>
      <c r="AO341" s="39"/>
      <c r="AP341" s="70"/>
      <c r="AQ341" s="71"/>
      <c r="AR341" s="72"/>
      <c r="AU341" s="70"/>
      <c r="AV341" s="77"/>
      <c r="AW341" s="78"/>
      <c r="AX341" s="75"/>
      <c r="BA341" s="76"/>
      <c r="BF341" s="39" t="s">
        <v>5312</v>
      </c>
    </row>
    <row r="342" spans="1:58" ht="180">
      <c r="A342" s="39" t="s">
        <v>5084</v>
      </c>
      <c r="B342" s="39" t="s">
        <v>5313</v>
      </c>
      <c r="C342" s="39" t="s">
        <v>5088</v>
      </c>
      <c r="D342" s="39">
        <v>67</v>
      </c>
      <c r="E342" s="39">
        <v>1</v>
      </c>
      <c r="F342" s="39" t="s">
        <v>5297</v>
      </c>
      <c r="G342" s="39" t="s">
        <v>5314</v>
      </c>
      <c r="J342" s="39" t="s">
        <v>4451</v>
      </c>
      <c r="L342" s="39">
        <v>2</v>
      </c>
      <c r="N342" s="39"/>
      <c r="O342" s="70"/>
      <c r="P342" s="71"/>
      <c r="Q342" s="72"/>
      <c r="T342" s="70"/>
      <c r="U342" s="73"/>
      <c r="V342" s="74"/>
      <c r="W342" s="75"/>
      <c r="X342" s="63" t="s">
        <v>5442</v>
      </c>
      <c r="Z342" s="76"/>
      <c r="AD342" s="39"/>
      <c r="AE342" s="39" t="s">
        <v>5315</v>
      </c>
      <c r="AH342" s="39" t="s">
        <v>5450</v>
      </c>
      <c r="AK342" s="39" t="s">
        <v>4451</v>
      </c>
      <c r="AM342" s="39">
        <v>2</v>
      </c>
      <c r="AO342" s="39"/>
      <c r="AP342" s="70"/>
      <c r="AQ342" s="71"/>
      <c r="AR342" s="72"/>
      <c r="AU342" s="70"/>
      <c r="AV342" s="77"/>
      <c r="AW342" s="78"/>
      <c r="AX342" s="75"/>
      <c r="BA342" s="76"/>
      <c r="BF342" s="39" t="s">
        <v>5316</v>
      </c>
    </row>
    <row r="343" spans="1:58" ht="72">
      <c r="A343" s="39" t="s">
        <v>5084</v>
      </c>
      <c r="B343" s="39" t="s">
        <v>5317</v>
      </c>
      <c r="C343" s="39" t="s">
        <v>5088</v>
      </c>
      <c r="D343" s="39">
        <v>68</v>
      </c>
      <c r="E343" s="39">
        <v>1</v>
      </c>
      <c r="F343" s="39" t="s">
        <v>5297</v>
      </c>
      <c r="G343" s="39" t="s">
        <v>5318</v>
      </c>
      <c r="J343" s="39" t="s">
        <v>4451</v>
      </c>
      <c r="L343" s="39">
        <v>3</v>
      </c>
      <c r="N343" s="39"/>
      <c r="O343" s="70"/>
      <c r="P343" s="71"/>
      <c r="Q343" s="72"/>
      <c r="T343" s="70"/>
      <c r="U343" s="73"/>
      <c r="V343" s="74"/>
      <c r="W343" s="75"/>
      <c r="X343" s="63">
        <v>0</v>
      </c>
      <c r="Z343" s="76"/>
      <c r="AD343" s="39"/>
      <c r="AE343" s="39" t="s">
        <v>5708</v>
      </c>
      <c r="AH343" s="39" t="s">
        <v>5451</v>
      </c>
      <c r="AK343" s="39" t="s">
        <v>4451</v>
      </c>
      <c r="AM343" s="39">
        <v>3</v>
      </c>
      <c r="AO343" s="39"/>
      <c r="AP343" s="70"/>
      <c r="AQ343" s="71"/>
      <c r="AR343" s="72"/>
      <c r="AU343" s="70"/>
      <c r="AV343" s="77"/>
      <c r="AW343" s="78"/>
      <c r="AX343" s="75"/>
      <c r="BA343" s="76"/>
      <c r="BF343" s="39" t="s">
        <v>5319</v>
      </c>
    </row>
    <row r="344" spans="1:58" ht="72">
      <c r="A344" s="39" t="s">
        <v>5084</v>
      </c>
      <c r="B344" s="39" t="s">
        <v>5320</v>
      </c>
      <c r="C344" s="39" t="s">
        <v>5088</v>
      </c>
      <c r="D344" s="39">
        <v>69</v>
      </c>
      <c r="E344" s="39">
        <v>1</v>
      </c>
      <c r="F344" s="39" t="s">
        <v>5297</v>
      </c>
      <c r="G344" s="39" t="s">
        <v>5321</v>
      </c>
      <c r="J344" s="39" t="s">
        <v>4451</v>
      </c>
      <c r="L344" s="39">
        <v>3</v>
      </c>
      <c r="N344" s="39"/>
      <c r="O344" s="70"/>
      <c r="P344" s="71"/>
      <c r="Q344" s="72"/>
      <c r="T344" s="70"/>
      <c r="U344" s="73"/>
      <c r="V344" s="74"/>
      <c r="W344" s="75"/>
      <c r="X344" s="63">
        <v>0</v>
      </c>
      <c r="Z344" s="76"/>
      <c r="AD344" s="39"/>
      <c r="AE344" s="39" t="s">
        <v>5709</v>
      </c>
      <c r="AH344" s="39" t="s">
        <v>5452</v>
      </c>
      <c r="AK344" s="39" t="s">
        <v>4451</v>
      </c>
      <c r="AM344" s="39">
        <v>3</v>
      </c>
      <c r="AO344" s="39"/>
      <c r="AP344" s="70"/>
      <c r="AQ344" s="71"/>
      <c r="AR344" s="72"/>
      <c r="AU344" s="70"/>
      <c r="AV344" s="77"/>
      <c r="AW344" s="78"/>
      <c r="AX344" s="75"/>
      <c r="BA344" s="76"/>
      <c r="BF344" s="39" t="s">
        <v>5322</v>
      </c>
    </row>
    <row r="345" spans="1:58" ht="24">
      <c r="A345" s="39" t="s">
        <v>5084</v>
      </c>
      <c r="B345" s="39" t="s">
        <v>5323</v>
      </c>
      <c r="C345" s="39" t="s">
        <v>5088</v>
      </c>
      <c r="D345" s="40">
        <v>70</v>
      </c>
      <c r="E345" s="39">
        <v>1</v>
      </c>
      <c r="F345" s="39" t="s">
        <v>5297</v>
      </c>
      <c r="G345" s="39" t="s">
        <v>5324</v>
      </c>
      <c r="J345" s="39" t="s">
        <v>31</v>
      </c>
      <c r="AC345" s="39" t="s">
        <v>4293</v>
      </c>
      <c r="AH345" s="39" t="s">
        <v>5324</v>
      </c>
      <c r="AK345" s="39" t="s">
        <v>31</v>
      </c>
      <c r="AO345" s="39"/>
      <c r="AP345" s="70"/>
      <c r="AQ345" s="71"/>
      <c r="AR345" s="72"/>
      <c r="AU345" s="70"/>
      <c r="AV345" s="77"/>
      <c r="AW345" s="78"/>
      <c r="AX345" s="75">
        <v>2</v>
      </c>
      <c r="AY345" s="63" t="s">
        <v>4871</v>
      </c>
      <c r="BA345" s="76"/>
      <c r="BD345" s="39" t="s">
        <v>4293</v>
      </c>
      <c r="BF345" s="39" t="s">
        <v>5325</v>
      </c>
    </row>
    <row r="346" spans="1:58" ht="36">
      <c r="A346" s="39" t="s">
        <v>5084</v>
      </c>
      <c r="B346" s="39" t="s">
        <v>5326</v>
      </c>
      <c r="C346" s="39" t="s">
        <v>5088</v>
      </c>
      <c r="D346" s="40">
        <v>71</v>
      </c>
      <c r="E346" s="39">
        <v>1</v>
      </c>
      <c r="F346" s="39" t="s">
        <v>5297</v>
      </c>
      <c r="G346" s="39" t="s">
        <v>5327</v>
      </c>
      <c r="J346" s="39" t="s">
        <v>31</v>
      </c>
      <c r="AC346" s="39" t="s">
        <v>5328</v>
      </c>
      <c r="AH346" s="39" t="s">
        <v>5327</v>
      </c>
      <c r="AK346" s="39" t="s">
        <v>31</v>
      </c>
      <c r="AO346" s="39"/>
      <c r="AP346" s="70"/>
      <c r="AQ346" s="71"/>
      <c r="AR346" s="72"/>
      <c r="AU346" s="70"/>
      <c r="AV346" s="77"/>
      <c r="AW346" s="78"/>
      <c r="AX346" s="75">
        <v>2</v>
      </c>
      <c r="AY346" s="63">
        <v>0</v>
      </c>
      <c r="BA346" s="76"/>
      <c r="BD346" s="39" t="s">
        <v>5328</v>
      </c>
      <c r="BF346" s="39" t="s">
        <v>5329</v>
      </c>
    </row>
    <row r="347" spans="1:58" ht="48">
      <c r="A347" s="39" t="s">
        <v>5084</v>
      </c>
      <c r="B347" s="39" t="s">
        <v>5330</v>
      </c>
      <c r="C347" s="39" t="s">
        <v>5088</v>
      </c>
      <c r="D347" s="40">
        <v>72</v>
      </c>
      <c r="E347" s="39">
        <v>1</v>
      </c>
      <c r="F347" s="39" t="s">
        <v>5297</v>
      </c>
      <c r="G347" s="39" t="s">
        <v>5331</v>
      </c>
      <c r="J347" s="39" t="s">
        <v>31</v>
      </c>
      <c r="AC347" s="39" t="s">
        <v>5328</v>
      </c>
      <c r="AH347" s="39" t="s">
        <v>5331</v>
      </c>
      <c r="AK347" s="39" t="s">
        <v>31</v>
      </c>
      <c r="AO347" s="39"/>
      <c r="AP347" s="70"/>
      <c r="AQ347" s="71"/>
      <c r="AR347" s="72"/>
      <c r="AU347" s="70"/>
      <c r="AV347" s="77"/>
      <c r="AW347" s="78"/>
      <c r="AX347" s="75">
        <v>3</v>
      </c>
      <c r="AY347" s="63">
        <v>0</v>
      </c>
      <c r="BA347" s="76"/>
      <c r="BD347" s="39" t="s">
        <v>5328</v>
      </c>
      <c r="BF347" s="39" t="s">
        <v>5332</v>
      </c>
    </row>
    <row r="348" spans="1:58" ht="84">
      <c r="A348" s="39" t="s">
        <v>5084</v>
      </c>
      <c r="B348" s="39" t="s">
        <v>5333</v>
      </c>
      <c r="C348" s="39" t="s">
        <v>5088</v>
      </c>
      <c r="D348" s="40">
        <v>73</v>
      </c>
      <c r="E348" s="39">
        <v>1</v>
      </c>
      <c r="F348" s="39" t="s">
        <v>5297</v>
      </c>
      <c r="G348" s="39" t="s">
        <v>5334</v>
      </c>
      <c r="J348" s="39" t="s">
        <v>31</v>
      </c>
      <c r="AC348" s="39" t="s">
        <v>5328</v>
      </c>
      <c r="AH348" s="39" t="s">
        <v>5334</v>
      </c>
      <c r="AK348" s="39" t="s">
        <v>31</v>
      </c>
      <c r="AO348" s="39"/>
      <c r="AP348" s="70"/>
      <c r="AQ348" s="71"/>
      <c r="AR348" s="72"/>
      <c r="AU348" s="70"/>
      <c r="AV348" s="77"/>
      <c r="AW348" s="78"/>
      <c r="AX348" s="75">
        <v>3</v>
      </c>
      <c r="AY348" s="63">
        <v>0</v>
      </c>
      <c r="BA348" s="76"/>
      <c r="BD348" s="39" t="s">
        <v>5328</v>
      </c>
      <c r="BF348" s="39" t="s">
        <v>5335</v>
      </c>
    </row>
    <row r="349" spans="1:58" ht="24">
      <c r="A349" s="39" t="s">
        <v>5084</v>
      </c>
      <c r="B349" s="39" t="s">
        <v>5336</v>
      </c>
      <c r="C349" s="39" t="s">
        <v>5088</v>
      </c>
      <c r="D349" s="40">
        <v>74</v>
      </c>
      <c r="E349" s="39">
        <v>1</v>
      </c>
      <c r="F349" s="39" t="s">
        <v>5297</v>
      </c>
      <c r="G349" s="39" t="s">
        <v>5337</v>
      </c>
      <c r="J349" s="39" t="s">
        <v>31</v>
      </c>
      <c r="AC349" s="39" t="s">
        <v>5328</v>
      </c>
      <c r="AH349" s="39" t="s">
        <v>5337</v>
      </c>
      <c r="AK349" s="39" t="s">
        <v>31</v>
      </c>
      <c r="AO349" s="39"/>
      <c r="AP349" s="70"/>
      <c r="AQ349" s="71"/>
      <c r="AR349" s="72"/>
      <c r="AU349" s="70"/>
      <c r="AV349" s="77"/>
      <c r="AW349" s="78"/>
      <c r="AX349" s="75">
        <v>4</v>
      </c>
      <c r="AY349" s="63">
        <v>0</v>
      </c>
      <c r="BA349" s="76"/>
      <c r="BD349" s="39" t="s">
        <v>5328</v>
      </c>
      <c r="BF349" s="39" t="s">
        <v>5338</v>
      </c>
    </row>
    <row r="350" spans="1:58" ht="24">
      <c r="A350" s="39" t="s">
        <v>5084</v>
      </c>
      <c r="B350" s="39" t="s">
        <v>5339</v>
      </c>
      <c r="C350" s="39" t="s">
        <v>5088</v>
      </c>
      <c r="D350" s="40">
        <v>75</v>
      </c>
      <c r="E350" s="39">
        <v>1</v>
      </c>
      <c r="F350" s="39" t="s">
        <v>5297</v>
      </c>
      <c r="G350" s="39" t="s">
        <v>5444</v>
      </c>
      <c r="J350" s="39" t="s">
        <v>31</v>
      </c>
      <c r="AC350" s="39" t="s">
        <v>5328</v>
      </c>
      <c r="AH350" s="39" t="s">
        <v>5340</v>
      </c>
      <c r="AK350" s="39" t="s">
        <v>31</v>
      </c>
      <c r="AO350" s="39"/>
      <c r="AP350" s="70"/>
      <c r="AQ350" s="71"/>
      <c r="AR350" s="72"/>
      <c r="AU350" s="70"/>
      <c r="AV350" s="77"/>
      <c r="AW350" s="78"/>
      <c r="AX350" s="75">
        <v>2</v>
      </c>
      <c r="AY350" s="63" t="s">
        <v>4871</v>
      </c>
      <c r="BA350" s="76">
        <v>1</v>
      </c>
      <c r="BD350" s="39" t="s">
        <v>5328</v>
      </c>
      <c r="BF350" s="39" t="s">
        <v>5341</v>
      </c>
    </row>
    <row r="351" spans="1:58" ht="24">
      <c r="A351" s="39" t="s">
        <v>5084</v>
      </c>
      <c r="B351" s="39" t="s">
        <v>5342</v>
      </c>
      <c r="C351" s="39" t="s">
        <v>5088</v>
      </c>
      <c r="D351" s="40">
        <v>76</v>
      </c>
      <c r="E351" s="39">
        <v>1</v>
      </c>
      <c r="F351" s="39" t="s">
        <v>5297</v>
      </c>
      <c r="G351" s="39" t="s">
        <v>5444</v>
      </c>
      <c r="J351" s="39" t="s">
        <v>31</v>
      </c>
      <c r="AC351" s="39" t="s">
        <v>5328</v>
      </c>
      <c r="AH351" s="39" t="s">
        <v>5343</v>
      </c>
      <c r="AK351" s="39" t="s">
        <v>31</v>
      </c>
      <c r="AO351" s="39"/>
      <c r="AP351" s="70"/>
      <c r="AQ351" s="71"/>
      <c r="AR351" s="72"/>
      <c r="AU351" s="70"/>
      <c r="AV351" s="77"/>
      <c r="AW351" s="78"/>
      <c r="AX351" s="75">
        <v>3</v>
      </c>
      <c r="AY351" s="63" t="s">
        <v>4871</v>
      </c>
      <c r="BA351" s="76">
        <v>1</v>
      </c>
      <c r="BD351" s="39" t="s">
        <v>5328</v>
      </c>
      <c r="BF351" s="39" t="s">
        <v>5344</v>
      </c>
    </row>
    <row r="352" spans="1:58" ht="24">
      <c r="A352" s="39" t="s">
        <v>5084</v>
      </c>
      <c r="B352" s="39" t="s">
        <v>5345</v>
      </c>
      <c r="C352" s="39" t="s">
        <v>5088</v>
      </c>
      <c r="D352" s="40">
        <v>77</v>
      </c>
      <c r="E352" s="39">
        <v>1</v>
      </c>
      <c r="F352" s="39" t="s">
        <v>5297</v>
      </c>
      <c r="G352" s="39" t="s">
        <v>5444</v>
      </c>
      <c r="J352" s="39" t="s">
        <v>31</v>
      </c>
      <c r="AC352" s="39" t="s">
        <v>5328</v>
      </c>
      <c r="AH352" s="39" t="s">
        <v>5346</v>
      </c>
      <c r="AK352" s="39" t="s">
        <v>31</v>
      </c>
      <c r="AO352" s="39"/>
      <c r="AP352" s="70"/>
      <c r="AQ352" s="71"/>
      <c r="AR352" s="72"/>
      <c r="AU352" s="70"/>
      <c r="AV352" s="77"/>
      <c r="AW352" s="78"/>
      <c r="AX352" s="75">
        <v>1</v>
      </c>
      <c r="AY352" s="63" t="s">
        <v>4871</v>
      </c>
      <c r="BA352" s="76">
        <v>1</v>
      </c>
      <c r="BD352" s="39" t="s">
        <v>5328</v>
      </c>
      <c r="BF352" s="39" t="s">
        <v>5347</v>
      </c>
    </row>
    <row r="353" spans="1:53" ht="48">
      <c r="A353" s="39" t="s">
        <v>5084</v>
      </c>
      <c r="B353" s="39" t="s">
        <v>5348</v>
      </c>
      <c r="C353" s="39" t="s">
        <v>5088</v>
      </c>
      <c r="D353" s="40">
        <v>78</v>
      </c>
      <c r="E353" s="39">
        <v>1</v>
      </c>
      <c r="F353" s="39" t="s">
        <v>5297</v>
      </c>
      <c r="G353" s="39" t="s">
        <v>5349</v>
      </c>
      <c r="J353" s="39" t="s">
        <v>29</v>
      </c>
      <c r="Q353" s="62">
        <v>3</v>
      </c>
      <c r="R353" s="63">
        <v>3</v>
      </c>
      <c r="S353" s="43">
        <v>4</v>
      </c>
      <c r="U353" s="64">
        <v>2</v>
      </c>
      <c r="V353" s="65">
        <v>0</v>
      </c>
      <c r="Z353" s="67">
        <v>1</v>
      </c>
      <c r="AC353" s="39" t="s">
        <v>5350</v>
      </c>
      <c r="AD353" s="40" t="s">
        <v>5711</v>
      </c>
      <c r="AE353" s="39" t="s">
        <v>5710</v>
      </c>
      <c r="AO353" s="39"/>
      <c r="AP353" s="70"/>
      <c r="AQ353" s="71"/>
      <c r="AR353" s="72"/>
      <c r="AU353" s="70"/>
      <c r="AV353" s="77"/>
      <c r="AW353" s="78"/>
      <c r="AX353" s="75"/>
      <c r="BA353" s="76"/>
    </row>
    <row r="354" spans="1:53" ht="48">
      <c r="A354" s="39" t="s">
        <v>5084</v>
      </c>
      <c r="B354" s="39" t="s">
        <v>5351</v>
      </c>
      <c r="C354" s="39" t="s">
        <v>5088</v>
      </c>
      <c r="D354" s="40">
        <v>79</v>
      </c>
      <c r="E354" s="39">
        <v>1</v>
      </c>
      <c r="F354" s="39" t="s">
        <v>5297</v>
      </c>
      <c r="G354" s="39" t="s">
        <v>5352</v>
      </c>
      <c r="H354" s="39" t="s">
        <v>5353</v>
      </c>
      <c r="I354" s="39" t="s">
        <v>4077</v>
      </c>
      <c r="J354" s="39" t="s">
        <v>4111</v>
      </c>
      <c r="K354" s="39" t="s">
        <v>26</v>
      </c>
      <c r="S354" s="43">
        <v>3</v>
      </c>
      <c r="T354" s="60">
        <v>2</v>
      </c>
      <c r="AC354" s="39" t="s">
        <v>5354</v>
      </c>
      <c r="AE354" s="39" t="s">
        <v>5355</v>
      </c>
      <c r="AO354" s="39"/>
      <c r="AP354" s="70"/>
      <c r="AQ354" s="71"/>
      <c r="AR354" s="72"/>
      <c r="AU354" s="70"/>
      <c r="AV354" s="77"/>
      <c r="AW354" s="78"/>
      <c r="AX354" s="75"/>
      <c r="BA354" s="76"/>
    </row>
    <row r="355" spans="1:53" ht="36">
      <c r="A355" s="39" t="s">
        <v>5084</v>
      </c>
      <c r="B355" s="39" t="s">
        <v>5356</v>
      </c>
      <c r="C355" s="39" t="s">
        <v>5088</v>
      </c>
      <c r="D355" s="40">
        <v>80</v>
      </c>
      <c r="E355" s="39">
        <v>1</v>
      </c>
      <c r="F355" s="39" t="s">
        <v>5297</v>
      </c>
      <c r="G355" s="39" t="s">
        <v>5357</v>
      </c>
      <c r="H355" s="39" t="s">
        <v>5358</v>
      </c>
      <c r="I355" s="39" t="s">
        <v>4077</v>
      </c>
      <c r="J355" s="39" t="s">
        <v>4111</v>
      </c>
      <c r="K355" s="39" t="s">
        <v>26</v>
      </c>
      <c r="N355" s="40">
        <v>3</v>
      </c>
      <c r="S355" s="43">
        <v>4</v>
      </c>
      <c r="T355" s="60">
        <v>1</v>
      </c>
      <c r="AA355" s="39" t="s">
        <v>4892</v>
      </c>
      <c r="AB355" s="39" t="s">
        <v>25</v>
      </c>
      <c r="AC355" s="39" t="s">
        <v>4175</v>
      </c>
      <c r="AE355" s="39" t="s">
        <v>5359</v>
      </c>
      <c r="AO355" s="39"/>
      <c r="AP355" s="70"/>
      <c r="AQ355" s="71"/>
      <c r="AR355" s="72"/>
      <c r="AU355" s="70"/>
      <c r="AV355" s="77"/>
      <c r="AW355" s="78"/>
      <c r="AX355" s="75"/>
      <c r="BA355" s="76"/>
    </row>
    <row r="356" spans="1:53" ht="24">
      <c r="A356" s="39" t="s">
        <v>5084</v>
      </c>
      <c r="B356" s="39" t="s">
        <v>5360</v>
      </c>
      <c r="C356" s="39" t="s">
        <v>5088</v>
      </c>
      <c r="D356" s="40">
        <v>81</v>
      </c>
      <c r="E356" s="39">
        <v>2</v>
      </c>
      <c r="F356" s="39" t="s">
        <v>5297</v>
      </c>
      <c r="G356" s="39" t="s">
        <v>5361</v>
      </c>
      <c r="J356" s="39" t="s">
        <v>28</v>
      </c>
      <c r="AC356" s="39" t="s">
        <v>5362</v>
      </c>
      <c r="AD356" s="40" t="s">
        <v>34</v>
      </c>
      <c r="AE356" s="39" t="s">
        <v>5712</v>
      </c>
      <c r="AO356" s="39"/>
      <c r="AP356" s="70"/>
      <c r="AQ356" s="71"/>
      <c r="AR356" s="72"/>
      <c r="AU356" s="70"/>
      <c r="AV356" s="77"/>
      <c r="AW356" s="78"/>
      <c r="AX356" s="75"/>
      <c r="BA356" s="76"/>
    </row>
    <row r="357" spans="1:53" ht="36">
      <c r="A357" s="39" t="s">
        <v>5084</v>
      </c>
      <c r="B357" s="39" t="s">
        <v>5363</v>
      </c>
      <c r="C357" s="39" t="s">
        <v>5088</v>
      </c>
      <c r="D357" s="40">
        <v>82</v>
      </c>
      <c r="E357" s="39">
        <v>2</v>
      </c>
      <c r="F357" s="39" t="s">
        <v>5297</v>
      </c>
      <c r="G357" s="39" t="s">
        <v>5364</v>
      </c>
      <c r="J357" s="39" t="s">
        <v>28</v>
      </c>
      <c r="AE357" s="39" t="s">
        <v>5365</v>
      </c>
      <c r="AO357" s="39"/>
      <c r="AP357" s="70"/>
      <c r="AQ357" s="71"/>
      <c r="AR357" s="72"/>
      <c r="AU357" s="70"/>
      <c r="AV357" s="77"/>
      <c r="AW357" s="78"/>
      <c r="AX357" s="75"/>
      <c r="BA357" s="76"/>
    </row>
    <row r="358" spans="1:53" ht="24">
      <c r="A358" s="39" t="s">
        <v>5084</v>
      </c>
      <c r="B358" s="39" t="s">
        <v>5366</v>
      </c>
      <c r="C358" s="39" t="s">
        <v>5088</v>
      </c>
      <c r="D358" s="40">
        <v>83</v>
      </c>
      <c r="E358" s="39">
        <v>3</v>
      </c>
      <c r="F358" s="39" t="s">
        <v>5367</v>
      </c>
      <c r="G358" s="39" t="s">
        <v>5368</v>
      </c>
      <c r="J358" s="39" t="s">
        <v>28</v>
      </c>
      <c r="AC358" s="39" t="s">
        <v>4316</v>
      </c>
      <c r="AE358" s="39" t="s">
        <v>5369</v>
      </c>
      <c r="AO358" s="39"/>
      <c r="AP358" s="70"/>
      <c r="AQ358" s="71"/>
      <c r="AR358" s="72"/>
      <c r="AU358" s="70"/>
      <c r="AV358" s="77"/>
      <c r="AW358" s="78"/>
      <c r="AX358" s="75"/>
      <c r="BA358" s="76"/>
    </row>
    <row r="359" spans="1:53" ht="48">
      <c r="A359" s="39" t="s">
        <v>5084</v>
      </c>
      <c r="B359" s="39" t="s">
        <v>5370</v>
      </c>
      <c r="C359" s="39" t="s">
        <v>5088</v>
      </c>
      <c r="D359" s="40">
        <v>84</v>
      </c>
      <c r="E359" s="39">
        <v>3</v>
      </c>
      <c r="F359" s="39" t="s">
        <v>5367</v>
      </c>
      <c r="G359" s="39" t="s">
        <v>5371</v>
      </c>
      <c r="J359" s="39" t="s">
        <v>28</v>
      </c>
      <c r="AC359" s="39" t="s">
        <v>4316</v>
      </c>
      <c r="AD359" s="40" t="s">
        <v>34</v>
      </c>
      <c r="AE359" s="39" t="s">
        <v>5713</v>
      </c>
      <c r="AO359" s="39"/>
      <c r="AP359" s="70"/>
      <c r="AQ359" s="71"/>
      <c r="AR359" s="72"/>
      <c r="AU359" s="70"/>
      <c r="AV359" s="77"/>
      <c r="AW359" s="78"/>
      <c r="AX359" s="75"/>
      <c r="BA359" s="76"/>
    </row>
    <row r="360" spans="1:53" ht="48">
      <c r="A360" s="39" t="s">
        <v>5084</v>
      </c>
      <c r="B360" s="39" t="s">
        <v>5372</v>
      </c>
      <c r="C360" s="39" t="s">
        <v>5088</v>
      </c>
      <c r="D360" s="40">
        <v>85</v>
      </c>
      <c r="E360" s="39">
        <v>2</v>
      </c>
      <c r="F360" s="39" t="s">
        <v>5373</v>
      </c>
      <c r="G360" s="39" t="s">
        <v>5374</v>
      </c>
      <c r="J360" s="39" t="s">
        <v>28</v>
      </c>
      <c r="AC360" s="39" t="s">
        <v>5375</v>
      </c>
      <c r="AD360" s="40" t="s">
        <v>4582</v>
      </c>
      <c r="AE360" s="39" t="s">
        <v>5714</v>
      </c>
      <c r="AO360" s="39"/>
      <c r="AP360" s="70"/>
      <c r="AQ360" s="71"/>
      <c r="AR360" s="72"/>
      <c r="AU360" s="70"/>
      <c r="AV360" s="77"/>
      <c r="AW360" s="78"/>
      <c r="AX360" s="75"/>
      <c r="BA360" s="76"/>
    </row>
    <row r="361" spans="1:53" ht="36">
      <c r="A361" s="39" t="s">
        <v>5084</v>
      </c>
      <c r="B361" s="39" t="s">
        <v>5376</v>
      </c>
      <c r="C361" s="39" t="s">
        <v>5088</v>
      </c>
      <c r="D361" s="40">
        <v>86</v>
      </c>
      <c r="E361" s="39">
        <v>3</v>
      </c>
      <c r="F361" s="39" t="s">
        <v>5373</v>
      </c>
      <c r="G361" s="39" t="s">
        <v>5377</v>
      </c>
      <c r="J361" s="39" t="s">
        <v>29</v>
      </c>
      <c r="Q361" s="62">
        <v>2</v>
      </c>
      <c r="R361" s="63">
        <v>2</v>
      </c>
      <c r="S361" s="43">
        <v>2</v>
      </c>
      <c r="U361" s="64">
        <v>1</v>
      </c>
      <c r="V361" s="65">
        <v>1</v>
      </c>
      <c r="AC361" s="39" t="s">
        <v>5378</v>
      </c>
      <c r="AD361" s="39" t="s">
        <v>5379</v>
      </c>
      <c r="AO361" s="39"/>
      <c r="AP361" s="70"/>
      <c r="AQ361" s="71"/>
      <c r="AR361" s="72"/>
      <c r="AU361" s="70"/>
      <c r="AV361" s="77"/>
      <c r="AW361" s="78"/>
      <c r="AX361" s="75"/>
      <c r="BA361" s="76"/>
    </row>
    <row r="362" spans="1:53" ht="36">
      <c r="A362" s="39" t="s">
        <v>5084</v>
      </c>
      <c r="B362" s="39" t="s">
        <v>5380</v>
      </c>
      <c r="C362" s="39" t="s">
        <v>5088</v>
      </c>
      <c r="D362" s="40">
        <v>87</v>
      </c>
      <c r="E362" s="39">
        <v>1</v>
      </c>
      <c r="F362" s="39" t="s">
        <v>5373</v>
      </c>
      <c r="G362" s="39" t="s">
        <v>5381</v>
      </c>
      <c r="J362" s="39" t="s">
        <v>29</v>
      </c>
      <c r="Q362" s="62">
        <v>4</v>
      </c>
      <c r="R362" s="63">
        <v>3</v>
      </c>
      <c r="S362" s="43">
        <v>3</v>
      </c>
      <c r="U362" s="64">
        <v>1</v>
      </c>
      <c r="V362" s="65">
        <v>2</v>
      </c>
      <c r="Z362" s="67">
        <v>1</v>
      </c>
      <c r="AC362" s="39" t="s">
        <v>5382</v>
      </c>
      <c r="AD362" s="40" t="s">
        <v>5716</v>
      </c>
      <c r="AE362" s="39" t="s">
        <v>5715</v>
      </c>
      <c r="AO362" s="39"/>
      <c r="AP362" s="70"/>
      <c r="AQ362" s="71"/>
      <c r="AR362" s="72"/>
      <c r="AU362" s="70"/>
      <c r="AV362" s="77"/>
      <c r="AW362" s="78"/>
      <c r="AX362" s="75"/>
      <c r="BA362" s="76"/>
    </row>
    <row r="363" spans="1:53" ht="72">
      <c r="A363" s="39" t="s">
        <v>5084</v>
      </c>
      <c r="B363" s="39" t="s">
        <v>5383</v>
      </c>
      <c r="C363" s="39" t="s">
        <v>5088</v>
      </c>
      <c r="D363" s="40">
        <v>88</v>
      </c>
      <c r="E363" s="39">
        <v>2</v>
      </c>
      <c r="F363" s="39" t="s">
        <v>5384</v>
      </c>
      <c r="G363" s="39" t="s">
        <v>5385</v>
      </c>
      <c r="J363" s="39" t="s">
        <v>28</v>
      </c>
      <c r="AC363" s="39" t="s">
        <v>4311</v>
      </c>
      <c r="AE363" s="39" t="s">
        <v>5386</v>
      </c>
      <c r="AO363" s="39"/>
      <c r="AP363" s="70"/>
      <c r="AQ363" s="71"/>
      <c r="AR363" s="72"/>
      <c r="AU363" s="70"/>
      <c r="AV363" s="77"/>
      <c r="AW363" s="78"/>
      <c r="AX363" s="75"/>
      <c r="BA363" s="76"/>
    </row>
    <row r="364" spans="1:53" ht="60">
      <c r="A364" s="39" t="s">
        <v>5084</v>
      </c>
      <c r="B364" s="39" t="s">
        <v>5387</v>
      </c>
      <c r="C364" s="39" t="s">
        <v>5088</v>
      </c>
      <c r="D364" s="40">
        <v>89</v>
      </c>
      <c r="E364" s="39">
        <v>2</v>
      </c>
      <c r="F364" s="39" t="s">
        <v>5384</v>
      </c>
      <c r="G364" s="39" t="s">
        <v>5388</v>
      </c>
      <c r="J364" s="39" t="s">
        <v>28</v>
      </c>
      <c r="AC364" s="39" t="s">
        <v>4311</v>
      </c>
      <c r="AE364" s="39" t="s">
        <v>5389</v>
      </c>
      <c r="AO364" s="39"/>
      <c r="AP364" s="70"/>
      <c r="AQ364" s="71"/>
      <c r="AR364" s="72"/>
      <c r="AU364" s="70"/>
      <c r="AV364" s="77"/>
      <c r="AW364" s="78"/>
      <c r="AX364" s="75"/>
      <c r="BA364" s="76"/>
    </row>
    <row r="365" spans="1:53" ht="24">
      <c r="A365" s="39" t="s">
        <v>5084</v>
      </c>
      <c r="B365" s="39" t="s">
        <v>5390</v>
      </c>
      <c r="C365" s="39" t="s">
        <v>5088</v>
      </c>
      <c r="D365" s="40">
        <v>90</v>
      </c>
      <c r="E365" s="39">
        <v>3</v>
      </c>
      <c r="F365" s="39" t="s">
        <v>5391</v>
      </c>
      <c r="G365" s="39" t="s">
        <v>5392</v>
      </c>
      <c r="J365" s="39" t="s">
        <v>29</v>
      </c>
      <c r="Q365" s="62">
        <v>2</v>
      </c>
      <c r="R365" s="63">
        <v>4</v>
      </c>
      <c r="S365" s="43">
        <v>1</v>
      </c>
      <c r="U365" s="64">
        <v>0</v>
      </c>
      <c r="V365" s="65">
        <v>1</v>
      </c>
      <c r="AC365" s="39" t="s">
        <v>30</v>
      </c>
      <c r="AD365" s="40" t="s">
        <v>5718</v>
      </c>
      <c r="AE365" s="39" t="s">
        <v>5717</v>
      </c>
      <c r="AO365" s="39"/>
      <c r="AP365" s="70"/>
      <c r="AQ365" s="71"/>
      <c r="AR365" s="72"/>
      <c r="AU365" s="70"/>
      <c r="AV365" s="77"/>
      <c r="AW365" s="78"/>
      <c r="AX365" s="75"/>
      <c r="BA365" s="76"/>
    </row>
    <row r="366" spans="1:53" ht="24">
      <c r="A366" s="39" t="s">
        <v>5084</v>
      </c>
      <c r="B366" s="39" t="s">
        <v>5393</v>
      </c>
      <c r="C366" s="39" t="s">
        <v>5088</v>
      </c>
      <c r="D366" s="40">
        <v>91</v>
      </c>
      <c r="E366" s="39">
        <v>2</v>
      </c>
      <c r="F366" s="39" t="s">
        <v>5391</v>
      </c>
      <c r="G366" s="39" t="s">
        <v>5394</v>
      </c>
      <c r="J366" s="39" t="s">
        <v>28</v>
      </c>
      <c r="AC366" s="39" t="s">
        <v>4322</v>
      </c>
      <c r="AE366" s="39" t="s">
        <v>5395</v>
      </c>
      <c r="AO366" s="39"/>
      <c r="AP366" s="70"/>
      <c r="AQ366" s="71"/>
      <c r="AR366" s="72"/>
      <c r="AU366" s="70"/>
      <c r="AV366" s="77"/>
      <c r="AW366" s="78"/>
      <c r="AX366" s="75"/>
      <c r="BA366" s="76"/>
    </row>
    <row r="367" spans="1:53" ht="48">
      <c r="A367" s="39" t="s">
        <v>5084</v>
      </c>
      <c r="B367" s="39" t="s">
        <v>5396</v>
      </c>
      <c r="C367" s="39" t="s">
        <v>5088</v>
      </c>
      <c r="D367" s="40">
        <v>92</v>
      </c>
      <c r="E367" s="39">
        <v>3</v>
      </c>
      <c r="F367" s="39" t="s">
        <v>5397</v>
      </c>
      <c r="G367" s="39" t="s">
        <v>5398</v>
      </c>
      <c r="J367" s="39" t="s">
        <v>28</v>
      </c>
      <c r="AC367" s="39" t="s">
        <v>4322</v>
      </c>
      <c r="AE367" s="39" t="s">
        <v>5399</v>
      </c>
      <c r="AO367" s="39"/>
      <c r="AP367" s="70"/>
      <c r="AQ367" s="71"/>
      <c r="AR367" s="72"/>
      <c r="AU367" s="70"/>
      <c r="AV367" s="77"/>
      <c r="AW367" s="78"/>
      <c r="AX367" s="75"/>
      <c r="BA367" s="76"/>
    </row>
    <row r="368" spans="1:53" ht="60">
      <c r="A368" s="39" t="s">
        <v>5084</v>
      </c>
      <c r="B368" s="39" t="s">
        <v>5400</v>
      </c>
      <c r="C368" s="39" t="s">
        <v>5088</v>
      </c>
      <c r="D368" s="40">
        <v>93</v>
      </c>
      <c r="E368" s="39">
        <v>3</v>
      </c>
      <c r="F368" s="39" t="s">
        <v>5397</v>
      </c>
      <c r="G368" s="39" t="s">
        <v>5401</v>
      </c>
      <c r="J368" s="39" t="s">
        <v>28</v>
      </c>
      <c r="AC368" s="39" t="s">
        <v>4322</v>
      </c>
      <c r="AE368" s="39" t="s">
        <v>5402</v>
      </c>
      <c r="AO368" s="39"/>
      <c r="AP368" s="70"/>
      <c r="AQ368" s="71"/>
      <c r="AR368" s="72"/>
      <c r="AU368" s="70"/>
      <c r="AV368" s="77"/>
      <c r="AW368" s="78"/>
      <c r="AX368" s="75"/>
      <c r="BA368" s="76"/>
    </row>
    <row r="369" spans="1:57" ht="36">
      <c r="A369" s="39" t="s">
        <v>5084</v>
      </c>
      <c r="B369" s="39" t="s">
        <v>5403</v>
      </c>
      <c r="C369" s="39" t="s">
        <v>5088</v>
      </c>
      <c r="D369" s="40">
        <v>94</v>
      </c>
      <c r="E369" s="39">
        <v>2</v>
      </c>
      <c r="F369" s="39" t="s">
        <v>5404</v>
      </c>
      <c r="G369" s="39" t="s">
        <v>5405</v>
      </c>
      <c r="J369" s="39" t="s">
        <v>29</v>
      </c>
      <c r="Q369" s="62">
        <v>5</v>
      </c>
      <c r="R369" s="63">
        <v>3</v>
      </c>
      <c r="S369" s="43">
        <v>4</v>
      </c>
      <c r="U369" s="64">
        <v>1</v>
      </c>
      <c r="V369" s="65">
        <v>1</v>
      </c>
      <c r="AC369" s="39" t="s">
        <v>5406</v>
      </c>
      <c r="AD369" s="40" t="s">
        <v>5720</v>
      </c>
      <c r="AE369" s="39" t="s">
        <v>5719</v>
      </c>
      <c r="AO369" s="39"/>
      <c r="AP369" s="70"/>
      <c r="AQ369" s="71"/>
      <c r="AR369" s="72"/>
      <c r="AU369" s="70"/>
      <c r="AV369" s="77"/>
      <c r="AW369" s="78"/>
      <c r="AX369" s="75"/>
      <c r="BA369" s="76"/>
    </row>
    <row r="370" spans="1:57" ht="36">
      <c r="A370" s="39" t="s">
        <v>5084</v>
      </c>
      <c r="B370" s="39" t="s">
        <v>5407</v>
      </c>
      <c r="C370" s="39" t="s">
        <v>5088</v>
      </c>
      <c r="D370" s="40">
        <v>95</v>
      </c>
      <c r="E370" s="39">
        <v>2</v>
      </c>
      <c r="F370" s="39" t="s">
        <v>5404</v>
      </c>
      <c r="G370" s="39" t="s">
        <v>5408</v>
      </c>
      <c r="J370" s="39" t="s">
        <v>29</v>
      </c>
      <c r="Q370" s="62">
        <v>4</v>
      </c>
      <c r="R370" s="63">
        <v>4</v>
      </c>
      <c r="S370" s="43">
        <v>3</v>
      </c>
      <c r="U370" s="64">
        <v>1</v>
      </c>
      <c r="V370" s="65">
        <v>1</v>
      </c>
      <c r="AC370" s="39" t="s">
        <v>5406</v>
      </c>
      <c r="AD370" s="39" t="s">
        <v>5409</v>
      </c>
      <c r="AO370" s="39"/>
      <c r="AP370" s="70"/>
      <c r="AQ370" s="71"/>
      <c r="AR370" s="72"/>
      <c r="AU370" s="70"/>
      <c r="AV370" s="77"/>
      <c r="AW370" s="78"/>
      <c r="AX370" s="75"/>
      <c r="BA370" s="76"/>
    </row>
    <row r="371" spans="1:57" ht="72">
      <c r="A371" s="39" t="s">
        <v>5084</v>
      </c>
      <c r="B371" s="39" t="s">
        <v>5410</v>
      </c>
      <c r="C371" s="39" t="s">
        <v>5088</v>
      </c>
      <c r="D371" s="40">
        <v>96</v>
      </c>
      <c r="E371" s="39">
        <v>2</v>
      </c>
      <c r="F371" s="39" t="s">
        <v>5404</v>
      </c>
      <c r="G371" s="39" t="s">
        <v>5411</v>
      </c>
      <c r="J371" s="39" t="s">
        <v>28</v>
      </c>
      <c r="AC371" s="39" t="s">
        <v>5412</v>
      </c>
      <c r="AE371" s="39" t="s">
        <v>5413</v>
      </c>
      <c r="AO371" s="39"/>
      <c r="AP371" s="70"/>
      <c r="AQ371" s="71"/>
      <c r="AR371" s="72"/>
      <c r="AU371" s="70"/>
      <c r="AV371" s="77"/>
      <c r="AW371" s="78"/>
      <c r="AX371" s="75"/>
      <c r="BA371" s="76"/>
    </row>
    <row r="372" spans="1:57" ht="24">
      <c r="A372" s="39" t="s">
        <v>5084</v>
      </c>
      <c r="B372" s="39" t="s">
        <v>5414</v>
      </c>
      <c r="C372" s="39" t="s">
        <v>5088</v>
      </c>
      <c r="D372" s="40">
        <v>97</v>
      </c>
      <c r="E372" s="39">
        <v>2</v>
      </c>
      <c r="F372" s="39" t="s">
        <v>5415</v>
      </c>
      <c r="G372" s="39" t="s">
        <v>5416</v>
      </c>
      <c r="J372" s="39" t="s">
        <v>29</v>
      </c>
      <c r="Q372" s="62">
        <v>4</v>
      </c>
      <c r="R372" s="63">
        <v>2</v>
      </c>
      <c r="S372" s="43">
        <v>2</v>
      </c>
      <c r="U372" s="64">
        <v>2</v>
      </c>
      <c r="V372" s="65">
        <v>0</v>
      </c>
      <c r="AC372" s="39" t="s">
        <v>5417</v>
      </c>
      <c r="AE372" s="39" t="s">
        <v>5418</v>
      </c>
      <c r="AO372" s="39"/>
      <c r="AP372" s="70"/>
      <c r="AQ372" s="71"/>
      <c r="AR372" s="72"/>
      <c r="AU372" s="70"/>
      <c r="AV372" s="77"/>
      <c r="AW372" s="78"/>
      <c r="AX372" s="75"/>
      <c r="BA372" s="76"/>
    </row>
    <row r="373" spans="1:57" ht="24">
      <c r="A373" s="39" t="s">
        <v>5084</v>
      </c>
      <c r="B373" s="39" t="s">
        <v>5419</v>
      </c>
      <c r="C373" s="39" t="s">
        <v>5088</v>
      </c>
      <c r="D373" s="40">
        <v>98</v>
      </c>
      <c r="E373" s="39">
        <v>2</v>
      </c>
      <c r="F373" s="39" t="s">
        <v>5415</v>
      </c>
      <c r="G373" s="39" t="s">
        <v>5420</v>
      </c>
      <c r="J373" s="39" t="s">
        <v>29</v>
      </c>
      <c r="Q373" s="62">
        <v>2</v>
      </c>
      <c r="R373" s="63">
        <v>2</v>
      </c>
      <c r="S373" s="43">
        <v>2</v>
      </c>
      <c r="U373" s="64">
        <v>1</v>
      </c>
      <c r="V373" s="65">
        <v>0</v>
      </c>
      <c r="AC373" s="39" t="s">
        <v>5417</v>
      </c>
      <c r="AD373" s="40" t="s">
        <v>5669</v>
      </c>
      <c r="AE373" s="39" t="s">
        <v>5721</v>
      </c>
      <c r="AO373" s="39"/>
      <c r="AP373" s="70"/>
      <c r="AQ373" s="71"/>
      <c r="AR373" s="72"/>
      <c r="AU373" s="70"/>
      <c r="AV373" s="77"/>
      <c r="AW373" s="78"/>
      <c r="AX373" s="75"/>
      <c r="BA373" s="76"/>
    </row>
    <row r="374" spans="1:57" ht="60">
      <c r="A374" s="39" t="s">
        <v>5084</v>
      </c>
      <c r="B374" s="39" t="s">
        <v>5421</v>
      </c>
      <c r="C374" s="39" t="s">
        <v>5088</v>
      </c>
      <c r="D374" s="40">
        <v>99</v>
      </c>
      <c r="E374" s="39">
        <v>2</v>
      </c>
      <c r="F374" s="39" t="s">
        <v>5415</v>
      </c>
      <c r="G374" s="39" t="s">
        <v>5422</v>
      </c>
      <c r="J374" s="39" t="s">
        <v>28</v>
      </c>
      <c r="AC374" s="39" t="s">
        <v>4154</v>
      </c>
      <c r="AE374" s="39" t="s">
        <v>5423</v>
      </c>
      <c r="AO374" s="39"/>
      <c r="AP374" s="70"/>
      <c r="AQ374" s="71"/>
      <c r="AR374" s="72"/>
      <c r="AU374" s="70"/>
      <c r="AV374" s="77"/>
      <c r="AW374" s="78"/>
      <c r="AX374" s="75"/>
      <c r="BA374" s="76"/>
    </row>
    <row r="375" spans="1:57" ht="36">
      <c r="A375" s="39" t="s">
        <v>5084</v>
      </c>
      <c r="B375" s="39" t="s">
        <v>5424</v>
      </c>
      <c r="C375" s="39" t="s">
        <v>5088</v>
      </c>
      <c r="D375" s="40">
        <v>100</v>
      </c>
      <c r="E375" s="39">
        <v>2</v>
      </c>
      <c r="F375" s="39" t="s">
        <v>5425</v>
      </c>
      <c r="G375" s="39" t="s">
        <v>5426</v>
      </c>
      <c r="J375" s="39" t="s">
        <v>28</v>
      </c>
      <c r="AC375" s="39" t="s">
        <v>4316</v>
      </c>
      <c r="AE375" s="39" t="s">
        <v>5427</v>
      </c>
      <c r="AO375" s="39"/>
      <c r="AP375" s="70"/>
      <c r="AQ375" s="71"/>
      <c r="AR375" s="72"/>
      <c r="AU375" s="70"/>
      <c r="AV375" s="77"/>
      <c r="AW375" s="78"/>
      <c r="AX375" s="75"/>
      <c r="BA375" s="76"/>
    </row>
    <row r="376" spans="1:57" ht="60">
      <c r="A376" s="39" t="s">
        <v>5084</v>
      </c>
      <c r="B376" s="39" t="s">
        <v>5428</v>
      </c>
      <c r="C376" s="39" t="s">
        <v>5088</v>
      </c>
      <c r="D376" s="40">
        <v>101</v>
      </c>
      <c r="E376" s="39">
        <v>2</v>
      </c>
      <c r="F376" s="39" t="s">
        <v>5425</v>
      </c>
      <c r="G376" s="39" t="s">
        <v>5429</v>
      </c>
      <c r="J376" s="39" t="s">
        <v>28</v>
      </c>
      <c r="AC376" s="39" t="s">
        <v>5430</v>
      </c>
      <c r="AD376" s="40" t="s">
        <v>4582</v>
      </c>
      <c r="AE376" s="39" t="s">
        <v>5722</v>
      </c>
      <c r="AO376" s="39"/>
      <c r="AP376" s="70"/>
      <c r="AQ376" s="71"/>
      <c r="AR376" s="72"/>
      <c r="AU376" s="70"/>
      <c r="AV376" s="77"/>
      <c r="AW376" s="78"/>
      <c r="AX376" s="75"/>
      <c r="BA376" s="76"/>
    </row>
    <row r="377" spans="1:57" ht="60">
      <c r="A377" s="39" t="s">
        <v>5084</v>
      </c>
      <c r="B377" s="39" t="s">
        <v>5431</v>
      </c>
      <c r="C377" s="39" t="s">
        <v>5088</v>
      </c>
      <c r="D377" s="40">
        <v>102</v>
      </c>
      <c r="E377" s="39">
        <v>2</v>
      </c>
      <c r="F377" s="39" t="s">
        <v>5425</v>
      </c>
      <c r="G377" s="39" t="s">
        <v>5432</v>
      </c>
      <c r="J377" s="39" t="s">
        <v>28</v>
      </c>
      <c r="AC377" s="39" t="s">
        <v>5433</v>
      </c>
      <c r="AE377" s="39" t="s">
        <v>5434</v>
      </c>
      <c r="AO377" s="39"/>
      <c r="AP377" s="70"/>
      <c r="AQ377" s="71"/>
      <c r="AR377" s="72"/>
      <c r="AU377" s="70"/>
      <c r="AV377" s="77"/>
      <c r="AW377" s="78"/>
      <c r="AX377" s="75"/>
      <c r="BA377" s="76"/>
    </row>
    <row r="378" spans="1:57" ht="36">
      <c r="A378" s="39" t="s">
        <v>5084</v>
      </c>
      <c r="B378" s="39" t="s">
        <v>5435</v>
      </c>
      <c r="C378" s="39" t="s">
        <v>5088</v>
      </c>
      <c r="D378" s="40">
        <v>103</v>
      </c>
      <c r="E378" s="39">
        <v>2</v>
      </c>
      <c r="F378" s="39" t="s">
        <v>5436</v>
      </c>
      <c r="G378" s="39" t="s">
        <v>5437</v>
      </c>
      <c r="J378" s="39" t="s">
        <v>29</v>
      </c>
      <c r="Q378" s="62">
        <v>1</v>
      </c>
      <c r="R378" s="63">
        <v>4</v>
      </c>
      <c r="S378" s="43">
        <v>6</v>
      </c>
      <c r="U378" s="64">
        <v>1</v>
      </c>
      <c r="V378" s="65">
        <v>1</v>
      </c>
      <c r="AC378" s="39" t="s">
        <v>5438</v>
      </c>
      <c r="AD378" s="40" t="s">
        <v>5724</v>
      </c>
      <c r="AE378" s="39" t="s">
        <v>5723</v>
      </c>
      <c r="AO378" s="39"/>
      <c r="AP378" s="70"/>
      <c r="AQ378" s="71"/>
      <c r="AR378" s="72"/>
      <c r="AU378" s="70"/>
      <c r="AV378" s="77"/>
      <c r="AW378" s="78"/>
      <c r="AX378" s="75"/>
      <c r="BA378" s="76"/>
    </row>
    <row r="379" spans="1:57" ht="36">
      <c r="A379" s="39" t="s">
        <v>5084</v>
      </c>
      <c r="B379" s="39" t="s">
        <v>5439</v>
      </c>
      <c r="C379" s="39" t="s">
        <v>5088</v>
      </c>
      <c r="D379" s="40">
        <v>104</v>
      </c>
      <c r="E379" s="39">
        <v>1</v>
      </c>
      <c r="F379" s="39" t="s">
        <v>5436</v>
      </c>
      <c r="G379" s="39" t="s">
        <v>5440</v>
      </c>
      <c r="J379" s="39" t="s">
        <v>29</v>
      </c>
      <c r="Q379" s="62">
        <v>4</v>
      </c>
      <c r="R379" s="63">
        <v>2</v>
      </c>
      <c r="S379" s="43">
        <v>5</v>
      </c>
      <c r="U379" s="64">
        <v>2</v>
      </c>
      <c r="V379" s="65">
        <v>2</v>
      </c>
      <c r="Z379" s="67">
        <v>1</v>
      </c>
      <c r="AC379" s="39" t="s">
        <v>5438</v>
      </c>
      <c r="AD379" s="40" t="s">
        <v>5726</v>
      </c>
      <c r="AE379" s="39" t="s">
        <v>5725</v>
      </c>
      <c r="AO379" s="39"/>
      <c r="AP379" s="70"/>
      <c r="AQ379" s="71"/>
      <c r="AR379" s="72"/>
      <c r="AU379" s="70"/>
      <c r="AV379" s="77"/>
      <c r="AW379" s="78"/>
      <c r="AX379" s="75"/>
      <c r="BA379" s="76"/>
    </row>
    <row r="380" spans="1:57" ht="15">
      <c r="A380" s="39" t="s">
        <v>5084</v>
      </c>
      <c r="B380" s="59" t="s">
        <v>5453</v>
      </c>
      <c r="C380" s="59" t="s">
        <v>5088</v>
      </c>
      <c r="D380" s="79">
        <v>995</v>
      </c>
      <c r="E380" s="59">
        <v>1</v>
      </c>
      <c r="F380" s="59"/>
      <c r="G380" s="39" t="s">
        <v>5089</v>
      </c>
      <c r="J380" s="39" t="s">
        <v>4681</v>
      </c>
      <c r="K380" s="39" t="s">
        <v>4052</v>
      </c>
      <c r="N380" s="39"/>
      <c r="O380" s="70"/>
      <c r="P380" s="71"/>
      <c r="Q380" s="72"/>
      <c r="T380" s="70"/>
      <c r="U380" s="77"/>
      <c r="V380" s="78"/>
      <c r="W380" s="75"/>
      <c r="Z380" s="76"/>
      <c r="AA380" s="101"/>
      <c r="AD380" s="39"/>
      <c r="AH380" s="39" t="s">
        <v>5089</v>
      </c>
      <c r="AK380" s="39" t="s">
        <v>4681</v>
      </c>
      <c r="AO380" s="39"/>
      <c r="AP380" s="70"/>
      <c r="AQ380" s="71"/>
      <c r="AR380" s="72"/>
      <c r="AU380" s="70"/>
      <c r="AV380" s="77"/>
      <c r="AW380" s="78"/>
      <c r="AX380" s="75"/>
      <c r="BA380" s="76"/>
    </row>
    <row r="381" spans="1:57" ht="15">
      <c r="A381" s="39" t="s">
        <v>5084</v>
      </c>
      <c r="B381" s="39" t="s">
        <v>5454</v>
      </c>
      <c r="C381" s="39" t="s">
        <v>5088</v>
      </c>
      <c r="D381" s="40">
        <v>996</v>
      </c>
      <c r="E381" s="39">
        <v>1</v>
      </c>
      <c r="G381" s="39" t="s">
        <v>5095</v>
      </c>
      <c r="J381" s="39" t="s">
        <v>4681</v>
      </c>
      <c r="K381" s="39" t="s">
        <v>4053</v>
      </c>
      <c r="N381" s="39"/>
      <c r="O381" s="70"/>
      <c r="P381" s="71"/>
      <c r="Q381" s="72"/>
      <c r="T381" s="70"/>
      <c r="U381" s="77"/>
      <c r="V381" s="78"/>
      <c r="W381" s="75"/>
      <c r="Z381" s="76"/>
      <c r="AA381" s="101"/>
      <c r="AD381" s="39"/>
      <c r="AH381" s="39" t="s">
        <v>5095</v>
      </c>
      <c r="AK381" s="39" t="s">
        <v>4681</v>
      </c>
      <c r="AO381" s="39"/>
      <c r="AP381" s="70"/>
      <c r="AQ381" s="71"/>
      <c r="AR381" s="72"/>
      <c r="AU381" s="70"/>
      <c r="AV381" s="77"/>
      <c r="AW381" s="78"/>
      <c r="AX381" s="75"/>
      <c r="BA381" s="76"/>
    </row>
    <row r="382" spans="1:57" ht="15">
      <c r="A382" s="39" t="s">
        <v>5084</v>
      </c>
      <c r="B382" s="39" t="s">
        <v>5455</v>
      </c>
      <c r="C382" s="39" t="s">
        <v>5088</v>
      </c>
      <c r="D382" s="40">
        <v>997</v>
      </c>
      <c r="E382" s="39">
        <v>1</v>
      </c>
      <c r="G382" s="39" t="s">
        <v>5101</v>
      </c>
      <c r="J382" s="39" t="s">
        <v>4681</v>
      </c>
      <c r="K382" s="39" t="s">
        <v>4055</v>
      </c>
      <c r="N382" s="39"/>
      <c r="O382" s="70"/>
      <c r="P382" s="71"/>
      <c r="Q382" s="72"/>
      <c r="T382" s="70"/>
      <c r="U382" s="77"/>
      <c r="V382" s="78"/>
      <c r="W382" s="75"/>
      <c r="Z382" s="76"/>
      <c r="AA382" s="101"/>
      <c r="AD382" s="39"/>
      <c r="AH382" s="39" t="s">
        <v>5101</v>
      </c>
      <c r="AK382" s="39" t="s">
        <v>4681</v>
      </c>
      <c r="AO382" s="39"/>
      <c r="AP382" s="70"/>
      <c r="AQ382" s="71"/>
      <c r="AR382" s="72"/>
      <c r="AU382" s="70"/>
      <c r="AV382" s="77"/>
      <c r="AW382" s="78"/>
      <c r="AX382" s="75"/>
      <c r="BA382" s="76"/>
    </row>
    <row r="383" spans="1:57" ht="15">
      <c r="A383" s="39" t="s">
        <v>5084</v>
      </c>
      <c r="B383" s="69" t="s">
        <v>5456</v>
      </c>
      <c r="C383" s="39" t="s">
        <v>5088</v>
      </c>
      <c r="D383" s="40">
        <v>998</v>
      </c>
      <c r="E383" s="39">
        <v>1</v>
      </c>
      <c r="G383" s="39" t="s">
        <v>5106</v>
      </c>
      <c r="J383" s="39" t="s">
        <v>4681</v>
      </c>
      <c r="K383" s="39" t="s">
        <v>4054</v>
      </c>
      <c r="N383" s="39"/>
      <c r="O383" s="70"/>
      <c r="P383" s="71"/>
      <c r="Q383" s="72"/>
      <c r="T383" s="70"/>
      <c r="U383" s="77"/>
      <c r="V383" s="78"/>
      <c r="W383" s="75"/>
      <c r="Z383" s="76"/>
      <c r="AA383" s="101"/>
      <c r="AD383" s="39"/>
      <c r="AH383" s="39" t="s">
        <v>5106</v>
      </c>
      <c r="AK383" s="39" t="s">
        <v>4681</v>
      </c>
      <c r="AO383" s="39"/>
      <c r="AP383" s="70"/>
      <c r="AQ383" s="71"/>
      <c r="AR383" s="72"/>
      <c r="AU383" s="70"/>
      <c r="AV383" s="77"/>
      <c r="AW383" s="78"/>
      <c r="AX383" s="75"/>
      <c r="BA383" s="76"/>
    </row>
    <row r="384" spans="1:57" s="102" customFormat="1">
      <c r="A384" s="39" t="s">
        <v>5084</v>
      </c>
      <c r="B384" s="102" t="s">
        <v>5457</v>
      </c>
      <c r="C384" s="102" t="s">
        <v>5088</v>
      </c>
      <c r="D384" s="102">
        <v>999</v>
      </c>
      <c r="E384" s="102">
        <v>1</v>
      </c>
      <c r="G384" s="39" t="s">
        <v>5111</v>
      </c>
      <c r="J384" s="102" t="s">
        <v>4681</v>
      </c>
      <c r="K384" s="102" t="s">
        <v>4056</v>
      </c>
      <c r="O384" s="81"/>
      <c r="P384" s="82"/>
      <c r="Q384" s="83"/>
      <c r="R384" s="84"/>
      <c r="S384" s="85"/>
      <c r="T384" s="81"/>
      <c r="U384" s="86"/>
      <c r="V384" s="87"/>
      <c r="W384" s="88"/>
      <c r="X384" s="84"/>
      <c r="Y384" s="85"/>
      <c r="Z384" s="89"/>
      <c r="AH384" s="39" t="s">
        <v>5111</v>
      </c>
      <c r="AK384" s="102" t="s">
        <v>4681</v>
      </c>
      <c r="AP384" s="81"/>
      <c r="AQ384" s="82"/>
      <c r="AR384" s="83"/>
      <c r="AS384" s="84"/>
      <c r="AT384" s="85"/>
      <c r="AU384" s="81"/>
      <c r="AV384" s="86"/>
      <c r="AW384" s="87"/>
      <c r="AX384" s="88"/>
      <c r="AY384" s="84"/>
      <c r="AZ384" s="85"/>
      <c r="BA384" s="89"/>
      <c r="BE384" s="41"/>
    </row>
    <row r="385" spans="1:58" ht="24">
      <c r="A385" s="39" t="s">
        <v>5084</v>
      </c>
      <c r="B385" s="39" t="s">
        <v>5569</v>
      </c>
      <c r="C385" s="39" t="s">
        <v>5088</v>
      </c>
      <c r="D385" s="40">
        <v>105</v>
      </c>
      <c r="E385" s="39">
        <v>2</v>
      </c>
      <c r="G385" s="39" t="s">
        <v>5459</v>
      </c>
      <c r="J385" s="39" t="s">
        <v>27</v>
      </c>
      <c r="K385" s="39" t="s">
        <v>4052</v>
      </c>
      <c r="L385" s="39">
        <v>0</v>
      </c>
      <c r="N385" s="40">
        <v>2</v>
      </c>
      <c r="AA385" s="105" t="s">
        <v>5472</v>
      </c>
      <c r="AC385" s="39" t="s">
        <v>5473</v>
      </c>
      <c r="AE385" s="39" t="s">
        <v>5482</v>
      </c>
      <c r="AO385" s="39"/>
      <c r="AP385" s="70"/>
      <c r="AQ385" s="71"/>
      <c r="AR385" s="72"/>
      <c r="AU385" s="70"/>
      <c r="AV385" s="77"/>
      <c r="AW385" s="78"/>
      <c r="AX385" s="75"/>
      <c r="BA385" s="76"/>
    </row>
    <row r="386" spans="1:58" ht="60">
      <c r="A386" s="39" t="s">
        <v>5084</v>
      </c>
      <c r="B386" s="39" t="s">
        <v>5570</v>
      </c>
      <c r="C386" s="39" t="s">
        <v>5088</v>
      </c>
      <c r="D386" s="40">
        <v>106</v>
      </c>
      <c r="E386" s="39">
        <v>2</v>
      </c>
      <c r="G386" s="39" t="s">
        <v>5460</v>
      </c>
      <c r="H386" s="39" t="s">
        <v>5474</v>
      </c>
      <c r="I386" s="39" t="s">
        <v>4077</v>
      </c>
      <c r="J386" s="39" t="s">
        <v>4111</v>
      </c>
      <c r="K386" s="39" t="s">
        <v>4052</v>
      </c>
      <c r="L386" s="39">
        <v>1</v>
      </c>
      <c r="N386" s="40">
        <v>5</v>
      </c>
      <c r="S386" s="43">
        <v>3</v>
      </c>
      <c r="T386" s="60">
        <v>3</v>
      </c>
      <c r="AA386" s="106" t="s">
        <v>4058</v>
      </c>
      <c r="AB386" s="39" t="s">
        <v>25</v>
      </c>
      <c r="AC386" s="39" t="s">
        <v>4288</v>
      </c>
      <c r="AE386" s="39" t="s">
        <v>5475</v>
      </c>
      <c r="AO386" s="39"/>
      <c r="AP386" s="70"/>
      <c r="AQ386" s="71"/>
      <c r="AR386" s="72"/>
      <c r="AU386" s="70"/>
      <c r="AV386" s="77"/>
      <c r="AW386" s="78"/>
      <c r="AX386" s="75"/>
      <c r="BA386" s="76"/>
    </row>
    <row r="387" spans="1:58" ht="24">
      <c r="A387" s="39" t="s">
        <v>5084</v>
      </c>
      <c r="B387" s="39" t="s">
        <v>5571</v>
      </c>
      <c r="C387" s="39" t="s">
        <v>5088</v>
      </c>
      <c r="D387" s="40">
        <v>107</v>
      </c>
      <c r="E387" s="39">
        <v>2</v>
      </c>
      <c r="G387" s="39" t="s">
        <v>5461</v>
      </c>
      <c r="J387" s="39" t="s">
        <v>27</v>
      </c>
      <c r="K387" s="39" t="s">
        <v>4053</v>
      </c>
      <c r="L387" s="39">
        <v>0</v>
      </c>
      <c r="N387" s="40">
        <v>3</v>
      </c>
      <c r="AA387" s="39" t="s">
        <v>4890</v>
      </c>
      <c r="AC387" s="39" t="s">
        <v>4188</v>
      </c>
      <c r="AE387" s="39" t="s">
        <v>5476</v>
      </c>
      <c r="AF387" s="39" t="s">
        <v>5477</v>
      </c>
      <c r="AO387" s="39"/>
      <c r="AP387" s="70"/>
      <c r="AQ387" s="71"/>
      <c r="AR387" s="72"/>
      <c r="AU387" s="70"/>
      <c r="AV387" s="77"/>
      <c r="AW387" s="78"/>
      <c r="AX387" s="75"/>
      <c r="BA387" s="76"/>
    </row>
    <row r="388" spans="1:58" ht="24">
      <c r="A388" s="39" t="s">
        <v>5084</v>
      </c>
      <c r="B388" s="39" t="s">
        <v>5572</v>
      </c>
      <c r="C388" s="39" t="s">
        <v>5088</v>
      </c>
      <c r="D388" s="40">
        <v>108</v>
      </c>
      <c r="E388" s="39">
        <v>2</v>
      </c>
      <c r="G388" s="39" t="s">
        <v>5462</v>
      </c>
      <c r="J388" s="39" t="s">
        <v>4111</v>
      </c>
      <c r="K388" s="39" t="s">
        <v>4053</v>
      </c>
      <c r="L388" s="39">
        <v>1</v>
      </c>
      <c r="N388" s="40">
        <v>3</v>
      </c>
      <c r="AA388" s="39" t="s">
        <v>4061</v>
      </c>
      <c r="AC388" s="39" t="s">
        <v>4138</v>
      </c>
      <c r="AE388" s="39" t="s">
        <v>5478</v>
      </c>
      <c r="AO388" s="39"/>
      <c r="AP388" s="70"/>
      <c r="AQ388" s="71"/>
      <c r="AR388" s="72"/>
      <c r="AU388" s="70"/>
      <c r="AV388" s="77"/>
      <c r="AW388" s="78"/>
      <c r="AX388" s="75"/>
      <c r="BA388" s="76"/>
    </row>
    <row r="389" spans="1:58" ht="36">
      <c r="A389" s="39" t="s">
        <v>5084</v>
      </c>
      <c r="B389" s="39" t="s">
        <v>5573</v>
      </c>
      <c r="C389" s="39" t="s">
        <v>5088</v>
      </c>
      <c r="D389" s="40">
        <v>109</v>
      </c>
      <c r="E389" s="39">
        <v>2</v>
      </c>
      <c r="G389" s="39" t="s">
        <v>5463</v>
      </c>
      <c r="J389" s="39" t="s">
        <v>27</v>
      </c>
      <c r="K389" s="39" t="s">
        <v>4055</v>
      </c>
      <c r="L389" s="39">
        <v>0</v>
      </c>
      <c r="N389" s="40">
        <v>4</v>
      </c>
      <c r="AA389" s="39" t="s">
        <v>5479</v>
      </c>
      <c r="AC389" s="39" t="s">
        <v>5480</v>
      </c>
      <c r="AE389" s="39" t="s">
        <v>5481</v>
      </c>
      <c r="AF389" s="39" t="s">
        <v>5483</v>
      </c>
      <c r="AO389" s="39"/>
      <c r="AP389" s="70"/>
      <c r="AQ389" s="71"/>
      <c r="AR389" s="72"/>
      <c r="AU389" s="70"/>
      <c r="AV389" s="77"/>
      <c r="AW389" s="78"/>
      <c r="AX389" s="75"/>
      <c r="BA389" s="76"/>
    </row>
    <row r="390" spans="1:58" ht="48">
      <c r="A390" s="39" t="s">
        <v>5084</v>
      </c>
      <c r="B390" s="39" t="s">
        <v>5574</v>
      </c>
      <c r="C390" s="39" t="s">
        <v>5088</v>
      </c>
      <c r="D390" s="40">
        <v>110</v>
      </c>
      <c r="E390" s="39">
        <v>2</v>
      </c>
      <c r="G390" s="39" t="s">
        <v>5464</v>
      </c>
      <c r="J390" s="39" t="s">
        <v>4111</v>
      </c>
      <c r="K390" s="39" t="s">
        <v>4055</v>
      </c>
      <c r="L390" s="39">
        <v>1</v>
      </c>
      <c r="AC390" s="39" t="s">
        <v>4138</v>
      </c>
      <c r="AD390" s="40" t="s">
        <v>5484</v>
      </c>
      <c r="AE390" s="39" t="s">
        <v>5485</v>
      </c>
      <c r="AO390" s="39"/>
      <c r="AP390" s="70"/>
      <c r="AQ390" s="71"/>
      <c r="AR390" s="72"/>
      <c r="AU390" s="70"/>
      <c r="AV390" s="77"/>
      <c r="AW390" s="78"/>
      <c r="AX390" s="75"/>
      <c r="BA390" s="76"/>
    </row>
    <row r="391" spans="1:58" ht="36">
      <c r="A391" s="39" t="s">
        <v>5084</v>
      </c>
      <c r="B391" s="39" t="s">
        <v>5575</v>
      </c>
      <c r="C391" s="39" t="s">
        <v>5088</v>
      </c>
      <c r="D391" s="40">
        <v>111</v>
      </c>
      <c r="E391" s="39">
        <v>2</v>
      </c>
      <c r="G391" s="39" t="s">
        <v>5465</v>
      </c>
      <c r="J391" s="39" t="s">
        <v>27</v>
      </c>
      <c r="K391" s="39" t="s">
        <v>4054</v>
      </c>
      <c r="L391" s="39">
        <v>0</v>
      </c>
      <c r="N391" s="40">
        <v>1</v>
      </c>
      <c r="Z391" s="67">
        <v>1</v>
      </c>
      <c r="AC391" s="39" t="s">
        <v>4185</v>
      </c>
      <c r="AE391" s="39" t="s">
        <v>5486</v>
      </c>
      <c r="AF391" s="39" t="s">
        <v>5487</v>
      </c>
      <c r="AO391" s="39"/>
      <c r="AP391" s="70"/>
      <c r="AQ391" s="71"/>
      <c r="AR391" s="72"/>
      <c r="AU391" s="70"/>
      <c r="AV391" s="77"/>
      <c r="AW391" s="78"/>
      <c r="AX391" s="75"/>
      <c r="BA391" s="76"/>
    </row>
    <row r="392" spans="1:58" ht="36">
      <c r="A392" s="39" t="s">
        <v>5084</v>
      </c>
      <c r="B392" s="39" t="s">
        <v>5576</v>
      </c>
      <c r="C392" s="39" t="s">
        <v>5088</v>
      </c>
      <c r="D392" s="40">
        <v>112</v>
      </c>
      <c r="E392" s="39">
        <v>2</v>
      </c>
      <c r="G392" s="39" t="s">
        <v>5466</v>
      </c>
      <c r="J392" s="39" t="s">
        <v>4111</v>
      </c>
      <c r="K392" s="39" t="s">
        <v>4054</v>
      </c>
      <c r="L392" s="39">
        <v>2</v>
      </c>
      <c r="N392" s="40">
        <v>2</v>
      </c>
      <c r="AA392" s="106" t="s">
        <v>4058</v>
      </c>
      <c r="AB392" s="39" t="s">
        <v>4219</v>
      </c>
      <c r="AC392" s="39" t="s">
        <v>4916</v>
      </c>
      <c r="AD392" s="40" t="s">
        <v>5488</v>
      </c>
      <c r="AE392" s="39" t="s">
        <v>5489</v>
      </c>
      <c r="AO392" s="39"/>
      <c r="AP392" s="70"/>
      <c r="AQ392" s="71"/>
      <c r="AR392" s="72"/>
      <c r="AU392" s="70"/>
      <c r="AV392" s="77"/>
      <c r="AW392" s="78"/>
      <c r="AX392" s="75"/>
      <c r="BA392" s="76"/>
    </row>
    <row r="393" spans="1:58" ht="36">
      <c r="A393" s="39" t="s">
        <v>5084</v>
      </c>
      <c r="B393" s="39" t="s">
        <v>5577</v>
      </c>
      <c r="C393" s="39" t="s">
        <v>5088</v>
      </c>
      <c r="D393" s="40">
        <v>113</v>
      </c>
      <c r="E393" s="39">
        <v>2</v>
      </c>
      <c r="G393" s="39" t="s">
        <v>5467</v>
      </c>
      <c r="J393" s="39" t="s">
        <v>27</v>
      </c>
      <c r="K393" s="39" t="s">
        <v>4056</v>
      </c>
      <c r="L393" s="39">
        <v>0</v>
      </c>
      <c r="N393" s="40">
        <v>2</v>
      </c>
      <c r="AA393" s="39" t="s">
        <v>4887</v>
      </c>
      <c r="AC393" s="39" t="s">
        <v>4213</v>
      </c>
      <c r="AD393" s="40" t="s">
        <v>5490</v>
      </c>
      <c r="AE393" s="39" t="s">
        <v>5491</v>
      </c>
      <c r="AO393" s="39"/>
      <c r="AP393" s="70"/>
      <c r="AQ393" s="71"/>
      <c r="AR393" s="72"/>
      <c r="AU393" s="70"/>
      <c r="AV393" s="77"/>
      <c r="AW393" s="78"/>
      <c r="AX393" s="75"/>
      <c r="BA393" s="76"/>
    </row>
    <row r="394" spans="1:58" ht="48">
      <c r="A394" s="39" t="s">
        <v>5084</v>
      </c>
      <c r="B394" s="39" t="s">
        <v>5578</v>
      </c>
      <c r="C394" s="39" t="s">
        <v>5088</v>
      </c>
      <c r="D394" s="40">
        <v>114</v>
      </c>
      <c r="E394" s="39">
        <v>2</v>
      </c>
      <c r="G394" s="39" t="s">
        <v>5468</v>
      </c>
      <c r="J394" s="39" t="s">
        <v>4111</v>
      </c>
      <c r="K394" s="39" t="s">
        <v>4056</v>
      </c>
      <c r="L394" s="39">
        <v>1</v>
      </c>
      <c r="N394" s="40">
        <v>2</v>
      </c>
      <c r="AA394" s="39" t="s">
        <v>4061</v>
      </c>
      <c r="AB394" s="39" t="s">
        <v>4112</v>
      </c>
      <c r="AC394" s="39" t="s">
        <v>5492</v>
      </c>
      <c r="AE394" s="39" t="s">
        <v>5611</v>
      </c>
      <c r="AO394" s="39"/>
      <c r="AP394" s="70"/>
      <c r="AQ394" s="71"/>
      <c r="AR394" s="72"/>
      <c r="AU394" s="70"/>
      <c r="AV394" s="77"/>
      <c r="AW394" s="78"/>
      <c r="AX394" s="75"/>
      <c r="BA394" s="76"/>
    </row>
    <row r="395" spans="1:58" ht="84">
      <c r="A395" s="39" t="s">
        <v>5084</v>
      </c>
      <c r="B395" s="39" t="s">
        <v>5579</v>
      </c>
      <c r="C395" s="39" t="s">
        <v>5088</v>
      </c>
      <c r="D395" s="40">
        <v>115</v>
      </c>
      <c r="E395" s="39">
        <v>2</v>
      </c>
      <c r="G395" s="39" t="s">
        <v>5469</v>
      </c>
      <c r="J395" s="39" t="s">
        <v>27</v>
      </c>
      <c r="K395" s="39" t="s">
        <v>4056</v>
      </c>
      <c r="L395" s="39">
        <v>1</v>
      </c>
      <c r="N395" s="40">
        <v>2</v>
      </c>
      <c r="AA395" s="39" t="s">
        <v>4062</v>
      </c>
      <c r="AE395" s="39" t="s">
        <v>5493</v>
      </c>
      <c r="AO395" s="39"/>
      <c r="AP395" s="70"/>
      <c r="AQ395" s="71"/>
      <c r="AR395" s="72"/>
      <c r="AU395" s="70"/>
      <c r="AV395" s="77"/>
      <c r="AW395" s="78"/>
      <c r="AX395" s="75"/>
      <c r="BA395" s="76"/>
    </row>
    <row r="396" spans="1:58" ht="24">
      <c r="A396" s="39" t="s">
        <v>5084</v>
      </c>
      <c r="B396" s="39" t="s">
        <v>5580</v>
      </c>
      <c r="C396" s="39" t="s">
        <v>5088</v>
      </c>
      <c r="D396" s="40">
        <v>116</v>
      </c>
      <c r="E396" s="39">
        <v>2</v>
      </c>
      <c r="G396" s="39" t="s">
        <v>5470</v>
      </c>
      <c r="J396" s="39" t="s">
        <v>4111</v>
      </c>
      <c r="K396" s="39" t="s">
        <v>26</v>
      </c>
      <c r="L396" s="39">
        <v>0</v>
      </c>
      <c r="N396" s="40">
        <v>1</v>
      </c>
      <c r="AA396" s="106" t="s">
        <v>4058</v>
      </c>
      <c r="AC396" s="39" t="s">
        <v>4118</v>
      </c>
      <c r="AD396" s="40" t="s">
        <v>5494</v>
      </c>
      <c r="AE396" s="39" t="s">
        <v>5496</v>
      </c>
      <c r="AF396" s="39" t="s">
        <v>5497</v>
      </c>
      <c r="AO396" s="39"/>
      <c r="AP396" s="70"/>
      <c r="AQ396" s="71"/>
      <c r="AR396" s="72"/>
      <c r="AU396" s="70"/>
      <c r="AV396" s="77"/>
      <c r="AW396" s="78"/>
      <c r="AX396" s="75"/>
      <c r="BA396" s="76"/>
    </row>
    <row r="397" spans="1:58" ht="24">
      <c r="A397" s="39" t="s">
        <v>5084</v>
      </c>
      <c r="B397" s="39" t="s">
        <v>5581</v>
      </c>
      <c r="C397" s="39" t="s">
        <v>5088</v>
      </c>
      <c r="D397" s="40">
        <v>117</v>
      </c>
      <c r="E397" s="39">
        <v>2</v>
      </c>
      <c r="G397" s="39" t="s">
        <v>5471</v>
      </c>
      <c r="J397" s="39" t="s">
        <v>4111</v>
      </c>
      <c r="K397" s="39" t="s">
        <v>26</v>
      </c>
      <c r="L397" s="39">
        <v>0</v>
      </c>
      <c r="N397" s="40">
        <v>1</v>
      </c>
      <c r="AA397" s="106" t="s">
        <v>4058</v>
      </c>
      <c r="AC397" s="39" t="s">
        <v>4118</v>
      </c>
      <c r="AD397" s="40" t="s">
        <v>5494</v>
      </c>
      <c r="AE397" s="39" t="s">
        <v>5495</v>
      </c>
      <c r="AF397" s="39" t="s">
        <v>5498</v>
      </c>
      <c r="AO397" s="39"/>
      <c r="AP397" s="70"/>
      <c r="AQ397" s="71"/>
      <c r="AR397" s="72"/>
      <c r="AU397" s="70"/>
      <c r="AV397" s="77"/>
      <c r="AW397" s="78"/>
      <c r="AX397" s="75"/>
      <c r="BA397" s="76"/>
    </row>
    <row r="398" spans="1:58" ht="84">
      <c r="A398" s="39" t="s">
        <v>5084</v>
      </c>
      <c r="B398" s="39" t="s">
        <v>5582</v>
      </c>
      <c r="C398" s="39" t="s">
        <v>5088</v>
      </c>
      <c r="D398" s="40">
        <v>118</v>
      </c>
      <c r="E398" s="39">
        <v>1</v>
      </c>
      <c r="F398" s="39" t="s">
        <v>5499</v>
      </c>
      <c r="G398" s="39" t="s">
        <v>5499</v>
      </c>
      <c r="H398" s="39" t="s">
        <v>4531</v>
      </c>
      <c r="J398" s="39" t="s">
        <v>4448</v>
      </c>
      <c r="AE398" s="39" t="s">
        <v>5523</v>
      </c>
      <c r="AH398" s="39" t="s">
        <v>5499</v>
      </c>
      <c r="AI398" s="39" t="s">
        <v>4532</v>
      </c>
      <c r="AK398" s="39" t="s">
        <v>4448</v>
      </c>
      <c r="AO398" s="39"/>
      <c r="AP398" s="70"/>
      <c r="AQ398" s="71"/>
      <c r="AR398" s="72"/>
      <c r="AU398" s="70"/>
      <c r="AV398" s="77"/>
      <c r="AW398" s="78"/>
      <c r="AX398" s="75"/>
      <c r="BA398" s="76"/>
      <c r="BF398" s="39" t="s">
        <v>5524</v>
      </c>
    </row>
    <row r="399" spans="1:58" ht="60">
      <c r="A399" s="39" t="s">
        <v>5084</v>
      </c>
      <c r="B399" s="39" t="s">
        <v>5583</v>
      </c>
      <c r="C399" s="39" t="s">
        <v>5088</v>
      </c>
      <c r="D399" s="40">
        <v>119</v>
      </c>
      <c r="E399" s="39">
        <v>1</v>
      </c>
      <c r="F399" s="39" t="s">
        <v>5499</v>
      </c>
      <c r="G399" s="39" t="s">
        <v>5500</v>
      </c>
      <c r="J399" s="39" t="s">
        <v>4449</v>
      </c>
      <c r="L399" s="39">
        <v>1</v>
      </c>
      <c r="Y399" s="43">
        <v>5</v>
      </c>
      <c r="AE399" s="39" t="s">
        <v>5525</v>
      </c>
      <c r="AH399" s="39" t="s">
        <v>5526</v>
      </c>
      <c r="AK399" s="39" t="s">
        <v>4449</v>
      </c>
      <c r="AM399" s="39">
        <v>1</v>
      </c>
      <c r="AO399" s="39"/>
      <c r="AP399" s="70"/>
      <c r="AQ399" s="71"/>
      <c r="AR399" s="72"/>
      <c r="AU399" s="70"/>
      <c r="AV399" s="77"/>
      <c r="AW399" s="78"/>
      <c r="AX399" s="75"/>
      <c r="BA399" s="76"/>
      <c r="BF399" s="39" t="s">
        <v>5531</v>
      </c>
    </row>
    <row r="400" spans="1:58" ht="60">
      <c r="A400" s="39" t="s">
        <v>5084</v>
      </c>
      <c r="B400" s="39" t="s">
        <v>5584</v>
      </c>
      <c r="C400" s="39" t="s">
        <v>5088</v>
      </c>
      <c r="D400" s="40">
        <v>120</v>
      </c>
      <c r="E400" s="39">
        <v>1</v>
      </c>
      <c r="F400" s="39" t="s">
        <v>5499</v>
      </c>
      <c r="G400" s="39" t="s">
        <v>5501</v>
      </c>
      <c r="J400" s="39" t="s">
        <v>4449</v>
      </c>
      <c r="L400" s="39">
        <v>2</v>
      </c>
      <c r="Y400" s="43">
        <v>7</v>
      </c>
      <c r="AE400" s="39" t="s">
        <v>5525</v>
      </c>
      <c r="AH400" s="39" t="s">
        <v>5422</v>
      </c>
      <c r="AK400" s="39" t="s">
        <v>4449</v>
      </c>
      <c r="AM400" s="39">
        <v>2</v>
      </c>
      <c r="AO400" s="39"/>
      <c r="AP400" s="70"/>
      <c r="AQ400" s="71"/>
      <c r="AR400" s="72"/>
      <c r="AU400" s="70"/>
      <c r="AV400" s="77"/>
      <c r="AW400" s="78"/>
      <c r="AX400" s="75"/>
      <c r="BA400" s="76"/>
      <c r="BF400" s="39" t="s">
        <v>5531</v>
      </c>
    </row>
    <row r="401" spans="1:58" ht="36">
      <c r="A401" s="39" t="s">
        <v>5084</v>
      </c>
      <c r="B401" s="39" t="s">
        <v>5585</v>
      </c>
      <c r="C401" s="39" t="s">
        <v>5088</v>
      </c>
      <c r="D401" s="40">
        <v>121</v>
      </c>
      <c r="E401" s="39">
        <v>1</v>
      </c>
      <c r="F401" s="39" t="s">
        <v>5499</v>
      </c>
      <c r="G401" s="39" t="s">
        <v>5502</v>
      </c>
      <c r="J401" s="39" t="s">
        <v>4449</v>
      </c>
      <c r="L401" s="39">
        <v>3</v>
      </c>
      <c r="Y401" s="43">
        <v>7</v>
      </c>
      <c r="AE401" s="39" t="s">
        <v>5525</v>
      </c>
      <c r="AH401" s="39" t="s">
        <v>5527</v>
      </c>
      <c r="AK401" s="39" t="s">
        <v>4449</v>
      </c>
      <c r="AM401" s="39">
        <v>3</v>
      </c>
      <c r="AO401" s="39"/>
      <c r="AP401" s="70"/>
      <c r="AQ401" s="71"/>
      <c r="AR401" s="72"/>
      <c r="AU401" s="70"/>
      <c r="AV401" s="77"/>
      <c r="AW401" s="78"/>
      <c r="AX401" s="75"/>
      <c r="BA401" s="76"/>
      <c r="BF401" s="39" t="s">
        <v>5532</v>
      </c>
    </row>
    <row r="402" spans="1:58" ht="120">
      <c r="A402" s="39" t="s">
        <v>5084</v>
      </c>
      <c r="B402" s="39" t="s">
        <v>5586</v>
      </c>
      <c r="C402" s="39" t="s">
        <v>5088</v>
      </c>
      <c r="D402" s="40">
        <v>122</v>
      </c>
      <c r="E402" s="39">
        <v>1</v>
      </c>
      <c r="F402" s="39" t="s">
        <v>5499</v>
      </c>
      <c r="G402" s="39" t="s">
        <v>5503</v>
      </c>
      <c r="J402" s="39" t="s">
        <v>4451</v>
      </c>
      <c r="L402" s="39">
        <v>1</v>
      </c>
      <c r="X402" s="63">
        <v>2</v>
      </c>
      <c r="AH402" s="39" t="s">
        <v>5528</v>
      </c>
      <c r="AK402" s="39" t="s">
        <v>4451</v>
      </c>
      <c r="AM402" s="39">
        <v>1</v>
      </c>
      <c r="AO402" s="39"/>
      <c r="AP402" s="70"/>
      <c r="AQ402" s="71"/>
      <c r="AR402" s="72"/>
      <c r="AU402" s="70"/>
      <c r="AV402" s="77"/>
      <c r="AW402" s="78"/>
      <c r="AX402" s="75"/>
      <c r="BA402" s="76"/>
      <c r="BF402" s="39" t="s">
        <v>5534</v>
      </c>
    </row>
    <row r="403" spans="1:58" ht="48">
      <c r="A403" s="39" t="s">
        <v>5084</v>
      </c>
      <c r="B403" s="39" t="s">
        <v>5587</v>
      </c>
      <c r="C403" s="39" t="s">
        <v>5088</v>
      </c>
      <c r="D403" s="40">
        <v>123</v>
      </c>
      <c r="E403" s="39">
        <v>1</v>
      </c>
      <c r="F403" s="39" t="s">
        <v>5499</v>
      </c>
      <c r="G403" s="39" t="s">
        <v>5504</v>
      </c>
      <c r="J403" s="39" t="s">
        <v>4451</v>
      </c>
      <c r="L403" s="39">
        <v>2</v>
      </c>
      <c r="X403" s="63" t="s">
        <v>38</v>
      </c>
      <c r="AE403" s="39" t="s">
        <v>5537</v>
      </c>
      <c r="AH403" s="39" t="s">
        <v>5529</v>
      </c>
      <c r="AK403" s="39" t="s">
        <v>4451</v>
      </c>
      <c r="AM403" s="39">
        <v>2</v>
      </c>
      <c r="AO403" s="39"/>
      <c r="AP403" s="70"/>
      <c r="AQ403" s="71"/>
      <c r="AR403" s="72"/>
      <c r="AU403" s="70"/>
      <c r="AV403" s="77"/>
      <c r="AW403" s="78"/>
      <c r="AX403" s="75"/>
      <c r="BA403" s="76"/>
      <c r="BF403" s="39" t="s">
        <v>5533</v>
      </c>
    </row>
    <row r="404" spans="1:58" ht="72">
      <c r="A404" s="39" t="s">
        <v>5084</v>
      </c>
      <c r="B404" s="39" t="s">
        <v>5588</v>
      </c>
      <c r="C404" s="39" t="s">
        <v>5088</v>
      </c>
      <c r="D404" s="40">
        <v>124</v>
      </c>
      <c r="E404" s="39">
        <v>1</v>
      </c>
      <c r="F404" s="39" t="s">
        <v>5499</v>
      </c>
      <c r="G404" s="39" t="s">
        <v>5505</v>
      </c>
      <c r="J404" s="39" t="s">
        <v>4451</v>
      </c>
      <c r="L404" s="39">
        <v>2</v>
      </c>
      <c r="X404" s="63" t="s">
        <v>38</v>
      </c>
      <c r="AE404" s="39" t="s">
        <v>5537</v>
      </c>
      <c r="AH404" s="39" t="s">
        <v>5530</v>
      </c>
      <c r="AK404" s="39" t="s">
        <v>4451</v>
      </c>
      <c r="AM404" s="39">
        <v>2</v>
      </c>
      <c r="AO404" s="39"/>
      <c r="AP404" s="70"/>
      <c r="AQ404" s="71"/>
      <c r="AR404" s="72"/>
      <c r="AU404" s="70"/>
      <c r="AV404" s="77"/>
      <c r="AW404" s="78"/>
      <c r="AX404" s="75"/>
      <c r="BA404" s="76"/>
      <c r="BF404" s="39" t="s">
        <v>5535</v>
      </c>
    </row>
    <row r="405" spans="1:58" ht="60">
      <c r="A405" s="39" t="s">
        <v>5084</v>
      </c>
      <c r="B405" s="39" t="s">
        <v>5589</v>
      </c>
      <c r="C405" s="39" t="s">
        <v>5088</v>
      </c>
      <c r="D405" s="40">
        <v>125</v>
      </c>
      <c r="E405" s="39">
        <v>1</v>
      </c>
      <c r="F405" s="39" t="s">
        <v>5499</v>
      </c>
      <c r="G405" s="39" t="s">
        <v>5506</v>
      </c>
      <c r="J405" s="39" t="s">
        <v>4451</v>
      </c>
      <c r="L405" s="39">
        <v>3</v>
      </c>
      <c r="X405" s="63" t="s">
        <v>38</v>
      </c>
      <c r="AE405" s="39" t="s">
        <v>5538</v>
      </c>
      <c r="AH405" s="39" t="s">
        <v>4119</v>
      </c>
      <c r="AK405" s="39" t="s">
        <v>4451</v>
      </c>
      <c r="AM405" s="39">
        <v>3</v>
      </c>
      <c r="AO405" s="39"/>
      <c r="AP405" s="70"/>
      <c r="AQ405" s="71"/>
      <c r="AR405" s="72"/>
      <c r="AU405" s="70"/>
      <c r="AV405" s="77"/>
      <c r="AW405" s="78"/>
      <c r="AX405" s="75"/>
      <c r="BA405" s="76"/>
      <c r="BF405" s="39" t="s">
        <v>5536</v>
      </c>
    </row>
    <row r="406" spans="1:58" ht="36">
      <c r="A406" s="39" t="s">
        <v>5084</v>
      </c>
      <c r="B406" s="39" t="s">
        <v>5590</v>
      </c>
      <c r="C406" s="39" t="s">
        <v>5088</v>
      </c>
      <c r="D406" s="40">
        <v>126</v>
      </c>
      <c r="E406" s="39">
        <v>1</v>
      </c>
      <c r="F406" s="39" t="s">
        <v>5499</v>
      </c>
      <c r="G406" s="39" t="s">
        <v>5507</v>
      </c>
      <c r="J406" s="39" t="s">
        <v>31</v>
      </c>
      <c r="AC406" s="39" t="s">
        <v>4096</v>
      </c>
      <c r="AH406" s="39" t="s">
        <v>5507</v>
      </c>
      <c r="AK406" s="39" t="s">
        <v>31</v>
      </c>
      <c r="AO406" s="39"/>
      <c r="AP406" s="70"/>
      <c r="AQ406" s="71"/>
      <c r="AR406" s="72"/>
      <c r="AU406" s="70"/>
      <c r="AV406" s="77"/>
      <c r="AW406" s="78"/>
      <c r="AX406" s="75">
        <v>3</v>
      </c>
      <c r="AY406" s="63">
        <v>2</v>
      </c>
      <c r="BA406" s="76"/>
      <c r="BD406" s="39" t="s">
        <v>4096</v>
      </c>
      <c r="BF406" s="39" t="s">
        <v>5539</v>
      </c>
    </row>
    <row r="407" spans="1:58" ht="60">
      <c r="A407" s="39" t="s">
        <v>5084</v>
      </c>
      <c r="B407" s="39" t="s">
        <v>5591</v>
      </c>
      <c r="C407" s="39" t="s">
        <v>5088</v>
      </c>
      <c r="D407" s="40">
        <v>127</v>
      </c>
      <c r="E407" s="39">
        <v>1</v>
      </c>
      <c r="F407" s="39" t="s">
        <v>5499</v>
      </c>
      <c r="G407" s="39" t="s">
        <v>5508</v>
      </c>
      <c r="J407" s="39" t="s">
        <v>31</v>
      </c>
      <c r="AC407" s="39" t="s">
        <v>4096</v>
      </c>
      <c r="AE407" s="39" t="s">
        <v>5540</v>
      </c>
      <c r="AH407" s="39" t="s">
        <v>5508</v>
      </c>
      <c r="AK407" s="39" t="s">
        <v>31</v>
      </c>
      <c r="AO407" s="39"/>
      <c r="AP407" s="70"/>
      <c r="AQ407" s="71"/>
      <c r="AR407" s="72"/>
      <c r="AU407" s="70"/>
      <c r="AV407" s="77"/>
      <c r="AW407" s="78"/>
      <c r="AX407" s="75">
        <v>2</v>
      </c>
      <c r="AY407" s="63">
        <v>0</v>
      </c>
      <c r="BA407" s="76"/>
      <c r="BD407" s="39" t="s">
        <v>4096</v>
      </c>
      <c r="BF407" s="39" t="s">
        <v>5541</v>
      </c>
    </row>
    <row r="408" spans="1:58" ht="36">
      <c r="A408" s="39" t="s">
        <v>5084</v>
      </c>
      <c r="B408" s="39" t="s">
        <v>5592</v>
      </c>
      <c r="C408" s="39" t="s">
        <v>5088</v>
      </c>
      <c r="D408" s="40">
        <v>128</v>
      </c>
      <c r="E408" s="39">
        <v>1</v>
      </c>
      <c r="F408" s="39" t="s">
        <v>5499</v>
      </c>
      <c r="G408" s="39" t="s">
        <v>5509</v>
      </c>
      <c r="J408" s="39" t="s">
        <v>31</v>
      </c>
      <c r="AC408" s="39" t="s">
        <v>4096</v>
      </c>
      <c r="AH408" s="39" t="s">
        <v>5509</v>
      </c>
      <c r="AK408" s="39" t="s">
        <v>31</v>
      </c>
      <c r="AO408" s="39"/>
      <c r="AP408" s="70"/>
      <c r="AQ408" s="71"/>
      <c r="AR408" s="72"/>
      <c r="AU408" s="70"/>
      <c r="AV408" s="77"/>
      <c r="AW408" s="78"/>
      <c r="AX408" s="75">
        <v>2</v>
      </c>
      <c r="AY408" s="63" t="s">
        <v>4872</v>
      </c>
      <c r="BA408" s="76"/>
      <c r="BD408" s="39" t="s">
        <v>4096</v>
      </c>
      <c r="BF408" s="39" t="s">
        <v>5543</v>
      </c>
    </row>
    <row r="409" spans="1:58" ht="24">
      <c r="A409" s="39" t="s">
        <v>5084</v>
      </c>
      <c r="B409" s="39" t="s">
        <v>5593</v>
      </c>
      <c r="C409" s="39" t="s">
        <v>5088</v>
      </c>
      <c r="D409" s="40">
        <v>129</v>
      </c>
      <c r="E409" s="39">
        <v>1</v>
      </c>
      <c r="F409" s="39" t="s">
        <v>5499</v>
      </c>
      <c r="G409" s="39" t="s">
        <v>5509</v>
      </c>
      <c r="J409" s="39" t="s">
        <v>31</v>
      </c>
      <c r="AC409" s="39" t="s">
        <v>4096</v>
      </c>
      <c r="AH409" s="39" t="s">
        <v>5509</v>
      </c>
      <c r="AK409" s="39" t="s">
        <v>31</v>
      </c>
      <c r="AO409" s="39"/>
      <c r="AP409" s="70"/>
      <c r="AQ409" s="71"/>
      <c r="AR409" s="72"/>
      <c r="AU409" s="70"/>
      <c r="AV409" s="77"/>
      <c r="AW409" s="78"/>
      <c r="AX409" s="75">
        <v>3</v>
      </c>
      <c r="AY409" s="63" t="s">
        <v>4909</v>
      </c>
      <c r="BA409" s="76"/>
      <c r="BD409" s="39" t="s">
        <v>4096</v>
      </c>
      <c r="BF409" s="39" t="s">
        <v>5544</v>
      </c>
    </row>
    <row r="410" spans="1:58" ht="24">
      <c r="A410" s="39" t="s">
        <v>5084</v>
      </c>
      <c r="B410" s="39" t="s">
        <v>5594</v>
      </c>
      <c r="C410" s="39" t="s">
        <v>5088</v>
      </c>
      <c r="D410" s="40">
        <v>130</v>
      </c>
      <c r="E410" s="39">
        <v>1</v>
      </c>
      <c r="F410" s="39" t="s">
        <v>5499</v>
      </c>
      <c r="G410" s="39" t="s">
        <v>5510</v>
      </c>
      <c r="J410" s="39" t="s">
        <v>31</v>
      </c>
      <c r="AC410" s="39" t="s">
        <v>4096</v>
      </c>
      <c r="AH410" s="39" t="s">
        <v>5510</v>
      </c>
      <c r="AK410" s="39" t="s">
        <v>31</v>
      </c>
      <c r="AO410" s="39"/>
      <c r="AP410" s="70"/>
      <c r="AQ410" s="71"/>
      <c r="AR410" s="72"/>
      <c r="AU410" s="70"/>
      <c r="AV410" s="77"/>
      <c r="AW410" s="78"/>
      <c r="AX410" s="75">
        <v>1</v>
      </c>
      <c r="AY410" s="63" t="s">
        <v>4872</v>
      </c>
      <c r="BA410" s="76"/>
      <c r="BD410" s="39" t="s">
        <v>4096</v>
      </c>
      <c r="BF410" s="39" t="s">
        <v>5545</v>
      </c>
    </row>
    <row r="411" spans="1:58" ht="24">
      <c r="A411" s="39" t="s">
        <v>5084</v>
      </c>
      <c r="B411" s="39" t="s">
        <v>5595</v>
      </c>
      <c r="C411" s="39" t="s">
        <v>5088</v>
      </c>
      <c r="D411" s="40">
        <v>131</v>
      </c>
      <c r="E411" s="39">
        <v>1</v>
      </c>
      <c r="F411" s="39" t="s">
        <v>5499</v>
      </c>
      <c r="G411" s="39" t="s">
        <v>5510</v>
      </c>
      <c r="J411" s="39" t="s">
        <v>31</v>
      </c>
      <c r="AC411" s="39" t="s">
        <v>4096</v>
      </c>
      <c r="AH411" s="39" t="s">
        <v>5510</v>
      </c>
      <c r="AK411" s="39" t="s">
        <v>31</v>
      </c>
      <c r="AO411" s="39"/>
      <c r="AP411" s="70"/>
      <c r="AQ411" s="71"/>
      <c r="AR411" s="72"/>
      <c r="AU411" s="70"/>
      <c r="AV411" s="77"/>
      <c r="AW411" s="78"/>
      <c r="AX411" s="75">
        <v>2</v>
      </c>
      <c r="AY411" s="63" t="s">
        <v>4909</v>
      </c>
      <c r="BA411" s="76"/>
      <c r="BD411" s="39" t="s">
        <v>4096</v>
      </c>
      <c r="BF411" s="39" t="s">
        <v>5546</v>
      </c>
    </row>
    <row r="412" spans="1:58" ht="36">
      <c r="A412" s="39" t="s">
        <v>5084</v>
      </c>
      <c r="B412" s="39" t="s">
        <v>5596</v>
      </c>
      <c r="C412" s="39" t="s">
        <v>5088</v>
      </c>
      <c r="D412" s="40">
        <v>132</v>
      </c>
      <c r="E412" s="39">
        <v>1</v>
      </c>
      <c r="F412" s="39" t="s">
        <v>5499</v>
      </c>
      <c r="G412" s="39" t="s">
        <v>5511</v>
      </c>
      <c r="J412" s="39" t="s">
        <v>31</v>
      </c>
      <c r="AC412" s="39" t="s">
        <v>5542</v>
      </c>
      <c r="AH412" s="39" t="s">
        <v>5511</v>
      </c>
      <c r="AI412" s="39" t="s">
        <v>5547</v>
      </c>
      <c r="AK412" s="39" t="s">
        <v>31</v>
      </c>
      <c r="AO412" s="39"/>
      <c r="AP412" s="70"/>
      <c r="AQ412" s="71"/>
      <c r="AR412" s="72"/>
      <c r="AU412" s="70"/>
      <c r="AV412" s="77"/>
      <c r="AW412" s="78"/>
      <c r="AX412" s="75">
        <v>1</v>
      </c>
      <c r="AY412" s="63">
        <v>0</v>
      </c>
      <c r="BA412" s="76"/>
      <c r="BD412" s="39" t="s">
        <v>5542</v>
      </c>
      <c r="BF412" s="39" t="s">
        <v>5553</v>
      </c>
    </row>
    <row r="413" spans="1:58" ht="24">
      <c r="A413" s="39" t="s">
        <v>5084</v>
      </c>
      <c r="B413" s="39" t="s">
        <v>5597</v>
      </c>
      <c r="C413" s="39" t="s">
        <v>5088</v>
      </c>
      <c r="D413" s="40">
        <v>133</v>
      </c>
      <c r="E413" s="39">
        <v>1</v>
      </c>
      <c r="F413" s="39" t="s">
        <v>5499</v>
      </c>
      <c r="G413" s="39" t="s">
        <v>5511</v>
      </c>
      <c r="J413" s="39" t="s">
        <v>31</v>
      </c>
      <c r="AC413" s="39" t="s">
        <v>5542</v>
      </c>
      <c r="AH413" s="39" t="s">
        <v>5511</v>
      </c>
      <c r="AI413" s="39" t="s">
        <v>5548</v>
      </c>
      <c r="AK413" s="39" t="s">
        <v>31</v>
      </c>
      <c r="AO413" s="39"/>
      <c r="AP413" s="70"/>
      <c r="AQ413" s="71"/>
      <c r="AR413" s="72"/>
      <c r="AU413" s="70"/>
      <c r="AV413" s="77"/>
      <c r="AW413" s="78"/>
      <c r="AX413" s="75">
        <v>2</v>
      </c>
      <c r="AY413" s="63" t="s">
        <v>4872</v>
      </c>
      <c r="BA413" s="76">
        <v>1</v>
      </c>
      <c r="BD413" s="39" t="s">
        <v>5542</v>
      </c>
      <c r="BF413" s="39" t="s">
        <v>5554</v>
      </c>
    </row>
    <row r="414" spans="1:58" ht="24">
      <c r="A414" s="39" t="s">
        <v>5084</v>
      </c>
      <c r="B414" s="39" t="s">
        <v>5598</v>
      </c>
      <c r="C414" s="39" t="s">
        <v>5088</v>
      </c>
      <c r="D414" s="40">
        <v>134</v>
      </c>
      <c r="E414" s="39">
        <v>1</v>
      </c>
      <c r="F414" s="39" t="s">
        <v>5499</v>
      </c>
      <c r="G414" s="39" t="s">
        <v>5511</v>
      </c>
      <c r="J414" s="39" t="s">
        <v>31</v>
      </c>
      <c r="AC414" s="39" t="s">
        <v>5542</v>
      </c>
      <c r="AH414" s="39" t="s">
        <v>5511</v>
      </c>
      <c r="AI414" s="39" t="s">
        <v>5549</v>
      </c>
      <c r="AK414" s="39" t="s">
        <v>31</v>
      </c>
      <c r="AO414" s="39"/>
      <c r="AP414" s="70"/>
      <c r="AQ414" s="71"/>
      <c r="AR414" s="72"/>
      <c r="AU414" s="70"/>
      <c r="AV414" s="77"/>
      <c r="AW414" s="78"/>
      <c r="AX414" s="75">
        <v>4</v>
      </c>
      <c r="AY414" s="63" t="s">
        <v>4872</v>
      </c>
      <c r="BA414" s="76">
        <v>1</v>
      </c>
      <c r="BD414" s="39" t="s">
        <v>5542</v>
      </c>
      <c r="BF414" s="39" t="s">
        <v>5555</v>
      </c>
    </row>
    <row r="415" spans="1:58" ht="24">
      <c r="A415" s="39" t="s">
        <v>5084</v>
      </c>
      <c r="B415" s="39" t="s">
        <v>5599</v>
      </c>
      <c r="C415" s="39" t="s">
        <v>5088</v>
      </c>
      <c r="D415" s="40">
        <v>135</v>
      </c>
      <c r="E415" s="39">
        <v>1</v>
      </c>
      <c r="F415" s="39" t="s">
        <v>5499</v>
      </c>
      <c r="G415" s="39" t="s">
        <v>5511</v>
      </c>
      <c r="J415" s="39" t="s">
        <v>31</v>
      </c>
      <c r="AC415" s="39" t="s">
        <v>5542</v>
      </c>
      <c r="AH415" s="39" t="s">
        <v>5511</v>
      </c>
      <c r="AI415" s="39" t="s">
        <v>5550</v>
      </c>
      <c r="AK415" s="39" t="s">
        <v>31</v>
      </c>
      <c r="AO415" s="39"/>
      <c r="AP415" s="70"/>
      <c r="AQ415" s="71"/>
      <c r="AR415" s="72"/>
      <c r="AU415" s="70"/>
      <c r="AV415" s="77"/>
      <c r="AW415" s="78"/>
      <c r="AX415" s="75">
        <v>3</v>
      </c>
      <c r="AY415" s="63" t="s">
        <v>4909</v>
      </c>
      <c r="BA415" s="76">
        <v>1</v>
      </c>
      <c r="BD415" s="39" t="s">
        <v>5542</v>
      </c>
      <c r="BF415" s="39" t="s">
        <v>5556</v>
      </c>
    </row>
    <row r="416" spans="1:58" ht="24">
      <c r="A416" s="39" t="s">
        <v>5084</v>
      </c>
      <c r="B416" s="39" t="s">
        <v>5600</v>
      </c>
      <c r="C416" s="39" t="s">
        <v>5088</v>
      </c>
      <c r="D416" s="40">
        <v>136</v>
      </c>
      <c r="E416" s="39">
        <v>1</v>
      </c>
      <c r="F416" s="39" t="s">
        <v>5499</v>
      </c>
      <c r="G416" s="39" t="s">
        <v>5511</v>
      </c>
      <c r="J416" s="39" t="s">
        <v>31</v>
      </c>
      <c r="AC416" s="39" t="s">
        <v>5542</v>
      </c>
      <c r="AH416" s="39" t="s">
        <v>5511</v>
      </c>
      <c r="AI416" s="39" t="s">
        <v>5551</v>
      </c>
      <c r="AK416" s="39" t="s">
        <v>31</v>
      </c>
      <c r="AO416" s="39"/>
      <c r="AP416" s="70"/>
      <c r="AQ416" s="71"/>
      <c r="AR416" s="72"/>
      <c r="AU416" s="70"/>
      <c r="AV416" s="77"/>
      <c r="AW416" s="78"/>
      <c r="AX416" s="75">
        <v>3</v>
      </c>
      <c r="AY416" s="63" t="s">
        <v>4909</v>
      </c>
      <c r="BA416" s="76">
        <v>1</v>
      </c>
      <c r="BD416" s="39" t="s">
        <v>5542</v>
      </c>
      <c r="BF416" s="39" t="s">
        <v>5557</v>
      </c>
    </row>
    <row r="417" spans="1:58" ht="24">
      <c r="A417" s="39" t="s">
        <v>5084</v>
      </c>
      <c r="B417" s="39" t="s">
        <v>5601</v>
      </c>
      <c r="C417" s="39" t="s">
        <v>5088</v>
      </c>
      <c r="D417" s="40">
        <v>137</v>
      </c>
      <c r="E417" s="39">
        <v>1</v>
      </c>
      <c r="F417" s="39" t="s">
        <v>5499</v>
      </c>
      <c r="G417" s="39" t="s">
        <v>5511</v>
      </c>
      <c r="J417" s="39" t="s">
        <v>31</v>
      </c>
      <c r="AC417" s="39" t="s">
        <v>5542</v>
      </c>
      <c r="AH417" s="39" t="s">
        <v>5511</v>
      </c>
      <c r="AI417" s="39" t="s">
        <v>5552</v>
      </c>
      <c r="AK417" s="39" t="s">
        <v>31</v>
      </c>
      <c r="AO417" s="39"/>
      <c r="AP417" s="70"/>
      <c r="AQ417" s="71"/>
      <c r="AR417" s="72"/>
      <c r="AU417" s="70"/>
      <c r="AV417" s="77"/>
      <c r="AW417" s="78"/>
      <c r="AX417" s="75">
        <v>3</v>
      </c>
      <c r="AY417" s="63" t="s">
        <v>4909</v>
      </c>
      <c r="BA417" s="76">
        <v>1</v>
      </c>
      <c r="BD417" s="39" t="s">
        <v>5542</v>
      </c>
      <c r="BF417" s="39" t="s">
        <v>5558</v>
      </c>
    </row>
    <row r="418" spans="1:58" ht="48">
      <c r="A418" s="39" t="s">
        <v>5084</v>
      </c>
      <c r="B418" s="39" t="s">
        <v>5602</v>
      </c>
      <c r="C418" s="39" t="s">
        <v>5088</v>
      </c>
      <c r="D418" s="40">
        <v>138</v>
      </c>
      <c r="E418" s="39">
        <v>1</v>
      </c>
      <c r="F418" s="39" t="s">
        <v>5499</v>
      </c>
      <c r="G418" s="39" t="s">
        <v>5512</v>
      </c>
      <c r="H418" s="39" t="s">
        <v>5513</v>
      </c>
      <c r="I418" s="39" t="s">
        <v>4077</v>
      </c>
      <c r="J418" s="39" t="s">
        <v>4111</v>
      </c>
      <c r="S418" s="43">
        <v>1</v>
      </c>
      <c r="T418" s="60">
        <v>1</v>
      </c>
      <c r="AC418" s="39" t="s">
        <v>4175</v>
      </c>
      <c r="AE418" s="39" t="s">
        <v>5559</v>
      </c>
      <c r="AO418" s="39"/>
      <c r="AP418" s="70"/>
      <c r="AQ418" s="71"/>
      <c r="AR418" s="72"/>
      <c r="AU418" s="70"/>
      <c r="AV418" s="77"/>
      <c r="AW418" s="78"/>
      <c r="AX418" s="75"/>
      <c r="BA418" s="76"/>
    </row>
    <row r="419" spans="1:58" ht="60">
      <c r="A419" s="39" t="s">
        <v>5084</v>
      </c>
      <c r="B419" s="39" t="s">
        <v>5603</v>
      </c>
      <c r="C419" s="39" t="s">
        <v>5088</v>
      </c>
      <c r="D419" s="40">
        <v>139</v>
      </c>
      <c r="E419" s="39">
        <v>1</v>
      </c>
      <c r="F419" s="39" t="s">
        <v>5499</v>
      </c>
      <c r="G419" s="39" t="s">
        <v>5514</v>
      </c>
      <c r="H419" s="39" t="s">
        <v>5515</v>
      </c>
      <c r="I419" s="39" t="s">
        <v>4077</v>
      </c>
      <c r="J419" s="39" t="s">
        <v>4111</v>
      </c>
      <c r="S419" s="43">
        <v>1</v>
      </c>
      <c r="T419" s="60">
        <v>1</v>
      </c>
      <c r="AC419" s="39" t="s">
        <v>4175</v>
      </c>
      <c r="AE419" s="39" t="s">
        <v>5560</v>
      </c>
      <c r="AO419" s="39"/>
      <c r="AP419" s="70"/>
      <c r="AQ419" s="71"/>
      <c r="AR419" s="72"/>
      <c r="AU419" s="70"/>
      <c r="AV419" s="77"/>
      <c r="AW419" s="78"/>
      <c r="AX419" s="75"/>
      <c r="BA419" s="76"/>
    </row>
    <row r="420" spans="1:58" ht="24">
      <c r="A420" s="39" t="s">
        <v>5084</v>
      </c>
      <c r="B420" s="39" t="s">
        <v>5604</v>
      </c>
      <c r="C420" s="39" t="s">
        <v>5088</v>
      </c>
      <c r="D420" s="40">
        <v>140</v>
      </c>
      <c r="E420" s="39">
        <v>1</v>
      </c>
      <c r="F420" s="39" t="s">
        <v>5499</v>
      </c>
      <c r="G420" s="39" t="s">
        <v>4119</v>
      </c>
      <c r="H420" s="39" t="s">
        <v>5516</v>
      </c>
      <c r="J420" s="39" t="s">
        <v>4111</v>
      </c>
      <c r="AA420" s="39" t="s">
        <v>4059</v>
      </c>
      <c r="AB420" s="39" t="s">
        <v>4112</v>
      </c>
      <c r="AC420" s="39" t="s">
        <v>4121</v>
      </c>
      <c r="AE420" s="39" t="s">
        <v>5561</v>
      </c>
      <c r="AO420" s="39"/>
      <c r="AP420" s="70"/>
      <c r="AQ420" s="71"/>
      <c r="AR420" s="72"/>
      <c r="AU420" s="70"/>
      <c r="AV420" s="77"/>
      <c r="AW420" s="78"/>
      <c r="AX420" s="75"/>
      <c r="BA420" s="76"/>
    </row>
    <row r="421" spans="1:58" ht="60">
      <c r="A421" s="39" t="s">
        <v>5084</v>
      </c>
      <c r="B421" s="39" t="s">
        <v>5605</v>
      </c>
      <c r="C421" s="39" t="s">
        <v>5088</v>
      </c>
      <c r="D421" s="40">
        <v>141</v>
      </c>
      <c r="E421" s="39">
        <v>1</v>
      </c>
      <c r="F421" s="39" t="s">
        <v>5499</v>
      </c>
      <c r="G421" s="39" t="s">
        <v>5517</v>
      </c>
      <c r="J421" s="39" t="s">
        <v>29</v>
      </c>
      <c r="Q421" s="62">
        <v>2</v>
      </c>
      <c r="R421" s="63">
        <v>3</v>
      </c>
      <c r="S421" s="43">
        <v>3</v>
      </c>
      <c r="U421" s="64">
        <v>1</v>
      </c>
      <c r="V421" s="65">
        <v>1</v>
      </c>
      <c r="AC421" s="39" t="s">
        <v>5562</v>
      </c>
      <c r="AD421" s="40" t="s">
        <v>4673</v>
      </c>
      <c r="AE421" s="39" t="s">
        <v>5563</v>
      </c>
      <c r="AO421" s="39"/>
      <c r="AP421" s="70"/>
      <c r="AQ421" s="71"/>
      <c r="AR421" s="72"/>
      <c r="AU421" s="70"/>
      <c r="AV421" s="77"/>
      <c r="AW421" s="78"/>
      <c r="AX421" s="75"/>
      <c r="BA421" s="76"/>
    </row>
    <row r="422" spans="1:58" ht="72">
      <c r="A422" s="39" t="s">
        <v>5084</v>
      </c>
      <c r="B422" s="39" t="s">
        <v>5606</v>
      </c>
      <c r="C422" s="39" t="s">
        <v>5088</v>
      </c>
      <c r="D422" s="40">
        <v>142</v>
      </c>
      <c r="E422" s="39">
        <v>1</v>
      </c>
      <c r="F422" s="39" t="s">
        <v>5499</v>
      </c>
      <c r="G422" s="39" t="s">
        <v>5518</v>
      </c>
      <c r="J422" s="39" t="s">
        <v>28</v>
      </c>
      <c r="AC422" s="39" t="s">
        <v>5412</v>
      </c>
      <c r="AE422" s="39" t="s">
        <v>5564</v>
      </c>
      <c r="AO422" s="39"/>
      <c r="AP422" s="70"/>
      <c r="AQ422" s="71"/>
      <c r="AR422" s="72"/>
      <c r="AU422" s="70"/>
      <c r="AV422" s="77"/>
      <c r="AW422" s="78"/>
      <c r="AX422" s="75"/>
      <c r="BA422" s="76"/>
    </row>
    <row r="423" spans="1:58" ht="36">
      <c r="A423" s="39" t="s">
        <v>5084</v>
      </c>
      <c r="B423" s="39" t="s">
        <v>5607</v>
      </c>
      <c r="C423" s="39" t="s">
        <v>5088</v>
      </c>
      <c r="D423" s="40">
        <v>143</v>
      </c>
      <c r="E423" s="39">
        <v>2</v>
      </c>
      <c r="F423" s="39" t="s">
        <v>5499</v>
      </c>
      <c r="G423" s="39" t="s">
        <v>5519</v>
      </c>
      <c r="J423" s="39" t="s">
        <v>28</v>
      </c>
      <c r="AC423" s="39" t="s">
        <v>4154</v>
      </c>
      <c r="AE423" s="39" t="s">
        <v>5565</v>
      </c>
      <c r="AO423" s="39"/>
      <c r="AP423" s="70"/>
      <c r="AQ423" s="71"/>
      <c r="AR423" s="72"/>
      <c r="AU423" s="70"/>
      <c r="AV423" s="77"/>
      <c r="AW423" s="78"/>
      <c r="AX423" s="75"/>
      <c r="BA423" s="76"/>
    </row>
    <row r="424" spans="1:58" ht="48">
      <c r="A424" s="39" t="s">
        <v>5084</v>
      </c>
      <c r="B424" s="39" t="s">
        <v>5608</v>
      </c>
      <c r="C424" s="39" t="s">
        <v>5088</v>
      </c>
      <c r="D424" s="40">
        <v>144</v>
      </c>
      <c r="E424" s="39">
        <v>3</v>
      </c>
      <c r="F424" s="39" t="s">
        <v>5499</v>
      </c>
      <c r="G424" s="39" t="s">
        <v>5520</v>
      </c>
      <c r="J424" s="39" t="s">
        <v>28</v>
      </c>
      <c r="AC424" s="39" t="s">
        <v>5412</v>
      </c>
      <c r="AE424" s="39" t="s">
        <v>5566</v>
      </c>
      <c r="AO424" s="39"/>
      <c r="AP424" s="70"/>
      <c r="AQ424" s="71"/>
      <c r="AR424" s="72"/>
      <c r="AU424" s="70"/>
      <c r="AV424" s="77"/>
      <c r="AW424" s="78"/>
      <c r="AX424" s="75"/>
      <c r="BA424" s="76"/>
    </row>
    <row r="425" spans="1:58" ht="24">
      <c r="A425" s="39" t="s">
        <v>5084</v>
      </c>
      <c r="B425" s="39" t="s">
        <v>5609</v>
      </c>
      <c r="C425" s="39" t="s">
        <v>5088</v>
      </c>
      <c r="D425" s="40">
        <v>145</v>
      </c>
      <c r="E425" s="39">
        <v>2</v>
      </c>
      <c r="F425" s="39" t="s">
        <v>5499</v>
      </c>
      <c r="G425" s="39" t="s">
        <v>5521</v>
      </c>
      <c r="J425" s="39" t="s">
        <v>28</v>
      </c>
      <c r="AC425" s="39" t="s">
        <v>4311</v>
      </c>
      <c r="AE425" s="39" t="s">
        <v>5567</v>
      </c>
      <c r="AO425" s="39"/>
      <c r="AP425" s="70"/>
      <c r="AQ425" s="71"/>
      <c r="AR425" s="72"/>
      <c r="AU425" s="70"/>
      <c r="AV425" s="77"/>
      <c r="AW425" s="78"/>
      <c r="AX425" s="75"/>
      <c r="BA425" s="76"/>
    </row>
    <row r="426" spans="1:58" ht="48">
      <c r="A426" s="39" t="s">
        <v>5084</v>
      </c>
      <c r="B426" s="39" t="s">
        <v>5610</v>
      </c>
      <c r="C426" s="39" t="s">
        <v>5088</v>
      </c>
      <c r="D426" s="40">
        <v>146</v>
      </c>
      <c r="E426" s="39">
        <v>2</v>
      </c>
      <c r="F426" s="39" t="s">
        <v>5499</v>
      </c>
      <c r="G426" s="39" t="s">
        <v>5522</v>
      </c>
      <c r="J426" s="39" t="s">
        <v>28</v>
      </c>
      <c r="AE426" s="39" t="s">
        <v>5568</v>
      </c>
      <c r="AO426" s="39"/>
      <c r="AP426" s="70"/>
      <c r="AQ426" s="71"/>
      <c r="AR426" s="72"/>
      <c r="AU426" s="70"/>
      <c r="AV426" s="77"/>
      <c r="AW426" s="78"/>
      <c r="AX426" s="75"/>
      <c r="BA426" s="76"/>
    </row>
    <row r="427" spans="1:58" ht="24">
      <c r="A427" s="39" t="s">
        <v>5084</v>
      </c>
      <c r="B427" s="39" t="s">
        <v>5856</v>
      </c>
      <c r="C427" s="39" t="s">
        <v>5088</v>
      </c>
      <c r="D427" s="40">
        <v>147</v>
      </c>
      <c r="E427" s="39">
        <v>2</v>
      </c>
      <c r="G427" s="39" t="s">
        <v>5762</v>
      </c>
      <c r="J427" s="39" t="s">
        <v>4111</v>
      </c>
      <c r="K427" s="39" t="s">
        <v>4052</v>
      </c>
      <c r="L427" s="39">
        <v>0</v>
      </c>
      <c r="N427" s="40">
        <v>2</v>
      </c>
      <c r="S427" s="43">
        <v>1</v>
      </c>
      <c r="T427" s="60" t="s">
        <v>38</v>
      </c>
      <c r="AA427" s="39" t="s">
        <v>4060</v>
      </c>
      <c r="AB427" s="39" t="s">
        <v>4231</v>
      </c>
      <c r="AC427" s="39" t="s">
        <v>4118</v>
      </c>
      <c r="AE427" s="39" t="s">
        <v>5771</v>
      </c>
      <c r="AO427" s="39"/>
      <c r="AP427" s="70"/>
      <c r="AQ427" s="71"/>
      <c r="AR427" s="72"/>
      <c r="AU427" s="70"/>
      <c r="AV427" s="77"/>
      <c r="AW427" s="78"/>
      <c r="AX427" s="75"/>
      <c r="BA427" s="76"/>
    </row>
    <row r="428" spans="1:58" ht="24">
      <c r="A428" s="39" t="s">
        <v>5084</v>
      </c>
      <c r="B428" s="39" t="s">
        <v>5857</v>
      </c>
      <c r="C428" s="39" t="s">
        <v>5088</v>
      </c>
      <c r="D428" s="40">
        <v>148</v>
      </c>
      <c r="E428" s="39">
        <v>2</v>
      </c>
      <c r="G428" s="39" t="s">
        <v>5763</v>
      </c>
      <c r="J428" s="39" t="s">
        <v>27</v>
      </c>
      <c r="K428" s="39" t="s">
        <v>4052</v>
      </c>
      <c r="L428" s="39">
        <v>3</v>
      </c>
      <c r="N428" s="40">
        <v>0</v>
      </c>
      <c r="AA428" s="39" t="s">
        <v>4893</v>
      </c>
      <c r="AC428" s="39" t="s">
        <v>5772</v>
      </c>
      <c r="AE428" s="39" t="s">
        <v>5774</v>
      </c>
      <c r="AF428" s="39" t="s">
        <v>5775</v>
      </c>
      <c r="AO428" s="39"/>
      <c r="AP428" s="70"/>
      <c r="AQ428" s="71"/>
      <c r="AR428" s="72"/>
      <c r="AU428" s="70"/>
      <c r="AV428" s="77"/>
      <c r="AW428" s="78"/>
      <c r="AX428" s="75"/>
      <c r="BA428" s="76"/>
    </row>
    <row r="429" spans="1:58" ht="24">
      <c r="A429" s="39" t="s">
        <v>5084</v>
      </c>
      <c r="B429" s="39" t="s">
        <v>5858</v>
      </c>
      <c r="C429" s="39" t="s">
        <v>5088</v>
      </c>
      <c r="D429" s="40">
        <v>149</v>
      </c>
      <c r="E429" s="39">
        <v>2</v>
      </c>
      <c r="G429" s="39" t="s">
        <v>5764</v>
      </c>
      <c r="J429" s="39" t="s">
        <v>4111</v>
      </c>
      <c r="K429" s="39" t="s">
        <v>4053</v>
      </c>
      <c r="L429" s="39">
        <v>0</v>
      </c>
      <c r="N429" s="40">
        <v>2</v>
      </c>
      <c r="S429" s="43">
        <v>1</v>
      </c>
      <c r="T429" s="60">
        <v>2</v>
      </c>
      <c r="AA429" s="39" t="s">
        <v>4059</v>
      </c>
      <c r="AB429" s="39" t="s">
        <v>25</v>
      </c>
      <c r="AC429" s="39" t="s">
        <v>4175</v>
      </c>
      <c r="AE429" s="39" t="s">
        <v>5776</v>
      </c>
      <c r="AO429" s="39"/>
      <c r="AP429" s="70"/>
      <c r="AQ429" s="71"/>
      <c r="AR429" s="72"/>
      <c r="AU429" s="70"/>
      <c r="AV429" s="77"/>
      <c r="AW429" s="78"/>
      <c r="AX429" s="75"/>
      <c r="BA429" s="76"/>
    </row>
    <row r="430" spans="1:58" ht="36">
      <c r="A430" s="39" t="s">
        <v>5084</v>
      </c>
      <c r="B430" s="39" t="s">
        <v>5859</v>
      </c>
      <c r="C430" s="39" t="s">
        <v>5088</v>
      </c>
      <c r="D430" s="40">
        <v>150</v>
      </c>
      <c r="E430" s="39">
        <v>2</v>
      </c>
      <c r="G430" s="39" t="s">
        <v>4189</v>
      </c>
      <c r="J430" s="39" t="s">
        <v>4159</v>
      </c>
      <c r="K430" s="39" t="s">
        <v>4053</v>
      </c>
      <c r="L430" s="39">
        <v>2</v>
      </c>
      <c r="AA430" s="39" t="s">
        <v>4883</v>
      </c>
      <c r="AC430" s="39" t="s">
        <v>5773</v>
      </c>
      <c r="AE430" s="39" t="s">
        <v>5777</v>
      </c>
      <c r="AF430" s="39" t="s">
        <v>5778</v>
      </c>
      <c r="AO430" s="39"/>
      <c r="AP430" s="70"/>
      <c r="AQ430" s="71"/>
      <c r="AR430" s="72"/>
      <c r="AU430" s="70"/>
      <c r="AV430" s="77"/>
      <c r="AW430" s="78"/>
      <c r="AX430" s="75"/>
      <c r="BA430" s="76"/>
    </row>
    <row r="431" spans="1:58" ht="24">
      <c r="A431" s="39" t="s">
        <v>5084</v>
      </c>
      <c r="B431" s="39" t="s">
        <v>5860</v>
      </c>
      <c r="C431" s="39" t="s">
        <v>5088</v>
      </c>
      <c r="D431" s="40">
        <v>151</v>
      </c>
      <c r="E431" s="39">
        <v>2</v>
      </c>
      <c r="G431" s="39" t="s">
        <v>5765</v>
      </c>
      <c r="J431" s="39" t="s">
        <v>27</v>
      </c>
      <c r="K431" s="39" t="s">
        <v>4055</v>
      </c>
      <c r="L431" s="39">
        <v>0</v>
      </c>
      <c r="N431" s="40">
        <v>0</v>
      </c>
      <c r="AA431" s="39" t="s">
        <v>4894</v>
      </c>
      <c r="AC431" s="39" t="s">
        <v>5779</v>
      </c>
      <c r="AD431" s="39" t="s">
        <v>5780</v>
      </c>
      <c r="AE431" s="39" t="s">
        <v>5781</v>
      </c>
      <c r="AF431" s="39" t="s">
        <v>5782</v>
      </c>
      <c r="AO431" s="39"/>
      <c r="AP431" s="70"/>
      <c r="AQ431" s="71"/>
      <c r="AR431" s="72"/>
      <c r="AU431" s="70"/>
      <c r="AV431" s="77"/>
      <c r="AW431" s="78"/>
      <c r="AX431" s="75"/>
      <c r="BA431" s="76"/>
    </row>
    <row r="432" spans="1:58" ht="24">
      <c r="A432" s="39" t="s">
        <v>5084</v>
      </c>
      <c r="B432" s="39" t="s">
        <v>5861</v>
      </c>
      <c r="C432" s="39" t="s">
        <v>5088</v>
      </c>
      <c r="D432" s="40">
        <v>152</v>
      </c>
      <c r="E432" s="39">
        <v>2</v>
      </c>
      <c r="G432" s="39" t="s">
        <v>4193</v>
      </c>
      <c r="J432" s="39" t="s">
        <v>4111</v>
      </c>
      <c r="K432" s="39" t="s">
        <v>4055</v>
      </c>
      <c r="L432" s="39">
        <v>2</v>
      </c>
      <c r="N432" s="40">
        <v>1</v>
      </c>
      <c r="AA432" s="39" t="s">
        <v>5783</v>
      </c>
      <c r="AB432" s="39" t="s">
        <v>4112</v>
      </c>
      <c r="AC432" s="39" t="s">
        <v>4194</v>
      </c>
      <c r="AD432" s="40" t="s">
        <v>4847</v>
      </c>
      <c r="AE432" s="39" t="s">
        <v>5784</v>
      </c>
      <c r="AO432" s="39"/>
      <c r="AP432" s="70"/>
      <c r="AQ432" s="71"/>
      <c r="AR432" s="72"/>
      <c r="AU432" s="70"/>
      <c r="AV432" s="77"/>
      <c r="AW432" s="78"/>
      <c r="AX432" s="75"/>
      <c r="BA432" s="76"/>
    </row>
    <row r="433" spans="1:58" ht="36">
      <c r="A433" s="39" t="s">
        <v>5084</v>
      </c>
      <c r="B433" s="39" t="s">
        <v>5862</v>
      </c>
      <c r="C433" s="39" t="s">
        <v>5088</v>
      </c>
      <c r="D433" s="40">
        <v>153</v>
      </c>
      <c r="E433" s="39">
        <v>2</v>
      </c>
      <c r="G433" s="39" t="s">
        <v>5766</v>
      </c>
      <c r="J433" s="39" t="s">
        <v>4111</v>
      </c>
      <c r="K433" s="39" t="s">
        <v>4054</v>
      </c>
      <c r="L433" s="39">
        <v>0</v>
      </c>
      <c r="N433" s="40">
        <v>3</v>
      </c>
      <c r="AA433" s="39" t="s">
        <v>5783</v>
      </c>
      <c r="AC433" s="39" t="s">
        <v>4130</v>
      </c>
      <c r="AD433" s="40" t="s">
        <v>5785</v>
      </c>
      <c r="AE433" s="39" t="s">
        <v>5786</v>
      </c>
      <c r="AO433" s="39"/>
      <c r="AP433" s="70"/>
      <c r="AQ433" s="71"/>
      <c r="AR433" s="72"/>
      <c r="AU433" s="70"/>
      <c r="AV433" s="77"/>
      <c r="AW433" s="78"/>
      <c r="AX433" s="75"/>
      <c r="BA433" s="76"/>
    </row>
    <row r="434" spans="1:58" ht="48">
      <c r="A434" s="39" t="s">
        <v>5084</v>
      </c>
      <c r="B434" s="39" t="s">
        <v>5863</v>
      </c>
      <c r="C434" s="39" t="s">
        <v>5088</v>
      </c>
      <c r="D434" s="40">
        <v>154</v>
      </c>
      <c r="E434" s="39">
        <v>2</v>
      </c>
      <c r="G434" s="39" t="s">
        <v>4218</v>
      </c>
      <c r="J434" s="39" t="s">
        <v>4111</v>
      </c>
      <c r="K434" s="39" t="s">
        <v>4054</v>
      </c>
      <c r="L434" s="39">
        <v>3</v>
      </c>
      <c r="N434" s="40">
        <v>3</v>
      </c>
      <c r="AA434" s="39" t="s">
        <v>5787</v>
      </c>
      <c r="AB434" s="39" t="s">
        <v>4219</v>
      </c>
      <c r="AC434" s="39" t="s">
        <v>4130</v>
      </c>
      <c r="AD434" s="40" t="s">
        <v>5639</v>
      </c>
      <c r="AE434" s="39" t="s">
        <v>5788</v>
      </c>
      <c r="AO434" s="39"/>
      <c r="AP434" s="70"/>
      <c r="AQ434" s="71"/>
      <c r="AR434" s="72"/>
      <c r="AU434" s="70"/>
      <c r="AV434" s="77"/>
      <c r="AW434" s="78"/>
      <c r="AX434" s="75"/>
      <c r="BA434" s="76"/>
    </row>
    <row r="435" spans="1:58" ht="48">
      <c r="A435" s="39" t="s">
        <v>5084</v>
      </c>
      <c r="B435" s="39" t="s">
        <v>5864</v>
      </c>
      <c r="C435" s="39" t="s">
        <v>5088</v>
      </c>
      <c r="D435" s="40">
        <v>155</v>
      </c>
      <c r="E435" s="39">
        <v>2</v>
      </c>
      <c r="G435" s="39" t="s">
        <v>5767</v>
      </c>
      <c r="J435" s="39" t="s">
        <v>4111</v>
      </c>
      <c r="K435" s="39" t="s">
        <v>4056</v>
      </c>
      <c r="L435" s="39">
        <v>0</v>
      </c>
      <c r="N435" s="40">
        <v>1</v>
      </c>
      <c r="AA435" s="39" t="s">
        <v>4059</v>
      </c>
      <c r="AB435" s="39" t="s">
        <v>4112</v>
      </c>
      <c r="AC435" s="39" t="s">
        <v>4118</v>
      </c>
      <c r="AE435" s="39" t="s">
        <v>5789</v>
      </c>
      <c r="AF435" s="39" t="s">
        <v>5790</v>
      </c>
      <c r="AO435" s="39"/>
      <c r="AP435" s="70"/>
      <c r="AQ435" s="71"/>
      <c r="AR435" s="72"/>
      <c r="AU435" s="70"/>
      <c r="AV435" s="77"/>
      <c r="AW435" s="78"/>
      <c r="AX435" s="75"/>
      <c r="BA435" s="76"/>
    </row>
    <row r="436" spans="1:58" ht="60">
      <c r="A436" s="39" t="s">
        <v>5084</v>
      </c>
      <c r="B436" s="39" t="s">
        <v>5865</v>
      </c>
      <c r="C436" s="39" t="s">
        <v>5088</v>
      </c>
      <c r="D436" s="40">
        <v>156</v>
      </c>
      <c r="E436" s="39">
        <v>2</v>
      </c>
      <c r="G436" s="39" t="s">
        <v>5768</v>
      </c>
      <c r="J436" s="39" t="s">
        <v>27</v>
      </c>
      <c r="K436" s="39" t="s">
        <v>4056</v>
      </c>
      <c r="L436" s="39">
        <v>1</v>
      </c>
      <c r="N436" s="40">
        <v>1</v>
      </c>
      <c r="AA436" s="39" t="s">
        <v>4894</v>
      </c>
      <c r="AC436" s="39" t="s">
        <v>5179</v>
      </c>
      <c r="AD436" s="40" t="s">
        <v>5633</v>
      </c>
      <c r="AE436" s="39" t="s">
        <v>5791</v>
      </c>
      <c r="AO436" s="39"/>
      <c r="AP436" s="70"/>
      <c r="AQ436" s="71"/>
      <c r="AR436" s="72"/>
      <c r="AU436" s="70"/>
      <c r="AV436" s="77"/>
      <c r="AW436" s="78"/>
      <c r="AX436" s="75"/>
      <c r="BA436" s="76"/>
    </row>
    <row r="437" spans="1:58" ht="24">
      <c r="A437" s="39" t="s">
        <v>5084</v>
      </c>
      <c r="B437" s="39" t="s">
        <v>5866</v>
      </c>
      <c r="C437" s="39" t="s">
        <v>5088</v>
      </c>
      <c r="D437" s="40">
        <v>157</v>
      </c>
      <c r="E437" s="39">
        <v>2</v>
      </c>
      <c r="G437" s="39" t="s">
        <v>5769</v>
      </c>
      <c r="J437" s="39" t="s">
        <v>4111</v>
      </c>
      <c r="K437" s="39" t="s">
        <v>26</v>
      </c>
      <c r="L437" s="39">
        <v>3</v>
      </c>
      <c r="AC437" s="39" t="s">
        <v>4138</v>
      </c>
      <c r="AD437" s="40" t="s">
        <v>5484</v>
      </c>
      <c r="AE437" s="39" t="s">
        <v>5793</v>
      </c>
      <c r="AF437" s="39" t="s">
        <v>5794</v>
      </c>
      <c r="AO437" s="39"/>
      <c r="AP437" s="70"/>
      <c r="AQ437" s="71"/>
      <c r="AR437" s="72"/>
      <c r="AU437" s="70"/>
      <c r="AV437" s="77"/>
      <c r="AW437" s="78"/>
      <c r="AX437" s="75"/>
      <c r="BA437" s="76"/>
    </row>
    <row r="438" spans="1:58" ht="24">
      <c r="A438" s="39" t="s">
        <v>5084</v>
      </c>
      <c r="B438" s="39" t="s">
        <v>5867</v>
      </c>
      <c r="C438" s="39" t="s">
        <v>5088</v>
      </c>
      <c r="D438" s="40">
        <v>158</v>
      </c>
      <c r="E438" s="39">
        <v>2</v>
      </c>
      <c r="G438" s="39" t="s">
        <v>5770</v>
      </c>
      <c r="J438" s="39" t="s">
        <v>4111</v>
      </c>
      <c r="K438" s="39" t="s">
        <v>26</v>
      </c>
      <c r="L438" s="39">
        <v>3</v>
      </c>
      <c r="AC438" s="39" t="s">
        <v>4138</v>
      </c>
      <c r="AD438" s="40" t="s">
        <v>5484</v>
      </c>
      <c r="AE438" s="39" t="s">
        <v>5792</v>
      </c>
      <c r="AF438" s="39" t="s">
        <v>5795</v>
      </c>
      <c r="AO438" s="39"/>
      <c r="AP438" s="70"/>
      <c r="AQ438" s="71"/>
      <c r="AR438" s="72"/>
      <c r="AU438" s="70"/>
      <c r="AV438" s="77"/>
      <c r="AW438" s="78"/>
      <c r="AX438" s="75"/>
      <c r="BA438" s="76"/>
    </row>
    <row r="439" spans="1:58" ht="72">
      <c r="A439" s="39" t="s">
        <v>5084</v>
      </c>
      <c r="B439" s="39" t="s">
        <v>5868</v>
      </c>
      <c r="C439" s="39" t="s">
        <v>5088</v>
      </c>
      <c r="D439" s="40">
        <v>159</v>
      </c>
      <c r="E439" s="39">
        <v>1</v>
      </c>
      <c r="F439" s="39" t="s">
        <v>5761</v>
      </c>
      <c r="G439" s="39" t="s">
        <v>5761</v>
      </c>
      <c r="H439" s="39" t="s">
        <v>4531</v>
      </c>
      <c r="J439" s="39" t="s">
        <v>4448</v>
      </c>
      <c r="AE439" s="39" t="s">
        <v>5796</v>
      </c>
      <c r="AH439" s="39" t="s">
        <v>5761</v>
      </c>
      <c r="AI439" s="39" t="s">
        <v>4532</v>
      </c>
      <c r="AK439" s="39" t="s">
        <v>4448</v>
      </c>
      <c r="AO439" s="39"/>
      <c r="AP439" s="70"/>
      <c r="AQ439" s="71"/>
      <c r="AR439" s="72"/>
      <c r="AU439" s="70"/>
      <c r="AV439" s="77"/>
      <c r="AW439" s="78"/>
      <c r="AX439" s="75"/>
      <c r="BA439" s="76"/>
      <c r="BF439" s="39" t="s">
        <v>5797</v>
      </c>
    </row>
    <row r="440" spans="1:58" ht="60">
      <c r="A440" s="39" t="s">
        <v>5084</v>
      </c>
      <c r="B440" s="39" t="s">
        <v>5869</v>
      </c>
      <c r="C440" s="39" t="s">
        <v>5088</v>
      </c>
      <c r="D440" s="40">
        <v>160</v>
      </c>
      <c r="E440" s="39">
        <v>1</v>
      </c>
      <c r="F440" s="39" t="s">
        <v>5761</v>
      </c>
      <c r="G440" s="39" t="s">
        <v>5798</v>
      </c>
      <c r="J440" s="39" t="s">
        <v>4449</v>
      </c>
      <c r="L440" s="39">
        <v>1</v>
      </c>
      <c r="Y440" s="43">
        <v>4</v>
      </c>
      <c r="AH440" s="39" t="s">
        <v>5805</v>
      </c>
      <c r="AK440" s="39" t="s">
        <v>4449</v>
      </c>
      <c r="AM440" s="39">
        <v>1</v>
      </c>
      <c r="AO440" s="39"/>
      <c r="AP440" s="70"/>
      <c r="AQ440" s="71"/>
      <c r="AR440" s="72"/>
      <c r="AU440" s="70"/>
      <c r="AV440" s="77"/>
      <c r="AW440" s="78"/>
      <c r="AX440" s="75"/>
      <c r="BA440" s="76"/>
      <c r="BF440" s="39" t="s">
        <v>5852</v>
      </c>
    </row>
    <row r="441" spans="1:58" ht="60">
      <c r="A441" s="39" t="s">
        <v>5084</v>
      </c>
      <c r="B441" s="39" t="s">
        <v>5870</v>
      </c>
      <c r="C441" s="39" t="s">
        <v>5088</v>
      </c>
      <c r="D441" s="40">
        <v>161</v>
      </c>
      <c r="E441" s="39">
        <v>1</v>
      </c>
      <c r="F441" s="39" t="s">
        <v>5761</v>
      </c>
      <c r="G441" s="39" t="s">
        <v>5799</v>
      </c>
      <c r="J441" s="39" t="s">
        <v>4449</v>
      </c>
      <c r="L441" s="39">
        <v>2</v>
      </c>
      <c r="Y441" s="43">
        <v>3</v>
      </c>
      <c r="AH441" s="39" t="s">
        <v>5806</v>
      </c>
      <c r="AK441" s="39" t="s">
        <v>4449</v>
      </c>
      <c r="AM441" s="39">
        <v>2</v>
      </c>
      <c r="AO441" s="39"/>
      <c r="AP441" s="70"/>
      <c r="AQ441" s="71"/>
      <c r="AR441" s="72"/>
      <c r="AU441" s="70"/>
      <c r="AV441" s="77"/>
      <c r="AW441" s="78"/>
      <c r="AX441" s="75"/>
      <c r="BA441" s="76"/>
      <c r="BF441" s="39" t="s">
        <v>5852</v>
      </c>
    </row>
    <row r="442" spans="1:58" ht="72">
      <c r="A442" s="39" t="s">
        <v>5084</v>
      </c>
      <c r="B442" s="39" t="s">
        <v>5871</v>
      </c>
      <c r="C442" s="39" t="s">
        <v>5088</v>
      </c>
      <c r="D442" s="40">
        <v>162</v>
      </c>
      <c r="E442" s="39">
        <v>1</v>
      </c>
      <c r="F442" s="39" t="s">
        <v>5761</v>
      </c>
      <c r="G442" s="39" t="s">
        <v>5800</v>
      </c>
      <c r="J442" s="39" t="s">
        <v>4449</v>
      </c>
      <c r="L442" s="39">
        <v>3</v>
      </c>
      <c r="Y442" s="43">
        <v>4</v>
      </c>
      <c r="AH442" s="39" t="s">
        <v>5807</v>
      </c>
      <c r="AK442" s="39" t="s">
        <v>4449</v>
      </c>
      <c r="AM442" s="39">
        <v>3</v>
      </c>
      <c r="AO442" s="39"/>
      <c r="AP442" s="70"/>
      <c r="AQ442" s="71"/>
      <c r="AR442" s="72"/>
      <c r="AU442" s="70"/>
      <c r="AV442" s="77"/>
      <c r="AW442" s="78"/>
      <c r="AX442" s="75"/>
      <c r="BA442" s="76"/>
      <c r="BF442" s="39" t="s">
        <v>5853</v>
      </c>
    </row>
    <row r="443" spans="1:58" ht="72">
      <c r="A443" s="39" t="s">
        <v>5084</v>
      </c>
      <c r="B443" s="39" t="s">
        <v>5872</v>
      </c>
      <c r="C443" s="39" t="s">
        <v>5088</v>
      </c>
      <c r="D443" s="40">
        <v>163</v>
      </c>
      <c r="E443" s="39">
        <v>1</v>
      </c>
      <c r="F443" s="39" t="s">
        <v>5761</v>
      </c>
      <c r="G443" s="39" t="s">
        <v>5801</v>
      </c>
      <c r="J443" s="39" t="s">
        <v>4449</v>
      </c>
      <c r="L443" s="39">
        <v>4</v>
      </c>
      <c r="Y443" s="43">
        <v>3</v>
      </c>
      <c r="AH443" s="39" t="s">
        <v>5808</v>
      </c>
      <c r="AK443" s="39" t="s">
        <v>4449</v>
      </c>
      <c r="AM443" s="39">
        <v>4</v>
      </c>
      <c r="AO443" s="39"/>
      <c r="AP443" s="70"/>
      <c r="AQ443" s="71"/>
      <c r="AR443" s="72"/>
      <c r="AU443" s="70"/>
      <c r="AV443" s="77"/>
      <c r="AW443" s="78"/>
      <c r="AX443" s="75"/>
      <c r="BA443" s="76"/>
      <c r="BF443" s="39" t="s">
        <v>5853</v>
      </c>
    </row>
    <row r="444" spans="1:58" ht="24">
      <c r="A444" s="39" t="s">
        <v>5084</v>
      </c>
      <c r="B444" s="39" t="s">
        <v>5873</v>
      </c>
      <c r="C444" s="39" t="s">
        <v>5088</v>
      </c>
      <c r="D444" s="40">
        <v>164</v>
      </c>
      <c r="E444" s="39">
        <v>1</v>
      </c>
      <c r="F444" s="39" t="s">
        <v>5761</v>
      </c>
      <c r="G444" s="39" t="s">
        <v>5802</v>
      </c>
      <c r="J444" s="39" t="s">
        <v>4449</v>
      </c>
      <c r="L444" s="39">
        <v>5</v>
      </c>
      <c r="Y444" s="43">
        <v>3</v>
      </c>
      <c r="AH444" s="39" t="s">
        <v>5809</v>
      </c>
      <c r="AK444" s="39" t="s">
        <v>4449</v>
      </c>
      <c r="AM444" s="39">
        <v>5</v>
      </c>
      <c r="AO444" s="39"/>
      <c r="AP444" s="70"/>
      <c r="AQ444" s="71"/>
      <c r="AR444" s="72"/>
      <c r="AU444" s="70"/>
      <c r="AV444" s="77"/>
      <c r="AW444" s="78"/>
      <c r="AX444" s="75"/>
      <c r="BA444" s="76"/>
      <c r="BF444" s="39" t="s">
        <v>5854</v>
      </c>
    </row>
    <row r="445" spans="1:58" ht="120">
      <c r="A445" s="39" t="s">
        <v>5084</v>
      </c>
      <c r="B445" s="39" t="s">
        <v>5874</v>
      </c>
      <c r="C445" s="39" t="s">
        <v>5088</v>
      </c>
      <c r="D445" s="40">
        <v>165</v>
      </c>
      <c r="E445" s="39">
        <v>1</v>
      </c>
      <c r="F445" s="39" t="s">
        <v>5761</v>
      </c>
      <c r="G445" s="39" t="s">
        <v>5803</v>
      </c>
      <c r="J445" s="39" t="s">
        <v>4451</v>
      </c>
      <c r="L445" s="39">
        <v>1</v>
      </c>
      <c r="X445" s="63" t="s">
        <v>38</v>
      </c>
      <c r="AH445" s="39" t="s">
        <v>5810</v>
      </c>
      <c r="AK445" s="39" t="s">
        <v>4451</v>
      </c>
      <c r="AM445" s="39">
        <v>1</v>
      </c>
      <c r="AO445" s="39"/>
      <c r="AP445" s="70"/>
      <c r="AQ445" s="71"/>
      <c r="AR445" s="72"/>
      <c r="AU445" s="70"/>
      <c r="AV445" s="77"/>
      <c r="AW445" s="78"/>
      <c r="AX445" s="75"/>
      <c r="BA445" s="76"/>
      <c r="BF445" s="39" t="s">
        <v>5855</v>
      </c>
    </row>
    <row r="446" spans="1:58">
      <c r="A446" s="39" t="s">
        <v>5084</v>
      </c>
      <c r="B446" s="69" t="s">
        <v>5875</v>
      </c>
      <c r="C446" s="39" t="s">
        <v>5088</v>
      </c>
      <c r="D446" s="40">
        <v>166</v>
      </c>
      <c r="E446" s="39">
        <v>1</v>
      </c>
      <c r="F446" s="39" t="s">
        <v>5761</v>
      </c>
      <c r="G446" s="39" t="s">
        <v>5804</v>
      </c>
      <c r="J446" s="39" t="s">
        <v>4451</v>
      </c>
      <c r="L446" s="39">
        <v>2</v>
      </c>
      <c r="X446" s="63" t="s">
        <v>38</v>
      </c>
      <c r="AC446" s="39" t="s">
        <v>5814</v>
      </c>
      <c r="AH446" s="39" t="s">
        <v>5811</v>
      </c>
      <c r="AK446" s="39" t="s">
        <v>4451</v>
      </c>
      <c r="AM446" s="39">
        <v>2</v>
      </c>
      <c r="AO446" s="39"/>
      <c r="AP446" s="70"/>
      <c r="AQ446" s="71"/>
      <c r="AR446" s="72"/>
      <c r="AU446" s="70"/>
      <c r="AV446" s="77"/>
      <c r="AW446" s="78"/>
      <c r="AX446" s="75"/>
      <c r="BA446" s="76"/>
      <c r="BF446" s="39" t="s">
        <v>5740</v>
      </c>
    </row>
    <row r="447" spans="1:58" ht="60">
      <c r="A447" s="39" t="s">
        <v>5084</v>
      </c>
      <c r="B447" s="39" t="s">
        <v>5876</v>
      </c>
      <c r="C447" s="39" t="s">
        <v>5088</v>
      </c>
      <c r="D447" s="40">
        <v>167</v>
      </c>
      <c r="E447" s="39">
        <v>1</v>
      </c>
      <c r="F447" s="39" t="s">
        <v>5761</v>
      </c>
      <c r="G447" s="39" t="s">
        <v>5812</v>
      </c>
      <c r="J447" s="39" t="s">
        <v>31</v>
      </c>
      <c r="AC447" s="39" t="s">
        <v>5814</v>
      </c>
      <c r="AE447" s="39" t="s">
        <v>5815</v>
      </c>
      <c r="AH447" s="39" t="s">
        <v>5817</v>
      </c>
      <c r="AK447" s="39" t="s">
        <v>31</v>
      </c>
      <c r="AO447" s="39"/>
      <c r="AP447" s="70"/>
      <c r="AQ447" s="71"/>
      <c r="AR447" s="72"/>
      <c r="AU447" s="70"/>
      <c r="AV447" s="77"/>
      <c r="AW447" s="78"/>
      <c r="AX447" s="75">
        <v>1</v>
      </c>
      <c r="AY447" s="63" t="s">
        <v>4910</v>
      </c>
      <c r="BA447" s="76"/>
      <c r="BD447" s="39" t="s">
        <v>5814</v>
      </c>
      <c r="BF447" s="39" t="s">
        <v>5822</v>
      </c>
    </row>
    <row r="448" spans="1:58" ht="60">
      <c r="A448" s="39" t="s">
        <v>5084</v>
      </c>
      <c r="B448" s="39" t="s">
        <v>5877</v>
      </c>
      <c r="C448" s="39" t="s">
        <v>5088</v>
      </c>
      <c r="D448" s="40">
        <v>168</v>
      </c>
      <c r="E448" s="39">
        <v>1</v>
      </c>
      <c r="F448" s="39" t="s">
        <v>5761</v>
      </c>
      <c r="G448" s="39" t="s">
        <v>5812</v>
      </c>
      <c r="J448" s="39" t="s">
        <v>31</v>
      </c>
      <c r="AC448" s="39" t="s">
        <v>5814</v>
      </c>
      <c r="AE448" s="39" t="s">
        <v>5815</v>
      </c>
      <c r="AH448" s="39" t="s">
        <v>5817</v>
      </c>
      <c r="AK448" s="39" t="s">
        <v>31</v>
      </c>
      <c r="AO448" s="39"/>
      <c r="AP448" s="70"/>
      <c r="AQ448" s="71"/>
      <c r="AR448" s="72"/>
      <c r="AU448" s="70"/>
      <c r="AV448" s="77"/>
      <c r="AW448" s="78"/>
      <c r="AX448" s="75">
        <v>4</v>
      </c>
      <c r="AY448" s="63" t="s">
        <v>4872</v>
      </c>
      <c r="BA448" s="76"/>
      <c r="BD448" s="39" t="s">
        <v>5814</v>
      </c>
      <c r="BF448" s="39" t="s">
        <v>5821</v>
      </c>
    </row>
    <row r="449" spans="1:59" ht="60">
      <c r="A449" s="39" t="s">
        <v>5084</v>
      </c>
      <c r="B449" s="39" t="s">
        <v>5878</v>
      </c>
      <c r="C449" s="39" t="s">
        <v>5088</v>
      </c>
      <c r="D449" s="40">
        <v>169</v>
      </c>
      <c r="E449" s="39">
        <v>1</v>
      </c>
      <c r="F449" s="39" t="s">
        <v>5761</v>
      </c>
      <c r="G449" s="39" t="s">
        <v>5812</v>
      </c>
      <c r="J449" s="39" t="s">
        <v>31</v>
      </c>
      <c r="AC449" s="39" t="s">
        <v>5814</v>
      </c>
      <c r="AE449" s="39" t="s">
        <v>5815</v>
      </c>
      <c r="AH449" s="39" t="s">
        <v>5817</v>
      </c>
      <c r="AK449" s="39" t="s">
        <v>31</v>
      </c>
      <c r="AO449" s="39"/>
      <c r="AP449" s="70"/>
      <c r="AQ449" s="71"/>
      <c r="AR449" s="72"/>
      <c r="AU449" s="70"/>
      <c r="AV449" s="77"/>
      <c r="AW449" s="78"/>
      <c r="AX449" s="75">
        <v>2</v>
      </c>
      <c r="AY449" s="63" t="s">
        <v>4909</v>
      </c>
      <c r="BA449" s="76"/>
      <c r="BD449" s="39" t="s">
        <v>5814</v>
      </c>
      <c r="BF449" s="39" t="s">
        <v>5823</v>
      </c>
    </row>
    <row r="450" spans="1:59" ht="60">
      <c r="A450" s="39" t="s">
        <v>5084</v>
      </c>
      <c r="B450" s="39" t="s">
        <v>5879</v>
      </c>
      <c r="C450" s="39" t="s">
        <v>5088</v>
      </c>
      <c r="D450" s="40">
        <v>170</v>
      </c>
      <c r="E450" s="39">
        <v>1</v>
      </c>
      <c r="F450" s="39" t="s">
        <v>5761</v>
      </c>
      <c r="G450" s="39" t="s">
        <v>5812</v>
      </c>
      <c r="J450" s="39" t="s">
        <v>31</v>
      </c>
      <c r="AC450" s="39" t="s">
        <v>5814</v>
      </c>
      <c r="AE450" s="39" t="s">
        <v>5815</v>
      </c>
      <c r="AH450" s="39" t="s">
        <v>5817</v>
      </c>
      <c r="AK450" s="39" t="s">
        <v>31</v>
      </c>
      <c r="AO450" s="39"/>
      <c r="AP450" s="70"/>
      <c r="AQ450" s="71"/>
      <c r="AR450" s="72"/>
      <c r="AU450" s="70"/>
      <c r="AV450" s="77"/>
      <c r="AW450" s="78"/>
      <c r="AX450" s="75">
        <v>3</v>
      </c>
      <c r="AY450" s="63" t="s">
        <v>4909</v>
      </c>
      <c r="BA450" s="76"/>
      <c r="BD450" s="39" t="s">
        <v>5814</v>
      </c>
      <c r="BF450" s="39" t="s">
        <v>5824</v>
      </c>
    </row>
    <row r="451" spans="1:59" ht="60">
      <c r="A451" s="39" t="s">
        <v>5084</v>
      </c>
      <c r="B451" s="39" t="s">
        <v>5880</v>
      </c>
      <c r="C451" s="39" t="s">
        <v>5088</v>
      </c>
      <c r="D451" s="40">
        <v>171</v>
      </c>
      <c r="E451" s="39">
        <v>1</v>
      </c>
      <c r="F451" s="39" t="s">
        <v>5761</v>
      </c>
      <c r="G451" s="39" t="s">
        <v>5812</v>
      </c>
      <c r="J451" s="39" t="s">
        <v>31</v>
      </c>
      <c r="AC451" s="39" t="s">
        <v>5814</v>
      </c>
      <c r="AE451" s="39" t="s">
        <v>5815</v>
      </c>
      <c r="AH451" s="39" t="s">
        <v>5817</v>
      </c>
      <c r="AK451" s="39" t="s">
        <v>31</v>
      </c>
      <c r="AO451" s="39"/>
      <c r="AP451" s="70"/>
      <c r="AQ451" s="71"/>
      <c r="AR451" s="72"/>
      <c r="AU451" s="70"/>
      <c r="AV451" s="77"/>
      <c r="AW451" s="78"/>
      <c r="AX451" s="75">
        <v>1</v>
      </c>
      <c r="AY451" s="63" t="s">
        <v>4872</v>
      </c>
      <c r="BA451" s="76"/>
      <c r="BD451" s="39" t="s">
        <v>5814</v>
      </c>
      <c r="BF451" s="39" t="s">
        <v>5825</v>
      </c>
    </row>
    <row r="452" spans="1:59" ht="48">
      <c r="A452" s="39" t="s">
        <v>5084</v>
      </c>
      <c r="B452" s="39" t="s">
        <v>5881</v>
      </c>
      <c r="C452" s="39" t="s">
        <v>5088</v>
      </c>
      <c r="D452" s="40">
        <v>172</v>
      </c>
      <c r="E452" s="39">
        <v>1</v>
      </c>
      <c r="F452" s="39" t="s">
        <v>5761</v>
      </c>
      <c r="G452" s="39" t="s">
        <v>5812</v>
      </c>
      <c r="J452" s="39" t="s">
        <v>31</v>
      </c>
      <c r="AC452" s="39" t="s">
        <v>5814</v>
      </c>
      <c r="AE452" s="39" t="s">
        <v>5815</v>
      </c>
      <c r="AH452" s="39" t="s">
        <v>5818</v>
      </c>
      <c r="AK452" s="39" t="s">
        <v>31</v>
      </c>
      <c r="AO452" s="39"/>
      <c r="AP452" s="70"/>
      <c r="AQ452" s="71"/>
      <c r="AR452" s="72"/>
      <c r="AU452" s="70"/>
      <c r="AV452" s="77"/>
      <c r="AW452" s="78"/>
      <c r="AX452" s="75">
        <v>4</v>
      </c>
      <c r="AY452" s="63">
        <v>1</v>
      </c>
      <c r="BA452" s="76"/>
      <c r="BD452" s="39" t="s">
        <v>5814</v>
      </c>
      <c r="BF452" s="39" t="s">
        <v>5826</v>
      </c>
    </row>
    <row r="453" spans="1:59" ht="48">
      <c r="A453" s="39" t="s">
        <v>5084</v>
      </c>
      <c r="B453" s="39" t="s">
        <v>5882</v>
      </c>
      <c r="C453" s="39" t="s">
        <v>5088</v>
      </c>
      <c r="D453" s="40">
        <v>173</v>
      </c>
      <c r="E453" s="39">
        <v>1</v>
      </c>
      <c r="F453" s="39" t="s">
        <v>5761</v>
      </c>
      <c r="G453" s="39" t="s">
        <v>5812</v>
      </c>
      <c r="J453" s="39" t="s">
        <v>31</v>
      </c>
      <c r="AC453" s="39" t="s">
        <v>5814</v>
      </c>
      <c r="AE453" s="39" t="s">
        <v>5815</v>
      </c>
      <c r="AH453" s="39" t="s">
        <v>5819</v>
      </c>
      <c r="AK453" s="39" t="s">
        <v>31</v>
      </c>
      <c r="AO453" s="39"/>
      <c r="AP453" s="70"/>
      <c r="AQ453" s="71"/>
      <c r="AR453" s="72"/>
      <c r="AU453" s="70"/>
      <c r="AV453" s="77"/>
      <c r="AW453" s="78"/>
      <c r="AX453" s="75">
        <v>2</v>
      </c>
      <c r="AY453" s="63">
        <v>0</v>
      </c>
      <c r="BA453" s="76"/>
      <c r="BD453" s="39" t="s">
        <v>5814</v>
      </c>
      <c r="BF453" s="39" t="s">
        <v>5827</v>
      </c>
    </row>
    <row r="454" spans="1:59" ht="48">
      <c r="A454" s="39" t="s">
        <v>5084</v>
      </c>
      <c r="B454" s="39" t="s">
        <v>5883</v>
      </c>
      <c r="C454" s="39" t="s">
        <v>5088</v>
      </c>
      <c r="D454" s="40">
        <v>174</v>
      </c>
      <c r="E454" s="39">
        <v>1</v>
      </c>
      <c r="F454" s="39" t="s">
        <v>5761</v>
      </c>
      <c r="G454" s="39" t="s">
        <v>5812</v>
      </c>
      <c r="J454" s="39" t="s">
        <v>31</v>
      </c>
      <c r="AC454" s="39" t="s">
        <v>5814</v>
      </c>
      <c r="AE454" s="39" t="s">
        <v>5815</v>
      </c>
      <c r="AH454" s="39" t="s">
        <v>5820</v>
      </c>
      <c r="AK454" s="39" t="s">
        <v>31</v>
      </c>
      <c r="AO454" s="39"/>
      <c r="AP454" s="70"/>
      <c r="AQ454" s="71"/>
      <c r="AR454" s="72"/>
      <c r="AU454" s="70"/>
      <c r="AV454" s="77"/>
      <c r="AW454" s="78"/>
      <c r="AX454" s="75">
        <v>3</v>
      </c>
      <c r="AY454" s="63" t="s">
        <v>4872</v>
      </c>
      <c r="BA454" s="76">
        <v>1</v>
      </c>
      <c r="BD454" s="39" t="s">
        <v>5814</v>
      </c>
      <c r="BF454" s="39" t="s">
        <v>5828</v>
      </c>
    </row>
    <row r="455" spans="1:59" ht="48">
      <c r="A455" s="39" t="s">
        <v>5084</v>
      </c>
      <c r="B455" s="39" t="s">
        <v>5884</v>
      </c>
      <c r="C455" s="39" t="s">
        <v>5088</v>
      </c>
      <c r="D455" s="40">
        <v>175</v>
      </c>
      <c r="E455" s="39">
        <v>1</v>
      </c>
      <c r="F455" s="39" t="s">
        <v>5761</v>
      </c>
      <c r="G455" s="39" t="s">
        <v>5813</v>
      </c>
      <c r="J455" s="39" t="s">
        <v>31</v>
      </c>
      <c r="AC455" s="39" t="s">
        <v>5814</v>
      </c>
      <c r="AE455" s="39" t="s">
        <v>5816</v>
      </c>
      <c r="AH455" s="39" t="s">
        <v>5813</v>
      </c>
      <c r="AK455" s="39" t="s">
        <v>31</v>
      </c>
      <c r="AO455" s="39"/>
      <c r="AP455" s="70"/>
      <c r="AQ455" s="71"/>
      <c r="AR455" s="72"/>
      <c r="AU455" s="70"/>
      <c r="AV455" s="77"/>
      <c r="AW455" s="78"/>
      <c r="AX455" s="75">
        <v>4</v>
      </c>
      <c r="AY455" s="63" t="s">
        <v>4909</v>
      </c>
      <c r="BA455" s="76">
        <v>1</v>
      </c>
      <c r="BD455" s="39" t="s">
        <v>5814</v>
      </c>
      <c r="BF455" s="39" t="s">
        <v>5829</v>
      </c>
      <c r="BG455" s="39" t="s">
        <v>5830</v>
      </c>
    </row>
    <row r="456" spans="1:59" ht="48">
      <c r="A456" s="39" t="s">
        <v>5084</v>
      </c>
      <c r="B456" s="39" t="s">
        <v>5885</v>
      </c>
      <c r="C456" s="39" t="s">
        <v>5088</v>
      </c>
      <c r="D456" s="40">
        <v>176</v>
      </c>
      <c r="E456" s="39">
        <v>1</v>
      </c>
      <c r="F456" s="39" t="s">
        <v>5761</v>
      </c>
      <c r="G456" s="39" t="s">
        <v>5813</v>
      </c>
      <c r="J456" s="39" t="s">
        <v>31</v>
      </c>
      <c r="AC456" s="39" t="s">
        <v>5814</v>
      </c>
      <c r="AE456" s="39" t="s">
        <v>5816</v>
      </c>
      <c r="AH456" s="39" t="s">
        <v>5813</v>
      </c>
      <c r="AK456" s="39" t="s">
        <v>31</v>
      </c>
      <c r="AO456" s="39"/>
      <c r="AP456" s="70"/>
      <c r="AQ456" s="71"/>
      <c r="AR456" s="72"/>
      <c r="AU456" s="70"/>
      <c r="AV456" s="77"/>
      <c r="AW456" s="78"/>
      <c r="AX456" s="75">
        <v>2</v>
      </c>
      <c r="AY456" s="63" t="s">
        <v>4909</v>
      </c>
      <c r="BA456" s="76">
        <v>1</v>
      </c>
      <c r="BD456" s="39" t="s">
        <v>5814</v>
      </c>
      <c r="BF456" s="39" t="s">
        <v>5833</v>
      </c>
      <c r="BG456" s="39" t="s">
        <v>5831</v>
      </c>
    </row>
    <row r="457" spans="1:59" ht="60">
      <c r="A457" s="39" t="s">
        <v>5084</v>
      </c>
      <c r="B457" s="39" t="s">
        <v>5886</v>
      </c>
      <c r="C457" s="39" t="s">
        <v>5088</v>
      </c>
      <c r="D457" s="40">
        <v>177</v>
      </c>
      <c r="E457" s="39">
        <v>1</v>
      </c>
      <c r="F457" s="39" t="s">
        <v>5761</v>
      </c>
      <c r="G457" s="39" t="s">
        <v>5813</v>
      </c>
      <c r="J457" s="39" t="s">
        <v>31</v>
      </c>
      <c r="AC457" s="39" t="s">
        <v>5814</v>
      </c>
      <c r="AE457" s="39" t="s">
        <v>5816</v>
      </c>
      <c r="AH457" s="39" t="s">
        <v>5813</v>
      </c>
      <c r="AK457" s="39" t="s">
        <v>31</v>
      </c>
      <c r="AO457" s="39"/>
      <c r="AP457" s="70"/>
      <c r="AQ457" s="71"/>
      <c r="AR457" s="72"/>
      <c r="AU457" s="70"/>
      <c r="AV457" s="77"/>
      <c r="AW457" s="78"/>
      <c r="AX457" s="75">
        <v>1</v>
      </c>
      <c r="AY457" s="63" t="s">
        <v>4909</v>
      </c>
      <c r="BA457" s="76">
        <v>1</v>
      </c>
      <c r="BD457" s="39" t="s">
        <v>5814</v>
      </c>
      <c r="BF457" s="39" t="s">
        <v>5832</v>
      </c>
      <c r="BG457" s="39" t="s">
        <v>5834</v>
      </c>
    </row>
    <row r="458" spans="1:59">
      <c r="A458" s="39" t="s">
        <v>5084</v>
      </c>
      <c r="B458" s="39" t="s">
        <v>5887</v>
      </c>
      <c r="C458" s="39" t="s">
        <v>5088</v>
      </c>
      <c r="D458" s="40">
        <v>178</v>
      </c>
      <c r="E458" s="39">
        <v>4</v>
      </c>
      <c r="F458" s="39" t="s">
        <v>5761</v>
      </c>
      <c r="G458" s="39" t="s">
        <v>5835</v>
      </c>
      <c r="J458" s="39" t="s">
        <v>28</v>
      </c>
      <c r="M458" s="39" t="s">
        <v>4477</v>
      </c>
      <c r="AC458" s="39" t="s">
        <v>4134</v>
      </c>
      <c r="AE458" s="39" t="s">
        <v>5836</v>
      </c>
      <c r="AF458" s="39" t="s">
        <v>5837</v>
      </c>
      <c r="AO458" s="39"/>
      <c r="AP458" s="70"/>
      <c r="AQ458" s="71"/>
      <c r="AR458" s="72"/>
      <c r="AU458" s="70"/>
      <c r="AV458" s="77"/>
      <c r="AW458" s="78"/>
      <c r="AX458" s="75"/>
      <c r="BA458" s="76"/>
    </row>
    <row r="459" spans="1:59" ht="60">
      <c r="A459" s="39" t="s">
        <v>5084</v>
      </c>
      <c r="B459" s="69" t="s">
        <v>5888</v>
      </c>
      <c r="C459" s="39" t="s">
        <v>5088</v>
      </c>
      <c r="D459" s="40">
        <v>179</v>
      </c>
      <c r="E459" s="39">
        <v>3</v>
      </c>
      <c r="F459" s="39" t="s">
        <v>5761</v>
      </c>
      <c r="G459" s="39" t="s">
        <v>5838</v>
      </c>
      <c r="J459" s="39" t="s">
        <v>4111</v>
      </c>
      <c r="S459" s="43">
        <v>1</v>
      </c>
      <c r="T459" s="60">
        <v>1</v>
      </c>
      <c r="AC459" s="39" t="s">
        <v>5839</v>
      </c>
      <c r="AD459" s="40" t="s">
        <v>34</v>
      </c>
      <c r="AE459" s="39" t="s">
        <v>5840</v>
      </c>
      <c r="AO459" s="39"/>
      <c r="AP459" s="70"/>
      <c r="AQ459" s="71"/>
      <c r="AR459" s="72"/>
      <c r="AU459" s="70"/>
      <c r="AV459" s="77"/>
      <c r="AW459" s="78"/>
      <c r="AX459" s="75"/>
      <c r="BA459" s="76"/>
    </row>
    <row r="460" spans="1:59" ht="36">
      <c r="A460" s="39" t="s">
        <v>5084</v>
      </c>
      <c r="B460" s="39" t="s">
        <v>5889</v>
      </c>
      <c r="C460" s="39" t="s">
        <v>5088</v>
      </c>
      <c r="D460" s="40">
        <v>180</v>
      </c>
      <c r="E460" s="39">
        <v>3</v>
      </c>
      <c r="F460" s="39" t="s">
        <v>5761</v>
      </c>
      <c r="G460" s="39" t="s">
        <v>5841</v>
      </c>
      <c r="J460" s="39" t="s">
        <v>28</v>
      </c>
      <c r="AC460" s="39" t="s">
        <v>5412</v>
      </c>
      <c r="AE460" s="39" t="s">
        <v>5842</v>
      </c>
      <c r="AO460" s="39"/>
      <c r="AP460" s="70"/>
      <c r="AQ460" s="71"/>
      <c r="AR460" s="72"/>
      <c r="AU460" s="70"/>
      <c r="AV460" s="77"/>
      <c r="AW460" s="78"/>
      <c r="AX460" s="75"/>
      <c r="BA460" s="76"/>
    </row>
    <row r="461" spans="1:59" ht="48">
      <c r="A461" s="39" t="s">
        <v>5084</v>
      </c>
      <c r="B461" s="39" t="s">
        <v>5890</v>
      </c>
      <c r="C461" s="39" t="s">
        <v>5088</v>
      </c>
      <c r="D461" s="40">
        <v>181</v>
      </c>
      <c r="E461" s="39">
        <v>3</v>
      </c>
      <c r="F461" s="39" t="s">
        <v>5761</v>
      </c>
      <c r="G461" s="39" t="s">
        <v>5843</v>
      </c>
      <c r="J461" s="39" t="s">
        <v>28</v>
      </c>
      <c r="AC461" s="39" t="s">
        <v>4309</v>
      </c>
      <c r="AE461" s="39" t="s">
        <v>5844</v>
      </c>
      <c r="AF461" s="39" t="s">
        <v>5845</v>
      </c>
      <c r="AO461" s="39"/>
      <c r="AP461" s="70"/>
      <c r="AQ461" s="71"/>
      <c r="AR461" s="72"/>
      <c r="AU461" s="70"/>
      <c r="AV461" s="77"/>
      <c r="AW461" s="78"/>
      <c r="AX461" s="75"/>
      <c r="BA461" s="76"/>
    </row>
    <row r="462" spans="1:59" ht="24">
      <c r="A462" s="39" t="s">
        <v>5084</v>
      </c>
      <c r="B462" s="39" t="s">
        <v>5891</v>
      </c>
      <c r="C462" s="39" t="s">
        <v>5088</v>
      </c>
      <c r="D462" s="40">
        <v>182</v>
      </c>
      <c r="E462" s="39">
        <v>2</v>
      </c>
      <c r="F462" s="39" t="s">
        <v>5761</v>
      </c>
      <c r="G462" s="39" t="s">
        <v>5846</v>
      </c>
      <c r="J462" s="39" t="s">
        <v>29</v>
      </c>
      <c r="Q462" s="62">
        <v>3</v>
      </c>
      <c r="R462" s="63">
        <v>2</v>
      </c>
      <c r="S462" s="43">
        <v>3</v>
      </c>
      <c r="U462" s="64">
        <v>1</v>
      </c>
      <c r="V462" s="65">
        <v>1</v>
      </c>
      <c r="AC462" s="39" t="s">
        <v>5438</v>
      </c>
      <c r="AD462" s="40" t="s">
        <v>4305</v>
      </c>
      <c r="AE462" s="39" t="s">
        <v>5847</v>
      </c>
      <c r="AO462" s="39"/>
      <c r="AP462" s="70"/>
      <c r="AQ462" s="71"/>
      <c r="AR462" s="72"/>
      <c r="AU462" s="70"/>
      <c r="AV462" s="77"/>
      <c r="AW462" s="78"/>
      <c r="AX462" s="75"/>
      <c r="BA462" s="76"/>
    </row>
    <row r="463" spans="1:59" ht="48">
      <c r="A463" s="39" t="s">
        <v>5084</v>
      </c>
      <c r="B463" s="39" t="s">
        <v>5892</v>
      </c>
      <c r="C463" s="39" t="s">
        <v>5088</v>
      </c>
      <c r="D463" s="40">
        <v>183</v>
      </c>
      <c r="E463" s="39">
        <v>2</v>
      </c>
      <c r="F463" s="39" t="s">
        <v>5761</v>
      </c>
      <c r="G463" s="39" t="s">
        <v>5848</v>
      </c>
      <c r="J463" s="39" t="s">
        <v>29</v>
      </c>
      <c r="Q463" s="62">
        <v>4</v>
      </c>
      <c r="R463" s="63">
        <v>3</v>
      </c>
      <c r="S463" s="43">
        <v>5</v>
      </c>
      <c r="U463" s="64">
        <v>2</v>
      </c>
      <c r="V463" s="65">
        <v>2</v>
      </c>
      <c r="Z463" s="67">
        <v>1</v>
      </c>
      <c r="AC463" s="39" t="s">
        <v>5438</v>
      </c>
      <c r="AD463" s="40" t="s">
        <v>5849</v>
      </c>
      <c r="AE463" s="39" t="s">
        <v>5850</v>
      </c>
      <c r="AF463" s="39" t="s">
        <v>5851</v>
      </c>
      <c r="AO463" s="39"/>
      <c r="AP463" s="70"/>
      <c r="AQ463" s="71"/>
      <c r="AR463" s="72"/>
      <c r="AU463" s="70"/>
      <c r="AV463" s="77"/>
      <c r="AW463" s="78"/>
      <c r="AX463" s="75"/>
      <c r="BA463" s="76"/>
    </row>
    <row r="464" spans="1:59">
      <c r="AO464" s="39"/>
      <c r="AP464" s="70"/>
      <c r="AQ464" s="71"/>
      <c r="AR464" s="72"/>
      <c r="AU464" s="70"/>
      <c r="AV464" s="77"/>
      <c r="AW464" s="78"/>
      <c r="AX464" s="75"/>
      <c r="BA464" s="76"/>
    </row>
    <row r="465" spans="41:53">
      <c r="AO465" s="39"/>
      <c r="AP465" s="70"/>
      <c r="AQ465" s="71"/>
      <c r="AR465" s="72"/>
      <c r="AU465" s="70"/>
      <c r="AV465" s="77"/>
      <c r="AW465" s="78"/>
      <c r="AX465" s="75"/>
      <c r="BA465" s="76"/>
    </row>
    <row r="466" spans="41:53">
      <c r="AO466" s="39"/>
      <c r="AP466" s="70"/>
      <c r="AQ466" s="71"/>
      <c r="AR466" s="72"/>
      <c r="AU466" s="70"/>
      <c r="AV466" s="77"/>
      <c r="AW466" s="78"/>
      <c r="AX466" s="75"/>
      <c r="BA466" s="76"/>
    </row>
    <row r="467" spans="41:53">
      <c r="AO467" s="39"/>
      <c r="AP467" s="70"/>
      <c r="AQ467" s="71"/>
      <c r="AR467" s="72"/>
      <c r="AU467" s="70"/>
      <c r="AV467" s="77"/>
      <c r="AW467" s="78"/>
      <c r="AX467" s="75"/>
      <c r="BA467" s="76"/>
    </row>
    <row r="468" spans="41:53">
      <c r="AO468" s="39"/>
      <c r="AP468" s="70"/>
      <c r="AQ468" s="71"/>
      <c r="AR468" s="72"/>
      <c r="AU468" s="70"/>
      <c r="AV468" s="77"/>
      <c r="AW468" s="78"/>
      <c r="AX468" s="75"/>
      <c r="BA468" s="76"/>
    </row>
    <row r="469" spans="41:53">
      <c r="AO469" s="39"/>
      <c r="AP469" s="70"/>
      <c r="AQ469" s="71"/>
      <c r="AR469" s="72"/>
      <c r="AU469" s="70"/>
      <c r="AV469" s="77"/>
      <c r="AW469" s="78"/>
      <c r="AX469" s="75"/>
      <c r="BA469" s="76"/>
    </row>
    <row r="470" spans="41:53">
      <c r="AO470" s="39"/>
      <c r="AP470" s="70"/>
      <c r="AQ470" s="71"/>
      <c r="AR470" s="72"/>
      <c r="AU470" s="70"/>
      <c r="AV470" s="77"/>
      <c r="AW470" s="78"/>
      <c r="AX470" s="75"/>
      <c r="BA470" s="76"/>
    </row>
    <row r="471" spans="41:53">
      <c r="AO471" s="39"/>
      <c r="AP471" s="70"/>
      <c r="AQ471" s="71"/>
      <c r="AR471" s="72"/>
      <c r="AU471" s="70"/>
      <c r="AV471" s="77"/>
      <c r="AW471" s="78"/>
      <c r="AX471" s="75"/>
      <c r="BA471" s="76"/>
    </row>
    <row r="472" spans="41:53">
      <c r="AO472" s="39"/>
      <c r="AP472" s="70"/>
      <c r="AQ472" s="71"/>
      <c r="AR472" s="72"/>
      <c r="AU472" s="70"/>
      <c r="AV472" s="77"/>
      <c r="AW472" s="78"/>
      <c r="AX472" s="75"/>
      <c r="BA472" s="76"/>
    </row>
    <row r="473" spans="41:53">
      <c r="AO473" s="39"/>
      <c r="AP473" s="70"/>
      <c r="AQ473" s="71"/>
      <c r="AR473" s="72"/>
      <c r="AU473" s="70"/>
      <c r="AV473" s="77"/>
      <c r="AW473" s="78"/>
      <c r="AX473" s="75"/>
      <c r="BA473" s="76"/>
    </row>
    <row r="474" spans="41:53">
      <c r="AO474" s="39"/>
      <c r="AP474" s="70"/>
      <c r="AQ474" s="71"/>
      <c r="AR474" s="72"/>
      <c r="AU474" s="70"/>
      <c r="AV474" s="77"/>
      <c r="AW474" s="78"/>
      <c r="AX474" s="75"/>
      <c r="BA474" s="76"/>
    </row>
    <row r="475" spans="41:53">
      <c r="AO475" s="39"/>
      <c r="AP475" s="70"/>
      <c r="AQ475" s="71"/>
      <c r="AR475" s="72"/>
      <c r="AU475" s="70"/>
      <c r="AV475" s="77"/>
      <c r="AW475" s="78"/>
      <c r="AX475" s="75"/>
      <c r="BA475" s="76"/>
    </row>
    <row r="476" spans="41:53">
      <c r="AO476" s="39"/>
      <c r="AP476" s="70"/>
      <c r="AQ476" s="71"/>
      <c r="AR476" s="72"/>
      <c r="AU476" s="70"/>
      <c r="AV476" s="77"/>
      <c r="AW476" s="78"/>
      <c r="AX476" s="75"/>
      <c r="BA476" s="76"/>
    </row>
    <row r="477" spans="41:53">
      <c r="AO477" s="39"/>
      <c r="AP477" s="70"/>
      <c r="AQ477" s="71"/>
      <c r="AR477" s="72"/>
      <c r="AU477" s="70"/>
      <c r="AV477" s="77"/>
      <c r="AW477" s="78"/>
      <c r="AX477" s="75"/>
      <c r="BA477" s="76"/>
    </row>
    <row r="478" spans="41:53">
      <c r="AO478" s="39"/>
      <c r="AP478" s="70"/>
      <c r="AQ478" s="71"/>
      <c r="AR478" s="72"/>
      <c r="AU478" s="70"/>
      <c r="AV478" s="77"/>
      <c r="AW478" s="78"/>
      <c r="AX478" s="75"/>
      <c r="BA478" s="76"/>
    </row>
    <row r="479" spans="41:53">
      <c r="AO479" s="39"/>
      <c r="AP479" s="70"/>
      <c r="AQ479" s="71"/>
      <c r="AR479" s="72"/>
      <c r="AU479" s="70"/>
      <c r="AV479" s="77"/>
      <c r="AW479" s="78"/>
      <c r="AX479" s="75"/>
      <c r="BA479" s="76"/>
    </row>
    <row r="480" spans="4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row r="1188" spans="41:53">
      <c r="AO1188" s="39"/>
      <c r="AP1188" s="70"/>
      <c r="AQ1188" s="71"/>
      <c r="AR1188" s="72"/>
      <c r="AU1188" s="70"/>
      <c r="AV1188" s="77"/>
      <c r="AW1188" s="78"/>
      <c r="AX1188" s="75"/>
      <c r="BA1188" s="76"/>
    </row>
    <row r="1189" spans="41:53">
      <c r="AO1189" s="39"/>
      <c r="AP1189" s="70"/>
      <c r="AQ1189" s="71"/>
      <c r="AR1189" s="72"/>
      <c r="AU1189" s="70"/>
      <c r="AV1189" s="77"/>
      <c r="AW1189" s="78"/>
      <c r="AX1189" s="75"/>
      <c r="BA1189" s="76"/>
    </row>
  </sheetData>
  <sortState ref="A2:BH187">
    <sortCondition ref="C2:C187"/>
    <sortCondition ref="D2:D187"/>
  </sortState>
  <conditionalFormatting sqref="K1 K345:K379 AL1 AL183:AL189 AK2 AK117:AK121 AK131 AK133:AK149 AK159:AK182 AL191 AK7:AK111 AK123:AK128 AL195:AL231 AL254:AL379 AL385:AL1048576 K385:K1048576 AL233:AL248">
    <cfRule type="cellIs" dxfId="240" priority="253" operator="equal">
      <formula>"Seeker"</formula>
    </cfRule>
    <cfRule type="cellIs" dxfId="239" priority="254" operator="equal">
      <formula>"Neutral"</formula>
    </cfRule>
    <cfRule type="cellIs" dxfId="238" priority="255" operator="equal">
      <formula>"Rogue"</formula>
    </cfRule>
    <cfRule type="cellIs" dxfId="237" priority="256" operator="equal">
      <formula>"Guardian"</formula>
    </cfRule>
    <cfRule type="cellIs" dxfId="236" priority="257" operator="equal">
      <formula>"Survivor"</formula>
    </cfRule>
    <cfRule type="cellIs" dxfId="235" priority="258" operator="equal">
      <formula>"Mystic"</formula>
    </cfRule>
  </conditionalFormatting>
  <conditionalFormatting sqref="K2:K99 K101:K104 K233:K344">
    <cfRule type="cellIs" dxfId="234" priority="247" operator="equal">
      <formula>"seeker"</formula>
    </cfRule>
    <cfRule type="cellIs" dxfId="233" priority="248" operator="equal">
      <formula>"neutral"</formula>
    </cfRule>
    <cfRule type="cellIs" dxfId="232" priority="249" operator="equal">
      <formula>"rogue"</formula>
    </cfRule>
    <cfRule type="cellIs" dxfId="231" priority="250" operator="equal">
      <formula>"Guardian"</formula>
    </cfRule>
    <cfRule type="cellIs" dxfId="230" priority="251" operator="equal">
      <formula>"Survivor"</formula>
    </cfRule>
    <cfRule type="cellIs" dxfId="229" priority="252" operator="equal">
      <formula>"Mystic"</formula>
    </cfRule>
  </conditionalFormatting>
  <conditionalFormatting sqref="K133:K151 K157:K168 K170:K192 K194:K231 K105:K131">
    <cfRule type="cellIs" dxfId="228" priority="241" operator="equal">
      <formula>"seeker"</formula>
    </cfRule>
    <cfRule type="cellIs" dxfId="227" priority="242" operator="equal">
      <formula>"neutral"</formula>
    </cfRule>
    <cfRule type="cellIs" dxfId="226" priority="243" operator="equal">
      <formula>"rogue"</formula>
    </cfRule>
    <cfRule type="cellIs" dxfId="225" priority="244" operator="equal">
      <formula>"Guardian"</formula>
    </cfRule>
    <cfRule type="cellIs" dxfId="224" priority="245" operator="equal">
      <formula>"Survivor"</formula>
    </cfRule>
    <cfRule type="cellIs" dxfId="223" priority="246" operator="equal">
      <formula>"Mystic"</formula>
    </cfRule>
  </conditionalFormatting>
  <conditionalFormatting sqref="K100">
    <cfRule type="cellIs" dxfId="222" priority="235" operator="equal">
      <formula>"seeker"</formula>
    </cfRule>
    <cfRule type="cellIs" dxfId="221" priority="236" operator="equal">
      <formula>"neutral"</formula>
    </cfRule>
    <cfRule type="cellIs" dxfId="220" priority="237" operator="equal">
      <formula>"rogue"</formula>
    </cfRule>
    <cfRule type="cellIs" dxfId="219" priority="238" operator="equal">
      <formula>"Guardian"</formula>
    </cfRule>
    <cfRule type="cellIs" dxfId="218" priority="239" operator="equal">
      <formula>"Survivor"</formula>
    </cfRule>
    <cfRule type="cellIs" dxfId="217" priority="240" operator="equal">
      <formula>"Mystic"</formula>
    </cfRule>
  </conditionalFormatting>
  <conditionalFormatting sqref="AL112:AL116">
    <cfRule type="cellIs" dxfId="216" priority="229" operator="equal">
      <formula>"seeker"</formula>
    </cfRule>
    <cfRule type="cellIs" dxfId="215" priority="230" operator="equal">
      <formula>"neutral"</formula>
    </cfRule>
    <cfRule type="cellIs" dxfId="214" priority="231" operator="equal">
      <formula>"rogue"</formula>
    </cfRule>
    <cfRule type="cellIs" dxfId="213" priority="232" operator="equal">
      <formula>"Guardian"</formula>
    </cfRule>
    <cfRule type="cellIs" dxfId="212" priority="233" operator="equal">
      <formula>"Survivor"</formula>
    </cfRule>
    <cfRule type="cellIs" dxfId="211" priority="234" operator="equal">
      <formula>"Mystic"</formula>
    </cfRule>
  </conditionalFormatting>
  <conditionalFormatting sqref="AL129:AL130">
    <cfRule type="cellIs" dxfId="210" priority="223" operator="equal">
      <formula>"seeker"</formula>
    </cfRule>
    <cfRule type="cellIs" dxfId="209" priority="224" operator="equal">
      <formula>"neutral"</formula>
    </cfRule>
    <cfRule type="cellIs" dxfId="208" priority="225" operator="equal">
      <formula>"rogue"</formula>
    </cfRule>
    <cfRule type="cellIs" dxfId="207" priority="226" operator="equal">
      <formula>"Guardian"</formula>
    </cfRule>
    <cfRule type="cellIs" dxfId="206" priority="227" operator="equal">
      <formula>"Survivor"</formula>
    </cfRule>
    <cfRule type="cellIs" dxfId="205" priority="228" operator="equal">
      <formula>"Mystic"</formula>
    </cfRule>
  </conditionalFormatting>
  <conditionalFormatting sqref="AK132">
    <cfRule type="cellIs" dxfId="204" priority="217" operator="equal">
      <formula>"Seeker"</formula>
    </cfRule>
    <cfRule type="cellIs" dxfId="203" priority="218" operator="equal">
      <formula>"Neutral"</formula>
    </cfRule>
    <cfRule type="cellIs" dxfId="202" priority="219" operator="equal">
      <formula>"Rogue"</formula>
    </cfRule>
    <cfRule type="cellIs" dxfId="201" priority="220" operator="equal">
      <formula>"Guardian"</formula>
    </cfRule>
    <cfRule type="cellIs" dxfId="200" priority="221" operator="equal">
      <formula>"Survivor"</formula>
    </cfRule>
    <cfRule type="cellIs" dxfId="199" priority="222" operator="equal">
      <formula>"Mystic"</formula>
    </cfRule>
  </conditionalFormatting>
  <conditionalFormatting sqref="K132">
    <cfRule type="cellIs" dxfId="198" priority="211" operator="equal">
      <formula>"seeker"</formula>
    </cfRule>
    <cfRule type="cellIs" dxfId="197" priority="212" operator="equal">
      <formula>"neutral"</formula>
    </cfRule>
    <cfRule type="cellIs" dxfId="196" priority="213" operator="equal">
      <formula>"rogue"</formula>
    </cfRule>
    <cfRule type="cellIs" dxfId="195" priority="214" operator="equal">
      <formula>"Guardian"</formula>
    </cfRule>
    <cfRule type="cellIs" dxfId="194" priority="215" operator="equal">
      <formula>"Survivor"</formula>
    </cfRule>
    <cfRule type="cellIs" dxfId="193" priority="216" operator="equal">
      <formula>"Mystic"</formula>
    </cfRule>
  </conditionalFormatting>
  <conditionalFormatting sqref="AL150:AL151 AL157:AL158">
    <cfRule type="cellIs" dxfId="192" priority="205" operator="equal">
      <formula>"seeker"</formula>
    </cfRule>
    <cfRule type="cellIs" dxfId="191" priority="206" operator="equal">
      <formula>"neutral"</formula>
    </cfRule>
    <cfRule type="cellIs" dxfId="190" priority="207" operator="equal">
      <formula>"rogue"</formula>
    </cfRule>
    <cfRule type="cellIs" dxfId="189" priority="208" operator="equal">
      <formula>"Guardian"</formula>
    </cfRule>
    <cfRule type="cellIs" dxfId="188" priority="209" operator="equal">
      <formula>"Survivor"</formula>
    </cfRule>
    <cfRule type="cellIs" dxfId="187" priority="210" operator="equal">
      <formula>"Mystic"</formula>
    </cfRule>
  </conditionalFormatting>
  <conditionalFormatting sqref="K152">
    <cfRule type="cellIs" dxfId="186" priority="199" operator="equal">
      <formula>"seeker"</formula>
    </cfRule>
    <cfRule type="cellIs" dxfId="185" priority="200" operator="equal">
      <formula>"neutral"</formula>
    </cfRule>
    <cfRule type="cellIs" dxfId="184" priority="201" operator="equal">
      <formula>"rogue"</formula>
    </cfRule>
    <cfRule type="cellIs" dxfId="183" priority="202" operator="equal">
      <formula>"Guardian"</formula>
    </cfRule>
    <cfRule type="cellIs" dxfId="182" priority="203" operator="equal">
      <formula>"Survivor"</formula>
    </cfRule>
    <cfRule type="cellIs" dxfId="181" priority="204" operator="equal">
      <formula>"Mystic"</formula>
    </cfRule>
  </conditionalFormatting>
  <conditionalFormatting sqref="AL152">
    <cfRule type="cellIs" dxfId="180" priority="193" operator="equal">
      <formula>"seeker"</formula>
    </cfRule>
    <cfRule type="cellIs" dxfId="179" priority="194" operator="equal">
      <formula>"neutral"</formula>
    </cfRule>
    <cfRule type="cellIs" dxfId="178" priority="195" operator="equal">
      <formula>"rogue"</formula>
    </cfRule>
    <cfRule type="cellIs" dxfId="177" priority="196" operator="equal">
      <formula>"Guardian"</formula>
    </cfRule>
    <cfRule type="cellIs" dxfId="176" priority="197" operator="equal">
      <formula>"Survivor"</formula>
    </cfRule>
    <cfRule type="cellIs" dxfId="175" priority="198" operator="equal">
      <formula>"Mystic"</formula>
    </cfRule>
  </conditionalFormatting>
  <conditionalFormatting sqref="K153">
    <cfRule type="cellIs" dxfId="174" priority="187" operator="equal">
      <formula>"seeker"</formula>
    </cfRule>
    <cfRule type="cellIs" dxfId="173" priority="188" operator="equal">
      <formula>"neutral"</formula>
    </cfRule>
    <cfRule type="cellIs" dxfId="172" priority="189" operator="equal">
      <formula>"rogue"</formula>
    </cfRule>
    <cfRule type="cellIs" dxfId="171" priority="190" operator="equal">
      <formula>"Guardian"</formula>
    </cfRule>
    <cfRule type="cellIs" dxfId="170" priority="191" operator="equal">
      <formula>"Survivor"</formula>
    </cfRule>
    <cfRule type="cellIs" dxfId="169" priority="192" operator="equal">
      <formula>"Mystic"</formula>
    </cfRule>
  </conditionalFormatting>
  <conditionalFormatting sqref="AL153">
    <cfRule type="cellIs" dxfId="168" priority="181" operator="equal">
      <formula>"seeker"</formula>
    </cfRule>
    <cfRule type="cellIs" dxfId="167" priority="182" operator="equal">
      <formula>"neutral"</formula>
    </cfRule>
    <cfRule type="cellIs" dxfId="166" priority="183" operator="equal">
      <formula>"rogue"</formula>
    </cfRule>
    <cfRule type="cellIs" dxfId="165" priority="184" operator="equal">
      <formula>"Guardian"</formula>
    </cfRule>
    <cfRule type="cellIs" dxfId="164" priority="185" operator="equal">
      <formula>"Survivor"</formula>
    </cfRule>
    <cfRule type="cellIs" dxfId="163" priority="186" operator="equal">
      <formula>"Mystic"</formula>
    </cfRule>
  </conditionalFormatting>
  <conditionalFormatting sqref="K154">
    <cfRule type="cellIs" dxfId="162" priority="175" operator="equal">
      <formula>"seeker"</formula>
    </cfRule>
    <cfRule type="cellIs" dxfId="161" priority="176" operator="equal">
      <formula>"neutral"</formula>
    </cfRule>
    <cfRule type="cellIs" dxfId="160" priority="177" operator="equal">
      <formula>"rogue"</formula>
    </cfRule>
    <cfRule type="cellIs" dxfId="159" priority="178" operator="equal">
      <formula>"Guardian"</formula>
    </cfRule>
    <cfRule type="cellIs" dxfId="158" priority="179" operator="equal">
      <formula>"Survivor"</formula>
    </cfRule>
    <cfRule type="cellIs" dxfId="157" priority="180" operator="equal">
      <formula>"Mystic"</formula>
    </cfRule>
  </conditionalFormatting>
  <conditionalFormatting sqref="AL154">
    <cfRule type="cellIs" dxfId="156" priority="169" operator="equal">
      <formula>"seeker"</formula>
    </cfRule>
    <cfRule type="cellIs" dxfId="155" priority="170" operator="equal">
      <formula>"neutral"</formula>
    </cfRule>
    <cfRule type="cellIs" dxfId="154" priority="171" operator="equal">
      <formula>"rogue"</formula>
    </cfRule>
    <cfRule type="cellIs" dxfId="153" priority="172" operator="equal">
      <formula>"Guardian"</formula>
    </cfRule>
    <cfRule type="cellIs" dxfId="152" priority="173" operator="equal">
      <formula>"Survivor"</formula>
    </cfRule>
    <cfRule type="cellIs" dxfId="151" priority="174" operator="equal">
      <formula>"Mystic"</formula>
    </cfRule>
  </conditionalFormatting>
  <conditionalFormatting sqref="K155">
    <cfRule type="cellIs" dxfId="150" priority="163" operator="equal">
      <formula>"seeker"</formula>
    </cfRule>
    <cfRule type="cellIs" dxfId="149" priority="164" operator="equal">
      <formula>"neutral"</formula>
    </cfRule>
    <cfRule type="cellIs" dxfId="148" priority="165" operator="equal">
      <formula>"rogue"</formula>
    </cfRule>
    <cfRule type="cellIs" dxfId="147" priority="166" operator="equal">
      <formula>"Guardian"</formula>
    </cfRule>
    <cfRule type="cellIs" dxfId="146" priority="167" operator="equal">
      <formula>"Survivor"</formula>
    </cfRule>
    <cfRule type="cellIs" dxfId="145" priority="168" operator="equal">
      <formula>"Mystic"</formula>
    </cfRule>
  </conditionalFormatting>
  <conditionalFormatting sqref="AL155">
    <cfRule type="cellIs" dxfId="144" priority="157" operator="equal">
      <formula>"seeker"</formula>
    </cfRule>
    <cfRule type="cellIs" dxfId="143" priority="158" operator="equal">
      <formula>"neutral"</formula>
    </cfRule>
    <cfRule type="cellIs" dxfId="142" priority="159" operator="equal">
      <formula>"rogue"</formula>
    </cfRule>
    <cfRule type="cellIs" dxfId="141" priority="160" operator="equal">
      <formula>"Guardian"</formula>
    </cfRule>
    <cfRule type="cellIs" dxfId="140" priority="161" operator="equal">
      <formula>"Survivor"</formula>
    </cfRule>
    <cfRule type="cellIs" dxfId="139" priority="162" operator="equal">
      <formula>"Mystic"</formula>
    </cfRule>
  </conditionalFormatting>
  <conditionalFormatting sqref="K156">
    <cfRule type="cellIs" dxfId="138" priority="151" operator="equal">
      <formula>"seeker"</formula>
    </cfRule>
    <cfRule type="cellIs" dxfId="137" priority="152" operator="equal">
      <formula>"neutral"</formula>
    </cfRule>
    <cfRule type="cellIs" dxfId="136" priority="153" operator="equal">
      <formula>"rogue"</formula>
    </cfRule>
    <cfRule type="cellIs" dxfId="135" priority="154" operator="equal">
      <formula>"Guardian"</formula>
    </cfRule>
    <cfRule type="cellIs" dxfId="134" priority="155" operator="equal">
      <formula>"Survivor"</formula>
    </cfRule>
    <cfRule type="cellIs" dxfId="133" priority="156" operator="equal">
      <formula>"Mystic"</formula>
    </cfRule>
  </conditionalFormatting>
  <conditionalFormatting sqref="AL156">
    <cfRule type="cellIs" dxfId="132" priority="145" operator="equal">
      <formula>"seeker"</formula>
    </cfRule>
    <cfRule type="cellIs" dxfId="131" priority="146" operator="equal">
      <formula>"neutral"</formula>
    </cfRule>
    <cfRule type="cellIs" dxfId="130" priority="147" operator="equal">
      <formula>"rogue"</formula>
    </cfRule>
    <cfRule type="cellIs" dxfId="129" priority="148" operator="equal">
      <formula>"Guardian"</formula>
    </cfRule>
    <cfRule type="cellIs" dxfId="128" priority="149" operator="equal">
      <formula>"Survivor"</formula>
    </cfRule>
    <cfRule type="cellIs" dxfId="127" priority="150" operator="equal">
      <formula>"Mystic"</formula>
    </cfRule>
  </conditionalFormatting>
  <conditionalFormatting sqref="K169">
    <cfRule type="cellIs" dxfId="126" priority="139" operator="equal">
      <formula>"seeker"</formula>
    </cfRule>
    <cfRule type="cellIs" dxfId="125" priority="140" operator="equal">
      <formula>"neutral"</formula>
    </cfRule>
    <cfRule type="cellIs" dxfId="124" priority="141" operator="equal">
      <formula>"rogue"</formula>
    </cfRule>
    <cfRule type="cellIs" dxfId="123" priority="142" operator="equal">
      <formula>"Guardian"</formula>
    </cfRule>
    <cfRule type="cellIs" dxfId="122" priority="143" operator="equal">
      <formula>"Survivor"</formula>
    </cfRule>
    <cfRule type="cellIs" dxfId="121" priority="144" operator="equal">
      <formula>"Mystic"</formula>
    </cfRule>
  </conditionalFormatting>
  <conditionalFormatting sqref="AK189">
    <cfRule type="cellIs" dxfId="120" priority="127" operator="equal">
      <formula>"Seeker"</formula>
    </cfRule>
    <cfRule type="cellIs" dxfId="119" priority="128" operator="equal">
      <formula>"Neutral"</formula>
    </cfRule>
    <cfRule type="cellIs" dxfId="118" priority="129" operator="equal">
      <formula>"Rogue"</formula>
    </cfRule>
    <cfRule type="cellIs" dxfId="117" priority="130" operator="equal">
      <formula>"Guardian"</formula>
    </cfRule>
    <cfRule type="cellIs" dxfId="116" priority="131" operator="equal">
      <formula>"Survivor"</formula>
    </cfRule>
    <cfRule type="cellIs" dxfId="115" priority="132" operator="equal">
      <formula>"Mystic"</formula>
    </cfRule>
  </conditionalFormatting>
  <conditionalFormatting sqref="AL190">
    <cfRule type="cellIs" dxfId="114" priority="121" operator="equal">
      <formula>"seeker"</formula>
    </cfRule>
    <cfRule type="cellIs" dxfId="113" priority="122" operator="equal">
      <formula>"neutral"</formula>
    </cfRule>
    <cfRule type="cellIs" dxfId="112" priority="123" operator="equal">
      <formula>"rogue"</formula>
    </cfRule>
    <cfRule type="cellIs" dxfId="111" priority="124" operator="equal">
      <formula>"Guardian"</formula>
    </cfRule>
    <cfRule type="cellIs" dxfId="110" priority="125" operator="equal">
      <formula>"Survivor"</formula>
    </cfRule>
    <cfRule type="cellIs" dxfId="109" priority="126" operator="equal">
      <formula>"Mystic"</formula>
    </cfRule>
  </conditionalFormatting>
  <conditionalFormatting sqref="AL192">
    <cfRule type="cellIs" dxfId="108" priority="115" operator="equal">
      <formula>"seeker"</formula>
    </cfRule>
    <cfRule type="cellIs" dxfId="107" priority="116" operator="equal">
      <formula>"neutral"</formula>
    </cfRule>
    <cfRule type="cellIs" dxfId="106" priority="117" operator="equal">
      <formula>"rogue"</formula>
    </cfRule>
    <cfRule type="cellIs" dxfId="105" priority="118" operator="equal">
      <formula>"Guardian"</formula>
    </cfRule>
    <cfRule type="cellIs" dxfId="104" priority="119" operator="equal">
      <formula>"Survivor"</formula>
    </cfRule>
    <cfRule type="cellIs" dxfId="103" priority="120" operator="equal">
      <formula>"Mystic"</formula>
    </cfRule>
  </conditionalFormatting>
  <conditionalFormatting sqref="K193">
    <cfRule type="cellIs" dxfId="102" priority="109" operator="equal">
      <formula>"seeker"</formula>
    </cfRule>
    <cfRule type="cellIs" dxfId="101" priority="110" operator="equal">
      <formula>"neutral"</formula>
    </cfRule>
    <cfRule type="cellIs" dxfId="100" priority="111" operator="equal">
      <formula>"rogue"</formula>
    </cfRule>
    <cfRule type="cellIs" dxfId="99" priority="112" operator="equal">
      <formula>"Guardian"</formula>
    </cfRule>
    <cfRule type="cellIs" dxfId="98" priority="113" operator="equal">
      <formula>"Survivor"</formula>
    </cfRule>
    <cfRule type="cellIs" dxfId="97" priority="114" operator="equal">
      <formula>"Mystic"</formula>
    </cfRule>
  </conditionalFormatting>
  <conditionalFormatting sqref="AL194">
    <cfRule type="cellIs" dxfId="96" priority="103" operator="equal">
      <formula>"seeker"</formula>
    </cfRule>
    <cfRule type="cellIs" dxfId="95" priority="104" operator="equal">
      <formula>"neutral"</formula>
    </cfRule>
    <cfRule type="cellIs" dxfId="94" priority="105" operator="equal">
      <formula>"rogue"</formula>
    </cfRule>
    <cfRule type="cellIs" dxfId="93" priority="106" operator="equal">
      <formula>"Guardian"</formula>
    </cfRule>
    <cfRule type="cellIs" dxfId="92" priority="107" operator="equal">
      <formula>"Survivor"</formula>
    </cfRule>
    <cfRule type="cellIs" dxfId="91" priority="108" operator="equal">
      <formula>"Mystic"</formula>
    </cfRule>
  </conditionalFormatting>
  <conditionalFormatting sqref="AL193">
    <cfRule type="cellIs" dxfId="90" priority="97" operator="equal">
      <formula>"seeker"</formula>
    </cfRule>
    <cfRule type="cellIs" dxfId="89" priority="98" operator="equal">
      <formula>"neutral"</formula>
    </cfRule>
    <cfRule type="cellIs" dxfId="88" priority="99" operator="equal">
      <formula>"rogue"</formula>
    </cfRule>
    <cfRule type="cellIs" dxfId="87" priority="100" operator="equal">
      <formula>"Guardian"</formula>
    </cfRule>
    <cfRule type="cellIs" dxfId="86" priority="101" operator="equal">
      <formula>"Survivor"</formula>
    </cfRule>
    <cfRule type="cellIs" dxfId="85" priority="102" operator="equal">
      <formula>"Mystic"</formula>
    </cfRule>
  </conditionalFormatting>
  <conditionalFormatting sqref="AK3">
    <cfRule type="cellIs" dxfId="84" priority="91" operator="equal">
      <formula>"Seeker"</formula>
    </cfRule>
    <cfRule type="cellIs" dxfId="83" priority="92" operator="equal">
      <formula>"Neutral"</formula>
    </cfRule>
    <cfRule type="cellIs" dxfId="82" priority="93" operator="equal">
      <formula>"Rogue"</formula>
    </cfRule>
    <cfRule type="cellIs" dxfId="81" priority="94" operator="equal">
      <formula>"Guardian"</formula>
    </cfRule>
    <cfRule type="cellIs" dxfId="80" priority="95" operator="equal">
      <formula>"Survivor"</formula>
    </cfRule>
    <cfRule type="cellIs" dxfId="79" priority="96" operator="equal">
      <formula>"Mystic"</formula>
    </cfRule>
  </conditionalFormatting>
  <conditionalFormatting sqref="AK4">
    <cfRule type="cellIs" dxfId="78" priority="85" operator="equal">
      <formula>"Seeker"</formula>
    </cfRule>
    <cfRule type="cellIs" dxfId="77" priority="86" operator="equal">
      <formula>"Neutral"</formula>
    </cfRule>
    <cfRule type="cellIs" dxfId="76" priority="87" operator="equal">
      <formula>"Rogue"</formula>
    </cfRule>
    <cfRule type="cellIs" dxfId="75" priority="88" operator="equal">
      <formula>"Guardian"</formula>
    </cfRule>
    <cfRule type="cellIs" dxfId="74" priority="89" operator="equal">
      <formula>"Survivor"</formula>
    </cfRule>
    <cfRule type="cellIs" dxfId="73" priority="90" operator="equal">
      <formula>"Mystic"</formula>
    </cfRule>
  </conditionalFormatting>
  <conditionalFormatting sqref="AK5">
    <cfRule type="cellIs" dxfId="72" priority="79" operator="equal">
      <formula>"Seeker"</formula>
    </cfRule>
    <cfRule type="cellIs" dxfId="71" priority="80" operator="equal">
      <formula>"Neutral"</formula>
    </cfRule>
    <cfRule type="cellIs" dxfId="70" priority="81" operator="equal">
      <formula>"Rogue"</formula>
    </cfRule>
    <cfRule type="cellIs" dxfId="69" priority="82" operator="equal">
      <formula>"Guardian"</formula>
    </cfRule>
    <cfRule type="cellIs" dxfId="68" priority="83" operator="equal">
      <formula>"Survivor"</formula>
    </cfRule>
    <cfRule type="cellIs" dxfId="67" priority="84" operator="equal">
      <formula>"Mystic"</formula>
    </cfRule>
  </conditionalFormatting>
  <conditionalFormatting sqref="AK6">
    <cfRule type="cellIs" dxfId="66" priority="73" operator="equal">
      <formula>"Seeker"</formula>
    </cfRule>
    <cfRule type="cellIs" dxfId="65" priority="74" operator="equal">
      <formula>"Neutral"</formula>
    </cfRule>
    <cfRule type="cellIs" dxfId="64" priority="75" operator="equal">
      <formula>"Rogue"</formula>
    </cfRule>
    <cfRule type="cellIs" dxfId="63" priority="76" operator="equal">
      <formula>"Guardian"</formula>
    </cfRule>
    <cfRule type="cellIs" dxfId="62" priority="77" operator="equal">
      <formula>"Survivor"</formula>
    </cfRule>
    <cfRule type="cellIs" dxfId="61" priority="78" operator="equal">
      <formula>"Mystic"</formula>
    </cfRule>
  </conditionalFormatting>
  <conditionalFormatting sqref="AK122">
    <cfRule type="cellIs" dxfId="60" priority="67" operator="equal">
      <formula>"Seeker"</formula>
    </cfRule>
    <cfRule type="cellIs" dxfId="59" priority="68" operator="equal">
      <formula>"Neutral"</formula>
    </cfRule>
    <cfRule type="cellIs" dxfId="58" priority="69" operator="equal">
      <formula>"Rogue"</formula>
    </cfRule>
    <cfRule type="cellIs" dxfId="57" priority="70" operator="equal">
      <formula>"Guardian"</formula>
    </cfRule>
    <cfRule type="cellIs" dxfId="56" priority="71" operator="equal">
      <formula>"Survivor"</formula>
    </cfRule>
    <cfRule type="cellIs" dxfId="55" priority="72" operator="equal">
      <formula>"Mystic"</formula>
    </cfRule>
  </conditionalFormatting>
  <conditionalFormatting sqref="AL250">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L251">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252">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L253">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249">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L380:AL384">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0:K384">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L232">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232">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C78" sqref="C78"/>
    </sheetView>
  </sheetViews>
  <sheetFormatPr baseColWidth="10"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84">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60">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60">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60">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60">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84">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96">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72">
      <c r="A908" s="3" t="s">
        <v>3821</v>
      </c>
      <c r="B908" s="5" t="s">
        <v>3492</v>
      </c>
      <c r="C908" s="3"/>
    </row>
    <row r="909" spans="1:3" ht="132">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96">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20">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68">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68">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72">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16">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80">
      <c r="A1005" s="3" t="s">
        <v>3832</v>
      </c>
      <c r="B1005" s="3" t="s">
        <v>1962</v>
      </c>
      <c r="C1005" s="3"/>
    </row>
    <row r="1006" spans="1:3" ht="120">
      <c r="A1006" s="3" t="s">
        <v>1226</v>
      </c>
      <c r="B1006" s="5" t="s">
        <v>2510</v>
      </c>
      <c r="C1006" s="3"/>
    </row>
    <row r="1007" spans="1:3" ht="120">
      <c r="A1007" s="3" t="s">
        <v>1227</v>
      </c>
      <c r="B1007" s="5" t="s">
        <v>2511</v>
      </c>
      <c r="C1007" s="3"/>
    </row>
    <row r="1008" spans="1:3" ht="84">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96">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56">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68">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04">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20">
      <c r="A1086" s="3" t="s">
        <v>4020</v>
      </c>
      <c r="B1086" s="5" t="s">
        <v>4021</v>
      </c>
      <c r="C1086" s="3"/>
    </row>
    <row r="1087" spans="1:3" ht="108">
      <c r="A1087" s="3" t="s">
        <v>4022</v>
      </c>
      <c r="B1087" s="5" t="s">
        <v>4023</v>
      </c>
      <c r="C1087" s="3"/>
    </row>
    <row r="1088" spans="1:3" ht="120">
      <c r="A1088" s="3" t="s">
        <v>4024</v>
      </c>
      <c r="B1088" s="5" t="s">
        <v>4025</v>
      </c>
      <c r="C1088" s="3"/>
    </row>
    <row r="1089" spans="1:3" ht="84">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84">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08">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56">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72">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60">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84">
      <c r="A1440" s="3" t="s">
        <v>3896</v>
      </c>
      <c r="B1440" s="5" t="s">
        <v>3550</v>
      </c>
      <c r="C1440" s="3"/>
    </row>
    <row r="1441" spans="1:3" ht="108">
      <c r="A1441" s="3" t="s">
        <v>3897</v>
      </c>
      <c r="B1441" s="5" t="s">
        <v>3551</v>
      </c>
      <c r="C1441" s="3"/>
    </row>
    <row r="1442" spans="1:3" ht="108">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60">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20">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20">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20">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5" sqref="B5"/>
    </sheetView>
  </sheetViews>
  <sheetFormatPr baseColWidth="10" defaultColWidth="9.140625"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baseColWidth="10"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baseColWidth="10"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FAQ!Impression_des_titres</vt:lpstr>
      <vt:lpstr>SymbolTable</vt:lpstr>
      <vt:lpstr>UseSymbols</vt:lpstr>
      <vt:lpstr>YesNo</vt:lpstr>
      <vt:lpstr>FAQ!Zone_d_impression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Guillaume Couteau</cp:lastModifiedBy>
  <cp:lastPrinted>2014-08-03T08:06:29Z</cp:lastPrinted>
  <dcterms:created xsi:type="dcterms:W3CDTF">2014-06-30T14:14:02Z</dcterms:created>
  <dcterms:modified xsi:type="dcterms:W3CDTF">2017-03-17T22:24:29Z</dcterms:modified>
</cp:coreProperties>
</file>