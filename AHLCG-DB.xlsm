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5" yWindow="240" windowWidth="20175" windowHeight="1110"/>
  </bookViews>
  <sheets>
    <sheet name="Sets" sheetId="2" r:id="rId1"/>
    <sheet name="Card Data" sheetId="1" r:id="rId2"/>
    <sheet name="Special Characters" sheetId="7" r:id="rId3"/>
    <sheet name="Tables" sheetId="4" state="hidden" r:id="rId4"/>
    <sheet name="Sheet2" sheetId="6" state="hidden" r:id="rId5"/>
  </sheets>
  <functionGroups builtInGroupCount="17"/>
  <definedNames>
    <definedName name="_xlnm._FilterDatabase" localSheetId="1" hidden="1">'Card Data'!$A$1:$BH$5</definedName>
    <definedName name="GameGUID">Sets!$A$2</definedName>
    <definedName name="GameVersion">Sets!$C$2</definedName>
    <definedName name="SymbolTable">Tables!$C$1:$D$11</definedName>
    <definedName name="UseSymbols">#REF!</definedName>
    <definedName name="YesNo">Tables!$A$1:$A$2</definedName>
  </definedNames>
  <calcPr calcId="145621" calcMode="manual"/>
</workbook>
</file>

<file path=xl/calcChain.xml><?xml version="1.0" encoding="utf-8"?>
<calcChain xmlns="http://schemas.openxmlformats.org/spreadsheetml/2006/main">
  <c r="AA31" i="2" l="1"/>
  <c r="Z31" i="2"/>
  <c r="Y31" i="2"/>
  <c r="X31" i="2"/>
  <c r="W31" i="2"/>
  <c r="V31" i="2"/>
  <c r="T31" i="2"/>
  <c r="S31" i="2"/>
  <c r="R31" i="2"/>
  <c r="Q31" i="2"/>
  <c r="P31" i="2"/>
  <c r="O31" i="2"/>
  <c r="N31" i="2"/>
  <c r="L31" i="2"/>
  <c r="K31" i="2"/>
  <c r="J31" i="2"/>
  <c r="I31" i="2" s="1"/>
  <c r="H31" i="2"/>
  <c r="G31" i="2"/>
  <c r="Z29" i="2"/>
  <c r="AA30" i="2"/>
  <c r="Z30" i="2"/>
  <c r="Y30" i="2"/>
  <c r="X30" i="2"/>
  <c r="W30" i="2"/>
  <c r="V30" i="2"/>
  <c r="T30" i="2"/>
  <c r="S30" i="2"/>
  <c r="R30" i="2"/>
  <c r="Q30" i="2"/>
  <c r="P30" i="2"/>
  <c r="O30" i="2"/>
  <c r="N30" i="2"/>
  <c r="L30" i="2"/>
  <c r="K30" i="2"/>
  <c r="J30" i="2"/>
  <c r="I30" i="2" s="1"/>
  <c r="H30" i="2"/>
  <c r="G30" i="2"/>
  <c r="AA29" i="2" l="1"/>
  <c r="AA28" i="2"/>
  <c r="Z28" i="2"/>
  <c r="Y29" i="2"/>
  <c r="Y28" i="2"/>
  <c r="X29" i="2"/>
  <c r="X28" i="2"/>
  <c r="W29" i="2"/>
  <c r="W28" i="2"/>
  <c r="V29" i="2"/>
  <c r="V28" i="2"/>
  <c r="T29" i="2"/>
  <c r="T28" i="2"/>
  <c r="S29" i="2"/>
  <c r="S28" i="2"/>
  <c r="R29" i="2"/>
  <c r="R28" i="2"/>
  <c r="Q29" i="2"/>
  <c r="Q28" i="2"/>
  <c r="P29" i="2"/>
  <c r="P28" i="2"/>
  <c r="O29" i="2"/>
  <c r="O28" i="2"/>
  <c r="N29" i="2"/>
  <c r="N28" i="2"/>
  <c r="L29" i="2"/>
  <c r="L28" i="2"/>
  <c r="K29" i="2"/>
  <c r="K28" i="2"/>
  <c r="J29" i="2"/>
  <c r="I29" i="2" s="1"/>
  <c r="J28" i="2"/>
  <c r="I28" i="2" s="1"/>
  <c r="H29" i="2"/>
  <c r="H28" i="2"/>
  <c r="G29" i="2"/>
  <c r="G28" i="2"/>
  <c r="AA27" i="2" l="1"/>
  <c r="Z27" i="2"/>
  <c r="Y27" i="2"/>
  <c r="X27" i="2"/>
  <c r="W27" i="2"/>
  <c r="V27" i="2"/>
  <c r="S27" i="2"/>
  <c r="T27" i="2"/>
  <c r="R27" i="2"/>
  <c r="Q27" i="2"/>
  <c r="P27" i="2"/>
  <c r="O27" i="2"/>
  <c r="N27" i="2"/>
  <c r="L27" i="2"/>
  <c r="K27" i="2"/>
  <c r="J27" i="2"/>
  <c r="I27" i="2" s="1"/>
  <c r="H27" i="2"/>
  <c r="G27" i="2"/>
  <c r="AA26" i="2" l="1"/>
  <c r="Z26" i="2"/>
  <c r="Y26" i="2"/>
  <c r="X26" i="2"/>
  <c r="W26" i="2"/>
  <c r="V26" i="2"/>
  <c r="Q26" i="2"/>
  <c r="T26" i="2"/>
  <c r="S26" i="2"/>
  <c r="R26" i="2"/>
  <c r="P26" i="2"/>
  <c r="O26" i="2"/>
  <c r="N26" i="2"/>
  <c r="L26" i="2"/>
  <c r="K26" i="2"/>
  <c r="J26" i="2"/>
  <c r="I26" i="2" s="1"/>
  <c r="G25" i="2"/>
  <c r="H25" i="2"/>
  <c r="H26" i="2"/>
  <c r="G26" i="2"/>
  <c r="AA25" i="2"/>
  <c r="Y25" i="2"/>
  <c r="Z25" i="2"/>
  <c r="X25" i="2"/>
  <c r="W25" i="2"/>
  <c r="V25" i="2"/>
  <c r="T25" i="2"/>
  <c r="S25" i="2"/>
  <c r="R25" i="2"/>
  <c r="Q25" i="2"/>
  <c r="P25" i="2"/>
  <c r="O25" i="2"/>
  <c r="N25" i="2"/>
  <c r="L25" i="2"/>
  <c r="K25" i="2"/>
  <c r="J25" i="2"/>
  <c r="I25" i="2" s="1"/>
  <c r="Y24" i="2" l="1"/>
  <c r="Z24" i="2"/>
  <c r="AA24" i="2"/>
  <c r="X24" i="2"/>
  <c r="W24" i="2"/>
  <c r="V24" i="2"/>
  <c r="T24" i="2"/>
  <c r="S24" i="2"/>
  <c r="R24" i="2"/>
  <c r="Q24" i="2"/>
  <c r="P24" i="2"/>
  <c r="O24" i="2"/>
  <c r="N24" i="2"/>
  <c r="L24" i="2"/>
  <c r="K24" i="2"/>
  <c r="J24" i="2"/>
  <c r="I24" i="2" s="1"/>
  <c r="H24" i="2"/>
  <c r="G24" i="2"/>
  <c r="L20" i="2" l="1"/>
  <c r="K20" i="2"/>
  <c r="J20" i="2"/>
  <c r="I20" i="2" s="1"/>
  <c r="H20" i="2"/>
  <c r="G20" i="2"/>
  <c r="AA20" i="2"/>
  <c r="AA19" i="2"/>
  <c r="Z19" i="2"/>
  <c r="Y19" i="2"/>
  <c r="X19" i="2"/>
  <c r="W19" i="2"/>
  <c r="V19" i="2"/>
  <c r="T19" i="2"/>
  <c r="S19" i="2"/>
  <c r="R19" i="2"/>
  <c r="Q19" i="2"/>
  <c r="P19" i="2"/>
  <c r="O19" i="2"/>
  <c r="L19" i="2"/>
  <c r="K19" i="2"/>
  <c r="J19" i="2"/>
  <c r="I19" i="2" s="1"/>
  <c r="H19" i="2"/>
  <c r="G19" i="2"/>
  <c r="L18" i="2"/>
  <c r="K18" i="2"/>
  <c r="J18" i="2"/>
  <c r="I18" i="2" s="1"/>
  <c r="H18" i="2"/>
  <c r="G18" i="2"/>
  <c r="L17" i="2"/>
  <c r="K17" i="2"/>
  <c r="J17" i="2"/>
  <c r="I17" i="2" s="1"/>
  <c r="H17" i="2"/>
  <c r="G17" i="2"/>
  <c r="AA21" i="2"/>
  <c r="Z21" i="2"/>
  <c r="Y21" i="2"/>
  <c r="X21" i="2"/>
  <c r="W21" i="2"/>
  <c r="V21" i="2"/>
  <c r="T21" i="2"/>
  <c r="S21" i="2"/>
  <c r="R21" i="2"/>
  <c r="Q21" i="2"/>
  <c r="P21" i="2"/>
  <c r="O21" i="2"/>
  <c r="N21" i="2"/>
  <c r="L21" i="2"/>
  <c r="K21" i="2"/>
  <c r="J21" i="2"/>
  <c r="I21" i="2" s="1"/>
  <c r="H21" i="2"/>
  <c r="G21" i="2"/>
  <c r="AA22" i="2"/>
  <c r="Z22" i="2"/>
  <c r="Y22" i="2"/>
  <c r="X22" i="2"/>
  <c r="W22" i="2"/>
  <c r="V22" i="2"/>
  <c r="T22" i="2"/>
  <c r="S22" i="2"/>
  <c r="R22" i="2"/>
  <c r="Q22" i="2"/>
  <c r="P22" i="2"/>
  <c r="O22" i="2"/>
  <c r="N22" i="2"/>
  <c r="L22" i="2"/>
  <c r="K22" i="2"/>
  <c r="J22" i="2"/>
  <c r="I22" i="2" s="1"/>
  <c r="H22" i="2"/>
  <c r="G22" i="2"/>
  <c r="AA23" i="2"/>
  <c r="Z23" i="2"/>
  <c r="Y23" i="2"/>
  <c r="X23" i="2"/>
  <c r="W23" i="2"/>
  <c r="V23" i="2"/>
  <c r="T23" i="2"/>
  <c r="S23" i="2"/>
  <c r="R23" i="2"/>
  <c r="Q23" i="2"/>
  <c r="P23" i="2"/>
  <c r="O23" i="2"/>
  <c r="N23" i="2"/>
  <c r="L23" i="2"/>
  <c r="K23" i="2"/>
  <c r="J23" i="2"/>
  <c r="I23" i="2" s="1"/>
  <c r="H23" i="2"/>
  <c r="G23" i="2"/>
  <c r="N17" i="2" l="1"/>
  <c r="O17" i="2"/>
  <c r="P17" i="2"/>
  <c r="Q17" i="2"/>
  <c r="R17" i="2"/>
  <c r="S17" i="2"/>
  <c r="T17" i="2"/>
  <c r="V17" i="2"/>
  <c r="W17" i="2"/>
  <c r="X17" i="2"/>
  <c r="Y17" i="2"/>
  <c r="Z17" i="2"/>
  <c r="AA17" i="2"/>
  <c r="N18" i="2"/>
  <c r="O18" i="2"/>
  <c r="P18" i="2"/>
  <c r="Q18" i="2"/>
  <c r="R18" i="2"/>
  <c r="S18" i="2"/>
  <c r="T18" i="2"/>
  <c r="V18" i="2"/>
  <c r="W18" i="2"/>
  <c r="X18" i="2"/>
  <c r="Y18" i="2"/>
  <c r="Z18" i="2"/>
  <c r="AA18" i="2"/>
  <c r="N19" i="2"/>
  <c r="N20" i="2"/>
  <c r="O20" i="2"/>
  <c r="P20" i="2"/>
  <c r="Q20" i="2"/>
  <c r="R20" i="2"/>
  <c r="S20" i="2"/>
  <c r="T20" i="2"/>
  <c r="V20" i="2"/>
  <c r="W20" i="2"/>
  <c r="X20" i="2"/>
  <c r="Y20" i="2"/>
  <c r="Z20" i="2"/>
  <c r="G16" i="2" l="1"/>
  <c r="H16" i="2"/>
  <c r="J16" i="2"/>
  <c r="I16" i="2" s="1"/>
  <c r="K16" i="2"/>
  <c r="L16" i="2"/>
  <c r="N16" i="2"/>
  <c r="O16" i="2"/>
  <c r="P16" i="2"/>
  <c r="Q16" i="2"/>
  <c r="R16" i="2"/>
  <c r="S16" i="2"/>
  <c r="T16" i="2"/>
  <c r="V16" i="2"/>
  <c r="W16" i="2"/>
  <c r="X16" i="2"/>
  <c r="Y16" i="2"/>
  <c r="Z16" i="2"/>
  <c r="AA16" i="2"/>
  <c r="J15" i="2" l="1"/>
  <c r="I15" i="2" s="1"/>
  <c r="G15" i="2"/>
  <c r="H15" i="2"/>
  <c r="AA15" i="2"/>
  <c r="Z15" i="2"/>
  <c r="Y15" i="2"/>
  <c r="X15" i="2"/>
  <c r="W15" i="2"/>
  <c r="V15" i="2"/>
  <c r="T15" i="2"/>
  <c r="S15" i="2"/>
  <c r="R15" i="2"/>
  <c r="Q15" i="2"/>
  <c r="P15" i="2"/>
  <c r="O15" i="2"/>
  <c r="N15" i="2"/>
  <c r="L15" i="2"/>
  <c r="K15" i="2"/>
  <c r="H10" i="2" l="1"/>
  <c r="H11" i="2"/>
  <c r="H12" i="2"/>
  <c r="H13" i="2"/>
  <c r="H14" i="2"/>
  <c r="G14" i="2"/>
  <c r="J14" i="2"/>
  <c r="I14" i="2" s="1"/>
  <c r="K14" i="2"/>
  <c r="L14" i="2"/>
  <c r="N14" i="2"/>
  <c r="O14" i="2"/>
  <c r="P14" i="2"/>
  <c r="Q14" i="2"/>
  <c r="R14" i="2"/>
  <c r="S14" i="2"/>
  <c r="T14" i="2"/>
  <c r="V14" i="2"/>
  <c r="W14" i="2"/>
  <c r="X14" i="2"/>
  <c r="Y14" i="2"/>
  <c r="Z14" i="2"/>
  <c r="AA14" i="2"/>
  <c r="H3" i="2" l="1"/>
  <c r="H9" i="2"/>
  <c r="G9" i="2"/>
  <c r="H8" i="2"/>
  <c r="H7" i="2"/>
  <c r="H6" i="2"/>
  <c r="H5" i="2"/>
  <c r="H4" i="2"/>
  <c r="J3" i="2"/>
  <c r="I3" i="2" s="1"/>
  <c r="G3" i="2"/>
  <c r="G8" i="2" l="1"/>
  <c r="J8" i="2"/>
  <c r="I8" i="2" s="1"/>
  <c r="K8" i="2"/>
  <c r="L8" i="2"/>
  <c r="N8" i="2"/>
  <c r="O8" i="2"/>
  <c r="P8" i="2"/>
  <c r="Q8" i="2"/>
  <c r="R8" i="2"/>
  <c r="S8" i="2"/>
  <c r="T8" i="2"/>
  <c r="V8" i="2"/>
  <c r="W8" i="2"/>
  <c r="X8" i="2"/>
  <c r="Y8" i="2"/>
  <c r="Z8" i="2"/>
  <c r="AA8" i="2"/>
  <c r="J9" i="2"/>
  <c r="I9" i="2" s="1"/>
  <c r="K9" i="2"/>
  <c r="L9" i="2"/>
  <c r="N9" i="2"/>
  <c r="O9" i="2"/>
  <c r="P9" i="2"/>
  <c r="Q9" i="2"/>
  <c r="R9" i="2"/>
  <c r="S9" i="2"/>
  <c r="T9" i="2"/>
  <c r="V9" i="2"/>
  <c r="W9" i="2"/>
  <c r="X9" i="2"/>
  <c r="Y9" i="2"/>
  <c r="Z9" i="2"/>
  <c r="AA9" i="2"/>
  <c r="G6" i="2" l="1"/>
  <c r="J6" i="2"/>
  <c r="I6" i="2" s="1"/>
  <c r="K6" i="2"/>
  <c r="L6" i="2"/>
  <c r="N6" i="2"/>
  <c r="O6" i="2"/>
  <c r="P6" i="2"/>
  <c r="Q6" i="2"/>
  <c r="R6" i="2"/>
  <c r="S6" i="2"/>
  <c r="T6" i="2"/>
  <c r="V6" i="2"/>
  <c r="W6" i="2"/>
  <c r="X6" i="2"/>
  <c r="Y6" i="2"/>
  <c r="Z6" i="2"/>
  <c r="AA6" i="2"/>
  <c r="G7" i="2"/>
  <c r="J7" i="2"/>
  <c r="I7" i="2" s="1"/>
  <c r="K7" i="2"/>
  <c r="L7" i="2"/>
  <c r="N7" i="2"/>
  <c r="O7" i="2"/>
  <c r="P7" i="2"/>
  <c r="Q7" i="2"/>
  <c r="R7" i="2"/>
  <c r="S7" i="2"/>
  <c r="T7" i="2"/>
  <c r="V7" i="2"/>
  <c r="W7" i="2"/>
  <c r="X7" i="2"/>
  <c r="Y7" i="2"/>
  <c r="Z7" i="2"/>
  <c r="AA7" i="2"/>
  <c r="G10" i="2"/>
  <c r="J10" i="2"/>
  <c r="I10" i="2" s="1"/>
  <c r="K10" i="2"/>
  <c r="L10" i="2"/>
  <c r="N10" i="2"/>
  <c r="O10" i="2"/>
  <c r="P10" i="2"/>
  <c r="Q10" i="2"/>
  <c r="R10" i="2"/>
  <c r="S10" i="2"/>
  <c r="T10" i="2"/>
  <c r="V10" i="2"/>
  <c r="W10" i="2"/>
  <c r="X10" i="2"/>
  <c r="Y10" i="2"/>
  <c r="Z10" i="2"/>
  <c r="AA10" i="2"/>
  <c r="G11" i="2"/>
  <c r="J11" i="2"/>
  <c r="I11" i="2" s="1"/>
  <c r="K11" i="2"/>
  <c r="L11" i="2"/>
  <c r="N11" i="2"/>
  <c r="O11" i="2"/>
  <c r="P11" i="2"/>
  <c r="Q11" i="2"/>
  <c r="R11" i="2"/>
  <c r="S11" i="2"/>
  <c r="T11" i="2"/>
  <c r="V11" i="2"/>
  <c r="W11" i="2"/>
  <c r="X11" i="2"/>
  <c r="Y11" i="2"/>
  <c r="Z11" i="2"/>
  <c r="AA11" i="2"/>
  <c r="G12" i="2"/>
  <c r="J12" i="2"/>
  <c r="I12" i="2" s="1"/>
  <c r="K12" i="2"/>
  <c r="L12" i="2"/>
  <c r="N12" i="2"/>
  <c r="O12" i="2"/>
  <c r="P12" i="2"/>
  <c r="Q12" i="2"/>
  <c r="R12" i="2"/>
  <c r="S12" i="2"/>
  <c r="T12" i="2"/>
  <c r="V12" i="2"/>
  <c r="W12" i="2"/>
  <c r="X12" i="2"/>
  <c r="Y12" i="2"/>
  <c r="Z12" i="2"/>
  <c r="AA12" i="2"/>
  <c r="G13" i="2"/>
  <c r="J13" i="2"/>
  <c r="I13" i="2" s="1"/>
  <c r="K13" i="2"/>
  <c r="L13" i="2"/>
  <c r="N13" i="2"/>
  <c r="O13" i="2"/>
  <c r="P13" i="2"/>
  <c r="Q13" i="2"/>
  <c r="R13" i="2"/>
  <c r="S13" i="2"/>
  <c r="T13" i="2"/>
  <c r="V13" i="2"/>
  <c r="W13" i="2"/>
  <c r="X13" i="2"/>
  <c r="Y13" i="2"/>
  <c r="Z13" i="2"/>
  <c r="AA13" i="2"/>
  <c r="J5" i="2"/>
  <c r="I5" i="2" s="1"/>
  <c r="K5" i="2"/>
  <c r="L5" i="2"/>
  <c r="N5" i="2"/>
  <c r="O5" i="2"/>
  <c r="P5" i="2"/>
  <c r="Q5" i="2"/>
  <c r="R5" i="2"/>
  <c r="S5" i="2"/>
  <c r="T5" i="2"/>
  <c r="V5" i="2"/>
  <c r="W5" i="2"/>
  <c r="X5" i="2"/>
  <c r="Y5" i="2"/>
  <c r="Z5" i="2"/>
  <c r="AA5" i="2"/>
  <c r="G5" i="2"/>
  <c r="AA4" i="2" l="1"/>
  <c r="Z4" i="2"/>
  <c r="Y4" i="2"/>
  <c r="X4" i="2"/>
  <c r="W4" i="2"/>
  <c r="V4" i="2"/>
  <c r="T4" i="2"/>
  <c r="S4" i="2"/>
  <c r="R4" i="2"/>
  <c r="Q4" i="2"/>
  <c r="P4" i="2"/>
  <c r="O4" i="2"/>
  <c r="N4" i="2"/>
  <c r="L4" i="2"/>
  <c r="K4" i="2"/>
  <c r="J4" i="2"/>
  <c r="I4" i="2" s="1"/>
  <c r="G4" i="2"/>
  <c r="L3" i="2"/>
  <c r="K3" i="2"/>
  <c r="Z3" i="2"/>
  <c r="Y3" i="2"/>
  <c r="X3" i="2"/>
  <c r="W3" i="2"/>
  <c r="V3" i="2"/>
  <c r="Q3" i="2" l="1"/>
  <c r="P3" i="2"/>
  <c r="O3" i="2"/>
  <c r="N3" i="2"/>
  <c r="AA3" i="2" l="1"/>
  <c r="T3" i="2"/>
  <c r="S3" i="2"/>
  <c r="R3" i="2"/>
</calcChain>
</file>

<file path=xl/sharedStrings.xml><?xml version="1.0" encoding="utf-8"?>
<sst xmlns="http://schemas.openxmlformats.org/spreadsheetml/2006/main" count="17197" uniqueCount="5861">
  <si>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</si>
  <si>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</si>
  <si>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</si>
  <si>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</si>
  <si>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</si>
  <si>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</si>
  <si>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</si>
  <si>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</si>
  <si>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</si>
  <si>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</si>
  <si>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</si>
  <si>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</si>
  <si>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</si>
  <si>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</si>
  <si>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</si>
  <si>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</si>
  <si>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</si>
  <si>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</si>
  <si>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</si>
  <si>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</si>
  <si>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</si>
  <si>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</si>
  <si>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</si>
  <si>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t>
  </si>
  <si>
    <t/>
  </si>
  <si>
    <t>Ally</t>
  </si>
  <si>
    <t>Neutral</t>
  </si>
  <si>
    <t>Event</t>
  </si>
  <si>
    <t>Treachery</t>
  </si>
  <si>
    <t>Enemy</t>
  </si>
  <si>
    <t>Creature.</t>
  </si>
  <si>
    <t>Location</t>
  </si>
  <si>
    <t>X</t>
  </si>
  <si>
    <t>Quest</t>
  </si>
  <si>
    <t>Surge.</t>
  </si>
  <si>
    <t>Goblin. Orc.</t>
  </si>
  <si>
    <t>Doomed 1.</t>
  </si>
  <si>
    <t>Nightmare</t>
  </si>
  <si>
    <t>-</t>
  </si>
  <si>
    <t>Orc.</t>
  </si>
  <si>
    <t>Underground.</t>
  </si>
  <si>
    <t>Underground. Dark.</t>
  </si>
  <si>
    <t>Mordor. Orc.</t>
  </si>
  <si>
    <t>Flight from Moria</t>
  </si>
  <si>
    <t>Into the Pit</t>
  </si>
  <si>
    <t>The Seventh Level</t>
  </si>
  <si>
    <t>Underground. Hazard.</t>
  </si>
  <si>
    <t>Search for an Exit - 2A</t>
  </si>
  <si>
    <t>While Search for an Exit is the active quest card, only flip it to side 2B at the beginning of the staging step.</t>
  </si>
  <si>
    <t>id</t>
  </si>
  <si>
    <t>Core Set</t>
  </si>
  <si>
    <t>Censored</t>
  </si>
  <si>
    <t>No</t>
  </si>
  <si>
    <t>Yes</t>
  </si>
  <si>
    <t>Version</t>
  </si>
  <si>
    <t>Set order</t>
  </si>
  <si>
    <t>Card Number</t>
  </si>
  <si>
    <t>AA</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</si>
  <si>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</si>
  <si>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</si>
  <si>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</si>
  <si>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</si>
  <si>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</si>
  <si>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</si>
  <si>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</si>
  <si>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</si>
  <si>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</si>
  <si>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</si>
  <si>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</si>
  <si>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</si>
  <si>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</si>
  <si>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</si>
  <si>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</si>
  <si>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</si>
  <si>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</si>
  <si>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</si>
  <si>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</si>
  <si>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</si>
  <si>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</si>
  <si>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</si>
  <si>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</si>
  <si>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</si>
  <si>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</si>
  <si>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</si>
  <si>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</si>
  <si>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</si>
  <si>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</si>
  <si>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</si>
  <si>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</si>
  <si>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</si>
  <si>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</si>
  <si>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</si>
  <si>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</si>
  <si>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</si>
  <si>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</si>
  <si>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</si>
  <si>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</si>
  <si>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</si>
  <si>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</si>
  <si>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</si>
  <si>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</si>
  <si>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</si>
  <si>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</si>
  <si>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</si>
  <si>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</si>
  <si>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</si>
  <si>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</si>
  <si>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</si>
  <si>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</si>
  <si>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</si>
  <si>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</si>
  <si>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</si>
  <si>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</si>
  <si>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</si>
  <si>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</si>
  <si>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</si>
  <si>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</si>
  <si>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</si>
  <si>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</si>
  <si>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</si>
  <si>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</si>
  <si>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</si>
  <si>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</si>
  <si>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</si>
  <si>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</si>
  <si>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</si>
  <si>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</si>
  <si>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</si>
  <si>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</si>
  <si>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</si>
  <si>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</si>
  <si>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</si>
  <si>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</si>
  <si>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</si>
  <si>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</si>
  <si>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</si>
  <si>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</si>
  <si>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</si>
  <si>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</si>
  <si>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</si>
  <si>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</si>
  <si>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</si>
  <si>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</si>
  <si>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</si>
  <si>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</si>
  <si>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</si>
  <si>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</si>
  <si>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Damage</t>
  </si>
  <si>
    <t>Goblin Ambush - 2A</t>
  </si>
  <si>
    <t>Each Goblin enemy gets +1 $ for each resource on it. This ability does not stack with other copies of Western Hall.
Travel: Add 1 resource to each Goblin enemy in play.</t>
  </si>
  <si>
    <t>Flight from Moria - Nightmare</t>
  </si>
  <si>
    <t>Into the Pit - Nightmare</t>
  </si>
  <si>
    <t>The Seventh Level - Nightmare</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</si>
  <si>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</si>
  <si>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</si>
  <si>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</si>
  <si>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</si>
  <si>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</si>
  <si>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</si>
  <si>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</si>
  <si>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</si>
  <si>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</si>
  <si>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</si>
  <si>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</si>
  <si>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</si>
  <si>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</si>
  <si>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</si>
  <si>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</si>
  <si>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</si>
  <si>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</si>
  <si>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</si>
  <si>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</si>
  <si>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</si>
  <si>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</si>
  <si>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t>1.0.0</t>
  </si>
  <si>
    <t>Card Counts (with quantities)</t>
  </si>
  <si>
    <t>TOTAL CARDS</t>
  </si>
  <si>
    <t>Player Cards</t>
  </si>
  <si>
    <t>Encounter Cards</t>
  </si>
  <si>
    <t>Combat</t>
  </si>
  <si>
    <t>a6d114c7-2e2a-4896-ad8c-0330605c90bf</t>
  </si>
  <si>
    <t>Arkham Horror</t>
  </si>
  <si>
    <t>1.0.0.0</t>
  </si>
  <si>
    <t>0000f984-d06f-44cb-bf1c-d66a620acad8</t>
  </si>
  <si>
    <t>Roland Banks</t>
  </si>
  <si>
    <t>[Intellect]</t>
  </si>
  <si>
    <t>[Combat]</t>
  </si>
  <si>
    <t>[Agility]</t>
  </si>
  <si>
    <t>[Wild]</t>
  </si>
  <si>
    <t>[Skull]</t>
  </si>
  <si>
    <t>[Cultist]</t>
  </si>
  <si>
    <t>[Tablet]</t>
  </si>
  <si>
    <t>[ElderOne]</t>
  </si>
  <si>
    <t>[ElderSign]</t>
  </si>
  <si>
    <t>[Tentacle]</t>
  </si>
  <si>
    <t>Action</t>
  </si>
  <si>
    <t>Free Action</t>
  </si>
  <si>
    <t>Response</t>
  </si>
  <si>
    <t>Guardian</t>
  </si>
  <si>
    <t>Seeker</t>
  </si>
  <si>
    <t>Mystic</t>
  </si>
  <si>
    <t>Rogue</t>
  </si>
  <si>
    <t>Survivor</t>
  </si>
  <si>
    <t>Investigator</t>
  </si>
  <si>
    <t>ά</t>
  </si>
  <si>
    <t>έ</t>
  </si>
  <si>
    <t>ή</t>
  </si>
  <si>
    <t>ί</t>
  </si>
  <si>
    <t>ΰ</t>
  </si>
  <si>
    <t>α</t>
  </si>
  <si>
    <t>β</t>
  </si>
  <si>
    <t>γ</t>
  </si>
  <si>
    <t>δ</t>
  </si>
  <si>
    <t>ε</t>
  </si>
  <si>
    <t>ζ</t>
  </si>
  <si>
    <t>η</t>
  </si>
  <si>
    <t>θ</t>
  </si>
  <si>
    <t>ι</t>
  </si>
  <si>
    <t>κ</t>
  </si>
  <si>
    <t>λ</t>
  </si>
  <si>
    <t>μ</t>
  </si>
  <si>
    <t>ν</t>
  </si>
  <si>
    <t>ξ</t>
  </si>
  <si>
    <t>ο</t>
  </si>
  <si>
    <t xml:space="preserve">π </t>
  </si>
  <si>
    <t>Class</t>
  </si>
  <si>
    <t>Subtitle</t>
  </si>
  <si>
    <t>The Fed</t>
  </si>
  <si>
    <t>Agency. Detective.</t>
  </si>
  <si>
    <t>Level</t>
  </si>
  <si>
    <t>Skill Icons</t>
  </si>
  <si>
    <t>Intellect</t>
  </si>
  <si>
    <t>Agility</t>
  </si>
  <si>
    <t>Subtype</t>
  </si>
  <si>
    <t>Sanity</t>
  </si>
  <si>
    <t>Horror</t>
  </si>
  <si>
    <t>Shroud</t>
  </si>
  <si>
    <t>Doom</t>
  </si>
  <si>
    <t>Flavor</t>
  </si>
  <si>
    <t>ι After you defeat an enemy: Discover 1 clue at your location. (Limit once per round.)_x000D_
ε effect: +1 for each clue on your location.</t>
  </si>
  <si>
    <t>Daisy Walker</t>
  </si>
  <si>
    <t>The Librarian</t>
  </si>
  <si>
    <t>Miskatonic.</t>
  </si>
  <si>
    <t>You may take an additional action during your turn, which can only be used on Tome η abilities._x000D_
ε effect: +0. If you succeed, draw 1 card for each Tome you control.</t>
  </si>
  <si>
    <t>"Skids" O'Toole</t>
  </si>
  <si>
    <t>The Ex-Con</t>
  </si>
  <si>
    <t>Criminal.</t>
  </si>
  <si>
    <t>θ During your turn, spend 2 resources: You may take an additional action this turn. (Limit once per turn.)_x000D_
ε effect: +2. If you succeed, gain 2 resources.</t>
  </si>
  <si>
    <t>Agnes Baker</t>
  </si>
  <si>
    <t>The Waitress</t>
  </si>
  <si>
    <t>Sorcerer.</t>
  </si>
  <si>
    <t>ι After 1 or more horror is placed on Agnes Baker: Deal 1 damage to an enemy at your location. (Limit once per phase.)_x000D_
ε effect: +1 for each horror on Agnes Baker.</t>
  </si>
  <si>
    <t>Wendy Adams</t>
  </si>
  <si>
    <t>The Urchin</t>
  </si>
  <si>
    <t>Drifter.</t>
  </si>
  <si>
    <t>ι When you reveal a chaos token, choose and discard 1 card from your hand: Cancel that chaos token and return it to the bag. Reveal a new chaos token. (Limit once per test/ability.)_x000D_
ε effect: +0. If Wendy's Amulet is in play, you automatically succeed instead.</t>
  </si>
  <si>
    <t>Roland's .38 Special</t>
  </si>
  <si>
    <t>Asset</t>
  </si>
  <si>
    <t>Hand</t>
  </si>
  <si>
    <t>Item. Weapon. Firearm.</t>
  </si>
  <si>
    <t>Roland Banks deck only._x000D_
Uses (4 ammo)._x000D_
η Spend 1 ammo: Fight. You get +1 ή for this attack (if there are 1 or more clues on your location, you get +3 ή, instead). This attack deals +1 damage.</t>
  </si>
  <si>
    <t>Cover Up</t>
  </si>
  <si>
    <t>Task.</t>
  </si>
  <si>
    <t>Revelation - Put Cover Up into play in your threat area, with 3 clues on it._x000D_
ι When you would discover 1 or more clues at your location: Discard that many clues from Cover Up instead._x000D_
Forced - When the game ends, if there are any clues on Cover Up: You suffer 1 mental trauma.</t>
  </si>
  <si>
    <t>Daisy's Tote Bag</t>
  </si>
  <si>
    <t>Item.</t>
  </si>
  <si>
    <t>Daisy Walker deck only._x000D_
You have 2 additional hand slots, which can only be used to hold Tome assets.</t>
  </si>
  <si>
    <t>The Necronomicon</t>
  </si>
  <si>
    <t>John Dee Translation</t>
  </si>
  <si>
    <t>Item. Tome.</t>
  </si>
  <si>
    <t>Revelation - Put The Necronomicon into play in your threat area, with 3 horror on it. It cannot leave play while it has 1 or more horror on it._x000D_
Treat each ε you reveal on a chaos token as a [fail]._x000D_
η: Move 1 horror from The Necronomicon to Daisy Walker. Then, if The Necronomicon has no horror on it, discard it.</t>
  </si>
  <si>
    <t>Hospital Debts</t>
  </si>
  <si>
    <t>Revelation - Put Hospital Debts into play in your threat area._x000D_
θ: Move 1 resource from your resource pool to Hospital Debts. (Limit twice per round.)_x000D_
Forced - When the game ends, if Hospital Debts has fewer than 6 resources on it: You earn 2 fewer experience for this scenario.</t>
  </si>
  <si>
    <t>Heirloom of Hyperborea</t>
  </si>
  <si>
    <t>Artifact from Another Life</t>
  </si>
  <si>
    <t>Accessory</t>
  </si>
  <si>
    <t>Item. Relic.</t>
  </si>
  <si>
    <t>Agnes Baker deck only._x000D_
ι After you play a spell card: Draw 1 card.</t>
  </si>
  <si>
    <t>Dark Memory</t>
  </si>
  <si>
    <t>Spell.</t>
  </si>
  <si>
    <t>Place 1 doom on the current agenda. This effect may cause the current agenda to advance._x000D_
Forced - If Dark Memory is in your hand at the end of your turn, reveal it and take 2 horror.</t>
  </si>
  <si>
    <t>Wendy's Amulet</t>
  </si>
  <si>
    <t>Wendy Adams deck only._x000D_
You may play the topmost event in your discard pile as if it were in your hand._x000D_
Forced - After you play an event: Place it on the bottom of your deck instead of in your discard pile.</t>
  </si>
  <si>
    <t>Abandoned and Alone</t>
  </si>
  <si>
    <t>Madness.</t>
  </si>
  <si>
    <t>Revelation - Take 2 direct horror and remove all cards in your discard pile from the game.</t>
  </si>
  <si>
    <t>.45 Automatic</t>
  </si>
  <si>
    <t>Uses (4 ammo)._x000D_
η Spend 1 ammo: Fight. You get +1 ή for this attack. This attack deals +1 damage.</t>
  </si>
  <si>
    <t>Physical Training</t>
  </si>
  <si>
    <t>Talent.</t>
  </si>
  <si>
    <t>θ Spend 1 resource: You get +1 ά for this skill test._x000D_
θ Spend 1 resource: You get +1 ή for this skill test.</t>
  </si>
  <si>
    <t>Beat Cop</t>
  </si>
  <si>
    <t>Ally. Police.</t>
  </si>
  <si>
    <t>You get +1 ή._x000D_
θ Discard Beat Cop: Deal 1 damage to an enemy at your location.</t>
  </si>
  <si>
    <t>First Aid</t>
  </si>
  <si>
    <t>Talent. Science.</t>
  </si>
  <si>
    <t>Uses (3 supplies). If First Aid has no supplies, discard it._x000D_
η Spend 1 supply: Heal 1 damage or horror from an investigator at your location.</t>
  </si>
  <si>
    <t>Machete</t>
  </si>
  <si>
    <t>Item. Weapon. Melee.</t>
  </si>
  <si>
    <t>η: Fight. You get +1 ή for this attack. If the attacked enemy is the only enemy engaged with you, this attack deals +1 damage.</t>
  </si>
  <si>
    <t>Guard Dog</t>
  </si>
  <si>
    <t>Ally. Creature.</t>
  </si>
  <si>
    <t>ι When an enemy attack deals damage to Guard Dog: Deal 1 damage to the attacking enemy.</t>
  </si>
  <si>
    <t>Evidence!</t>
  </si>
  <si>
    <t>Insight</t>
  </si>
  <si>
    <t>Fast. Play after you defeat an enemy._x000D_
Discover 1 clue in your location.</t>
  </si>
  <si>
    <t>Dodge</t>
  </si>
  <si>
    <t>Tactic.</t>
  </si>
  <si>
    <t>Fast. Play when an enemy attacks an investigator at your location._x000D_
Cancel that attack.</t>
  </si>
  <si>
    <t>Dynamite Blast</t>
  </si>
  <si>
    <t>Choose either your location or a connecting location. Deal 3 damage to each enemy and to each investigator at the chosen location.</t>
  </si>
  <si>
    <t>Vicious Blow</t>
  </si>
  <si>
    <t>Skill</t>
  </si>
  <si>
    <t>Practiced.</t>
  </si>
  <si>
    <t>If this skill test is successful during an attack, that attack deals +1 damage.</t>
  </si>
  <si>
    <t>Extra Ammunition</t>
  </si>
  <si>
    <t>Supply.</t>
  </si>
  <si>
    <t>Place 3 ammo tokens on a Firearm asset controlled by an investigator at your location.</t>
  </si>
  <si>
    <t>Police Badge</t>
  </si>
  <si>
    <t>You get +1 ά._x000D_
θ While an investigator at your location is taking his or her turn, discard Police Badge: That investigator may take 2 additional actions this turn.</t>
  </si>
  <si>
    <t>You get +1 ή._x000D_
θ Exhaust Beat Cop and deal 1 damage to it: Deal 1 damage to an enemy at your location.</t>
  </si>
  <si>
    <t>Shotgun</t>
  </si>
  <si>
    <t>Hand x2</t>
  </si>
  <si>
    <t>Uses (2 ammo)._x000D_
η Spend 1 ammo: Fight. You get +3 ή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t>
  </si>
  <si>
    <t>Magnifying Glass</t>
  </si>
  <si>
    <t>Item. Tool.</t>
  </si>
  <si>
    <t>Fast._x000D_
You get +1 έ while investigating.</t>
  </si>
  <si>
    <t>Old Book of Lore</t>
  </si>
  <si>
    <t>η Exhaust Old Book of Lore: Choose an investigator at your location. That investigator searches the top 3 cards of his or her deck for a card, draws it, and shuffles the remaining cards into his or her deck.</t>
  </si>
  <si>
    <t>Research Librarian</t>
  </si>
  <si>
    <t>Ally. Miskatonic.</t>
  </si>
  <si>
    <t>ι After Research Librarian enters play: Search your deck for a Tome asset and add it to your hand. Shuffle your deck.</t>
  </si>
  <si>
    <t>Dr. Milan Christopher</t>
  </si>
  <si>
    <t>Professor of Entomology</t>
  </si>
  <si>
    <t>You get +1 έ._x000D_
ι After you successfully investigate: Gain 1 resource.</t>
  </si>
  <si>
    <t>Hyperawareness</t>
  </si>
  <si>
    <t>θ Spend 1 resource: You get +1 έ for this skill test._x000D_
θ Spend 1 resource: You get +1 ί for this skill test.</t>
  </si>
  <si>
    <t>Medical Texts</t>
  </si>
  <si>
    <t>η Choose an investigator at your location and test έ (2). If you succeed, heal 1 damage from that investigator. If you fail, deal 1 damage to that investigator.</t>
  </si>
  <si>
    <t>Mind over Matter</t>
  </si>
  <si>
    <t>Insight.</t>
  </si>
  <si>
    <t>Fast. Play only during your turn._x000D_
Until the end of the round, you may use your έ in place of your ή and ί.</t>
  </si>
  <si>
    <t>Working a Hunch</t>
  </si>
  <si>
    <t>Barricade</t>
  </si>
  <si>
    <t>Insight. Tactic.</t>
  </si>
  <si>
    <t>Attach to your location._x000D_
Non-Elite enemies cannot move into attached location._x000D_
Forced - When an investigator leaves attached location: Discard Barricade.</t>
  </si>
  <si>
    <t>Deduction</t>
  </si>
  <si>
    <t>If this skill test is successful while investigating a location, discover 1 additional clue at that location.</t>
  </si>
  <si>
    <t>Fast._x000D_
You get +1 έ while investigating._x000D_
θ If there are no clues on your location: Return Magnifying Glass to your hand.</t>
  </si>
  <si>
    <t>Encyclopedia</t>
  </si>
  <si>
    <t>η Exhaust Encyclopedia: Choose an investigator at your location. That investigator gets +2 to a skill of your choice until the end of the phase.</t>
  </si>
  <si>
    <t>Switchblade</t>
  </si>
  <si>
    <t>Item. Weapon. Melee. Illicit.</t>
  </si>
  <si>
    <t>Fast._x000D_
η: Fight. If you succeed by 2 or more, this attack deals +1 damage.</t>
  </si>
  <si>
    <t>Burglary</t>
  </si>
  <si>
    <t>Talent. Illicit.</t>
  </si>
  <si>
    <t>η Exhaust Burglary: Investigate. If you succeed, instead of discovering clues, gain 3 resources.</t>
  </si>
  <si>
    <t>Pickpocketing</t>
  </si>
  <si>
    <t>ι After you evade an enemy, exhaust Pickpocketing: Draw 1 card.</t>
  </si>
  <si>
    <t>.41 Derringer</t>
  </si>
  <si>
    <t>Leo De Luca</t>
  </si>
  <si>
    <t>The Louisiana Lion</t>
  </si>
  <si>
    <t>Ally. Criminal.</t>
  </si>
  <si>
    <t>You may take an additional action during your turn.</t>
  </si>
  <si>
    <t>Hard Knocks</t>
  </si>
  <si>
    <t>θ Spend 1 resource: You get +1 ή for this skill test._x000D_
θ Spend 1 resource: You get +1 ί for this skill test.</t>
  </si>
  <si>
    <t>Elusive</t>
  </si>
  <si>
    <t>Backstab</t>
  </si>
  <si>
    <t>Fight. This attack uses ί instead of ή. This attack deals +2 damage.</t>
  </si>
  <si>
    <t>Sneak Attack</t>
  </si>
  <si>
    <t>Opportunist</t>
  </si>
  <si>
    <t>Hot Streak</t>
  </si>
  <si>
    <t>Fortune.</t>
  </si>
  <si>
    <t>Gain 10 resources.</t>
  </si>
  <si>
    <t>Holy Rosary</t>
  </si>
  <si>
    <t>Item. Charm.</t>
  </si>
  <si>
    <t>You get +1 ά.</t>
  </si>
  <si>
    <t>Shrivelling</t>
  </si>
  <si>
    <t>Arcane</t>
  </si>
  <si>
    <t>Uses (4 charges)._x000D_
η Spend 1 charge: Fight. This attack uses ά instead of ή and deals +1 damage. If a α, β, γ, δ, or ζ symbol is revealed during this check, take 1 horror.</t>
  </si>
  <si>
    <t>Scrying</t>
  </si>
  <si>
    <t>Uses (3 charges)._x000D_
η Exhaust Scrying and spend 1 charge: Look at the top 3 cards of any investigator's deck or the encounter deck. Return them to the top of that deck in any order.</t>
  </si>
  <si>
    <t>Arcane Studies</t>
  </si>
  <si>
    <t>θ Spend 1 resource: You get +1 ά for this skill test._x000D_
θ Spend 1 resource: You get +1 έ for this skill test.</t>
  </si>
  <si>
    <t>Drawn to the Flame</t>
  </si>
  <si>
    <t>Draw the top card of the encounter deck. Then, discover 2 clues at your location.</t>
  </si>
  <si>
    <t>Blinding Light</t>
  </si>
  <si>
    <t>Spell</t>
  </si>
  <si>
    <t>Evade. This evasion attempt uses ά instead of ί. If you succeed, deal 1 damage to the enemy just evaded. If a α, β, γ, δ, or ζ symbol is revealed during this evasion attempt, lose 1 action this turn.</t>
  </si>
  <si>
    <t>Evade. This evasion attempt uses ά instead of ί. If you succeed, deal 2 damage to the enemy just evaded. If a α, β, γ, δ, or ζ symbol is revealed during this evasion attempt, lose 1 action this turn and take 1 horror.</t>
  </si>
  <si>
    <t>Grotesque Statue</t>
  </si>
  <si>
    <t>Uses (4 charges). If Grotesque Statue has no charges, discard it._x000D_
ι When you would reveal a chaos token, spend 1 charge: Reveal 2 chaos tokens intead of 1. Choose 1 of those tokens to resolve, and ignore the other.</t>
  </si>
  <si>
    <t>Leather Coat</t>
  </si>
  <si>
    <t>Body</t>
  </si>
  <si>
    <t>Item. Armor.</t>
  </si>
  <si>
    <t>Scavenging</t>
  </si>
  <si>
    <t>ι After you successfully investigate by 2 or more, exhaust Scavenging: Choose an Item card in your discard pile and add it to your hand.</t>
  </si>
  <si>
    <t>Baseball Bat</t>
  </si>
  <si>
    <t>η: Fight. You get +2 ή for this attack. This attack deals +1 damage. If a α or ζ symbol is revealed during this attack, discard Baseball Bat after the attack resolves.</t>
  </si>
  <si>
    <t>Rabbit's Foot</t>
  </si>
  <si>
    <t>ι After you fail a skill test, exhaust Rabbit's Foot: Draw 1 card.</t>
  </si>
  <si>
    <t>Stray Cat</t>
  </si>
  <si>
    <t>θ Discard Stray Cat: Automatically evade a non-Elite enemy at your location.</t>
  </si>
  <si>
    <t>Dig Deep</t>
  </si>
  <si>
    <t>θ Spend 1 resource: You get +1 ά for this skill test._x000D_
θ Spend 1 resource: You get +1 ί for this skill test.</t>
  </si>
  <si>
    <t>Cunning Distraction</t>
  </si>
  <si>
    <t>Evade. Automatically evade all enemies at your location.</t>
  </si>
  <si>
    <t>"Look what I found!"</t>
  </si>
  <si>
    <t>Fast. Play after you fail a skill test by 2 or less while investigating._x000D_
Discover 2 clues in your location.</t>
  </si>
  <si>
    <t>Lucky!</t>
  </si>
  <si>
    <t>Fast. Play when you would fail a skill test._x000D_
Get +2 to your skill value for that test.</t>
  </si>
  <si>
    <t>Survival Instinct</t>
  </si>
  <si>
    <t>Innate.</t>
  </si>
  <si>
    <t>If this skill test is successful [during an] evasion attempt, the [evading investigator] may immediately [disengage each] enemy engaged with [him or her, and] move to a connecting [location].</t>
  </si>
  <si>
    <t>Close Call</t>
  </si>
  <si>
    <t>Fast. Play after a non-weakness, non-Elite enemy at your location is evaded._x000D_
Shuffle that enemy into the encounter deck.</t>
  </si>
  <si>
    <t>Fast. Play when you would fail a skill test._x000D_
Get +2 to your skill value for that test. Draw 1 card.</t>
  </si>
  <si>
    <t>Will to Survive</t>
  </si>
  <si>
    <t>Fast. Play only during [...]._x000D_
Until the end of your [...] tokens for any skill [...].</t>
  </si>
  <si>
    <t>Knife</t>
  </si>
  <si>
    <t>η: Fight. You get +1 ή for this attack._x000D_
η Discard Knife: Fight. You get +2 ή for this attack. This attack deals +1 damage.</t>
  </si>
  <si>
    <t>Flashlight</t>
  </si>
  <si>
    <t>Uses (3 supplies)._x000D_
η Spend 1 supply: Investigate. Your location gets -2 shroud for this investigation.</t>
  </si>
  <si>
    <t>Emergency Cache</t>
  </si>
  <si>
    <t>Gain 3 resources.</t>
  </si>
  <si>
    <t>Guts</t>
  </si>
  <si>
    <t>Max 1 committed per skill test._x000D_
If this test is successful, draw 1 card.</t>
  </si>
  <si>
    <t>Perception</t>
  </si>
  <si>
    <t>Overpower</t>
  </si>
  <si>
    <t>Manual Dexterity</t>
  </si>
  <si>
    <t>Unexpected Courage</t>
  </si>
  <si>
    <t>Max 1 committed per skill test.</t>
  </si>
  <si>
    <t>Bulletproof Vest</t>
  </si>
  <si>
    <t>Elder Sign Amulet</t>
  </si>
  <si>
    <t>Amnesia</t>
  </si>
  <si>
    <t>Revelation - Choose and discard all but 1 card from your hand.</t>
  </si>
  <si>
    <t>Paranoia</t>
  </si>
  <si>
    <t>Revelation - Discard all your resources.</t>
  </si>
  <si>
    <t>Haunted</t>
  </si>
  <si>
    <t>Curse.</t>
  </si>
  <si>
    <t>Revelation - Add Haunted to your threat area._x000D_
You get -1 to each of your skills._x000D_
ηη: Discard Haunted.</t>
  </si>
  <si>
    <t>Hypochondria</t>
  </si>
  <si>
    <t>The Gathering</t>
  </si>
  <si>
    <t>What's Going On?!</t>
  </si>
  <si>
    <t>Rise of the Ghouls</t>
  </si>
  <si>
    <t>They're Getting Out!</t>
  </si>
  <si>
    <t>Trapped</t>
  </si>
  <si>
    <t>The Barrier</t>
  </si>
  <si>
    <t>What Have You Done?</t>
  </si>
  <si>
    <t>Study</t>
  </si>
  <si>
    <t>Hallway</t>
  </si>
  <si>
    <t>Attic</t>
  </si>
  <si>
    <t>Cellar</t>
  </si>
  <si>
    <t>Parlor</t>
  </si>
  <si>
    <t>Ghoul Priest</t>
  </si>
  <si>
    <t>Humanoid. Monster. Ghoul. Elite.</t>
  </si>
  <si>
    <t>Lita Chantler</t>
  </si>
  <si>
    <t>The Zealot</t>
  </si>
  <si>
    <t>Ally.</t>
  </si>
  <si>
    <t>Flesh-Eater</t>
  </si>
  <si>
    <t>Humanoid. Monster. Ghoul.</t>
  </si>
  <si>
    <t>Icy Ghoul</t>
  </si>
  <si>
    <t>St. Mary's Hospital</t>
  </si>
  <si>
    <t>Arkham.</t>
  </si>
  <si>
    <t>Miskatonic University</t>
  </si>
  <si>
    <t>Victoria Devereux</t>
  </si>
  <si>
    <t>The Collector</t>
  </si>
  <si>
    <t>Humanoid. Cultist.</t>
  </si>
  <si>
    <t>Ruth Turner</t>
  </si>
  <si>
    <t>The Mortician</t>
  </si>
  <si>
    <t>Vengeance Awaits</t>
  </si>
  <si>
    <t>Main Path</t>
  </si>
  <si>
    <t>Woods.</t>
  </si>
  <si>
    <t>Umôrdhoth's Wrath</t>
  </si>
  <si>
    <t>Swarm of Rats</t>
  </si>
  <si>
    <t>Hunter.</t>
  </si>
  <si>
    <t>Ghoul Minion</t>
  </si>
  <si>
    <t>Ravenous Ghoul</t>
  </si>
  <si>
    <t>Grasping Hands</t>
  </si>
  <si>
    <t>Hazard.</t>
  </si>
  <si>
    <t>Rotting Remains</t>
  </si>
  <si>
    <t>Terror.</t>
  </si>
  <si>
    <t>Frozen in Fear</t>
  </si>
  <si>
    <t>Dissonant Voices</t>
  </si>
  <si>
    <t>Acolyte</t>
  </si>
  <si>
    <t>Mysterious Chanting</t>
  </si>
  <si>
    <t>Hex.</t>
  </si>
  <si>
    <t>Hunting Nightgaunt</t>
  </si>
  <si>
    <t>Monster. Nightgaunt.</t>
  </si>
  <si>
    <t>Yithian Observer</t>
  </si>
  <si>
    <t>Monster. Yithian.</t>
  </si>
  <si>
    <t>Ancient Evils</t>
  </si>
  <si>
    <t>Omen.</t>
  </si>
  <si>
    <t>Obscuring Fog</t>
  </si>
  <si>
    <t>25f013a5-4ca2-4a34-9d03-e11e8ed93aaf</t>
  </si>
  <si>
    <t>53463cb2-2261-4d8b-b948-d8f7a926ed79</t>
  </si>
  <si>
    <t>4074eb1e-2341-4ff8-be20-d220621fa3c4</t>
  </si>
  <si>
    <t>207654c5-69a2-467b-b4ab-bfeffd28d310</t>
  </si>
  <si>
    <t>e8b6e380-16f3-40d7-af47-484db614ea18</t>
  </si>
  <si>
    <t>4bb7b957-a180-4421-ad42-49704e11a3a5</t>
  </si>
  <si>
    <t>bc0a93e3-6643-49a2-9acc-8eaf681f4b2f</t>
  </si>
  <si>
    <t>48a42717-bbe7-45b3-bf10-14f741a69c9f</t>
  </si>
  <si>
    <t>ea28042e-36f2-4de2-bfcc-3fbff1fd3119</t>
  </si>
  <si>
    <t>8c8c8662-de35-45e1-9b82-449655ecd8c2</t>
  </si>
  <si>
    <t>e88d5324-aafd-4712-883c-4dcc3be9c02c</t>
  </si>
  <si>
    <t>a68108af-d124-430b-92c7-63d2d55a7995</t>
  </si>
  <si>
    <t>29917242-d023-4235-87f2-5ff6ff67188e</t>
  </si>
  <si>
    <t>cd4dfe53-cdd3-4a88-bdfd-a3920ece4ce5</t>
  </si>
  <si>
    <t>65f0cf81-c907-4d8d-b05a-4f4f610056ee</t>
  </si>
  <si>
    <t>97278962-9d51-44ab-92d9-b8307da166ea</t>
  </si>
  <si>
    <t>f70b36ba-28ad-4d1c-9d02-bdf481aa110f</t>
  </si>
  <si>
    <t>1eddd4eb-0221-4570-b4fc-15700c192a91</t>
  </si>
  <si>
    <t>d959a671-030a-40ff-909d-235b815690b1</t>
  </si>
  <si>
    <t>8fb609a2-6736-4b0a-aecb-fa32ad80694d</t>
  </si>
  <si>
    <t>2d213266-75eb-4763-8544-45935c113c3c</t>
  </si>
  <si>
    <t>76624e61-e481-473e-b751-a456aeba87d7</t>
  </si>
  <si>
    <t>1213f9bd-b112-43ea-a092-d93b22795bf1</t>
  </si>
  <si>
    <t>d755139f-6aae-448e-8c07-fd77a67d831d</t>
  </si>
  <si>
    <t>a3c5e4b0-dd97-4cba-addc-51b70e68dd32</t>
  </si>
  <si>
    <t>117f524d-2375-4768-a1a9-57e3399395eb</t>
  </si>
  <si>
    <t>ac0cea99-1031-4a2f-b38f-2f52baf7c335</t>
  </si>
  <si>
    <t>7283598b-2c8d-407a-a443-862474210a57</t>
  </si>
  <si>
    <t>746d5cdc-a24a-48ae-8e8a-3ce69dafc0d0</t>
  </si>
  <si>
    <t>6871c1fd-d639-48b7-afdc-b0245ff61e8b</t>
  </si>
  <si>
    <t>03adb92f-6100-4b9e-baca-54f3475ff5ef</t>
  </si>
  <si>
    <t>a28e3e10-224f-4273-9847-bbac0daf2c9e</t>
  </si>
  <si>
    <t>54d593d1-cf86-4211-b94b-08bf0537167c</t>
  </si>
  <si>
    <t>a3558e05-a19e-4d5c-b893-9682d8d68c71</t>
  </si>
  <si>
    <t>4572e948-8966-4ff0-b126-83f6e5cfa66d</t>
  </si>
  <si>
    <t>86e13f2c-6adc-411d-a6fe-c7dd6b8a9d1b</t>
  </si>
  <si>
    <t>e7c36f79-c7ac-422a-ad1b-ceef10d9e666</t>
  </si>
  <si>
    <t>604a5862-949c-4a8e-b97e-39d18144190e</t>
  </si>
  <si>
    <t>deb719f2-3016-4659-ad99-787d43400af2</t>
  </si>
  <si>
    <t>01f2c8ce-c9de-46bd-b26f-63ad3e3a5f92</t>
  </si>
  <si>
    <t>af7be400-1eea-43e8-9e04-9308877e9c8f</t>
  </si>
  <si>
    <t>e256a065-19cd-44d6-b13b-335e6a8941c4</t>
  </si>
  <si>
    <t>4ac5b82d-8c4e-47de-841b-e952ac7ee01e</t>
  </si>
  <si>
    <t>593e0f81-fbce-4600-a9ba-10fdf73a7054</t>
  </si>
  <si>
    <t>89983a3c-db1a-4e3e-8d86-361853e37c66</t>
  </si>
  <si>
    <t>f79069f4-2381-4c37-9582-012c4768d6c8</t>
  </si>
  <si>
    <t>3646bb74-ea1a-4aef-9e4f-a4a017cae115</t>
  </si>
  <si>
    <t>0514d9a1-b136-4b0b-8f3d-11dc8a891a1d</t>
  </si>
  <si>
    <t>47a53843-7509-496e-92f5-cd185c62caf1</t>
  </si>
  <si>
    <t>c8e50677-51af-411c-8350-593dcb0cac5d</t>
  </si>
  <si>
    <t>b989878a-aa0a-41c5-9898-0805ab69b052</t>
  </si>
  <si>
    <t>7b77ea85-8316-4c7a-94a2-367fd652e29c</t>
  </si>
  <si>
    <t>7378d4d3-a252-49ed-b480-761ccd80f70c</t>
  </si>
  <si>
    <t>2d711ea5-de12-464e-aa98-693de2e1d3a3</t>
  </si>
  <si>
    <t>aacd7931-1008-4769-a350-8b0759818f1e</t>
  </si>
  <si>
    <t>24f0aceb-205e-4595-b26f-2843e0235454</t>
  </si>
  <si>
    <t>a9f98802-435d-4873-9599-bf00c14561d0</t>
  </si>
  <si>
    <t>7d66a805-5dc2-433c-937f-b935ba2724aa</t>
  </si>
  <si>
    <t>054593c8-b9c5-4fb7-b182-f8c1cd40281a</t>
  </si>
  <si>
    <t>e96a04c5-2e46-4d40-99ee-d3d667045622</t>
  </si>
  <si>
    <t>1ddddeb4-a9c8-450b-b853-fe49fb56bab0</t>
  </si>
  <si>
    <t>e0ab946b-cf33-41e4-b84d-c5a2d226dfec</t>
  </si>
  <si>
    <t>0a6ef841-7297-459d-8130-8f6f302a79ee</t>
  </si>
  <si>
    <t>e2289e5e-17d2-4576-af01-93969fc08781</t>
  </si>
  <si>
    <t>0c780dab-e3b2-4c0d-a7fc-ef5d7c19b012</t>
  </si>
  <si>
    <t>aa11a439-94d5-40b2-b406-e9474339cdea</t>
  </si>
  <si>
    <t>eeec305a-af17-46f2-9fa2-78dffccb5999</t>
  </si>
  <si>
    <t>8ad5533b-1062-4f54-adf4-c983feb3b172</t>
  </si>
  <si>
    <t>49e032f2-28bc-4130-a15d-8914f2ece849</t>
  </si>
  <si>
    <t>fdfe0b97-d37e-4f06-9925-1b7b5e5fbb1a</t>
  </si>
  <si>
    <t>44306eb3-8e29-4e9a-9286-e94e88c8985c</t>
  </si>
  <si>
    <t>ffd9e406-0415-40f5-b354-05724ef45ae9</t>
  </si>
  <si>
    <t>83a63517-f795-48d5-a64f-c90a93bbf3b0</t>
  </si>
  <si>
    <t>5a649139-20f4-4412-9faa-7f16b0a28747</t>
  </si>
  <si>
    <t>8d1a826a-6d65-41fe-a487-55dbe23fd108</t>
  </si>
  <si>
    <t>2bce6c96-d9dc-44fa-8b5d-9899dd6ff151</t>
  </si>
  <si>
    <t>f1b84ac0-8196-4ce7-bd6e-9209c20f4df5</t>
  </si>
  <si>
    <t>9e52cd71-986d-4cdf-9e53-13a6086fd341</t>
  </si>
  <si>
    <t>f225ec3a-7bbc-495c-aa2c-3532206ce210</t>
  </si>
  <si>
    <t>513df658-9416-4209-b088-6e41ef8668d8</t>
  </si>
  <si>
    <t>6c496ca9-4cc7-4404-817d-ac581fa6d007</t>
  </si>
  <si>
    <t>01fdc38f-af72-4655-9bb3-d5278499aeda</t>
  </si>
  <si>
    <t>707eaa54-2a3f-48fc-952b-4f863c3e4d06</t>
  </si>
  <si>
    <t>cfb03a82-6111-465c-8392-0d281bb90b36</t>
  </si>
  <si>
    <t>8398d095-9e12-45dd-8242-838ed636ba1d</t>
  </si>
  <si>
    <t>9ca5f0a3-e74f-4068-bf67-9fe003cf17c0</t>
  </si>
  <si>
    <t>76d61a65-4c3a-486c-b507-c4b0a109d65f</t>
  </si>
  <si>
    <t>f8c80be5-04a4-4546-8d16-6d6c6a0d21ec</t>
  </si>
  <si>
    <t>1edc5230-8497-43cf-888b-d255270c9246</t>
  </si>
  <si>
    <t>28a33b22-2f33-437c-8ca4-3c12e3d86fb2</t>
  </si>
  <si>
    <t>4f5e8e19-637e-4d55-964b-05858ca2b898</t>
  </si>
  <si>
    <t>32df1a52-6101-4d15-9e9e-5cd7d386c791</t>
  </si>
  <si>
    <t>5deb37b1-333c-4461-a9a0-f0766f13c7aa</t>
  </si>
  <si>
    <t>9eda9a1d-b7a2-4dc8-8e52-acb6abcb6be0</t>
  </si>
  <si>
    <t>8058eaaa-fb32-4a66-9501-8ca13c58e37c</t>
  </si>
  <si>
    <t>f2e936b3-445e-43ce-8a38-7919499c0209</t>
  </si>
  <si>
    <t>cdb15fc9-92c3-4dc6-8db1-f6d00dcf63a1</t>
  </si>
  <si>
    <t>ebd0f687-cffa-4e23-b15a-81429fd0c3aa</t>
  </si>
  <si>
    <t>155a7647-26da-4ed2-a0eb-c62cb52f9a48</t>
  </si>
  <si>
    <t>6b29f6b9-13fb-41d5-9d5d-95a7d7243759</t>
  </si>
  <si>
    <t>060db76e-909e-4b71-8798-a9494f29d63b</t>
  </si>
  <si>
    <t>d6eebc23-10bc-4686-9155-4b11783335c4</t>
  </si>
  <si>
    <t>e499d648-b5b0-4436-9821-becc4ef9f82a</t>
  </si>
  <si>
    <t>aa3d376b-6a82-4168-8ee9-7b50d1442100</t>
  </si>
  <si>
    <t>63f426b9-f246-43ca-ad9b-edac00402576</t>
  </si>
  <si>
    <t>945f53f9-9302-4010-812d-c7b717b2a81d</t>
  </si>
  <si>
    <t>2eabec3d-6cc1-4b54-8fd0-f4640da8986b</t>
  </si>
  <si>
    <t>fc6b957f-5e19-46a7-b742-029f8f9fa5b5</t>
  </si>
  <si>
    <t>1801aa5c-3e0a-4e65-91bb-086c26a7e60c</t>
  </si>
  <si>
    <t>51ab34b7-c6bc-4759-8b5c-f9c1476f66f1</t>
  </si>
  <si>
    <t>013a94df-b579-4670-9dc6-0176dad396a8</t>
  </si>
  <si>
    <t>76a906b0-eea1-4ce1-9982-f7e0f1aab553</t>
  </si>
  <si>
    <t>03482753-a71c-45ec-a97a-e6cb454ae835</t>
  </si>
  <si>
    <t>a70a2df7-2520-47ea-97b9-374714113140</t>
  </si>
  <si>
    <t>bb8ebf83-dcca-41ed-bc48-2240fbc1685e</t>
  </si>
  <si>
    <t>d411e61d-9f83-49cb-bc13-d5d6b5c58336</t>
  </si>
  <si>
    <t>569bb661-9875-4e36-a23e-a865df3fca21</t>
  </si>
  <si>
    <t>27eb17a3-e8ae-4c44-9f56-1018e6047d67</t>
  </si>
  <si>
    <t>8d7edcd9-63e0-4d2f-b8a1-c1e7cbf11c7a</t>
  </si>
  <si>
    <t>64d5c48c-02fb-48ac-b3ea-086a20721d69</t>
  </si>
  <si>
    <t>76a0d01f-3487-41d5-8bff-560ab33dd6f4</t>
  </si>
  <si>
    <t>6ea5fdd2-d464-42f1-b734-6a34edcf0329</t>
  </si>
  <si>
    <t>2f2f179f-dbbc-4bfc-85cc-b67e1bd7aa9a</t>
  </si>
  <si>
    <t>91a7fccc-8260-413c-b181-48f04ef58b99</t>
  </si>
  <si>
    <t>Scenario</t>
  </si>
  <si>
    <t>Agenda</t>
  </si>
  <si>
    <t>Forced - At the end of the enemy phase: Each unengaged Ghoul enemy moves 1 location towards the Parlor._x000D_
Forced - At the end of the round: Place 1 doom on this agenda for each Ghoul enemy in the Hallway or Parlor.</t>
  </si>
  <si>
    <t>Act</t>
  </si>
  <si>
    <t>Objective - When the round ends, investigators in the hallway may, as a group, spend the requisite number of clues to advance.</t>
  </si>
  <si>
    <t>Objective - If the Ghoul Priest is Defeated, advance.</t>
  </si>
  <si>
    <t>Forced - After you enter the Attic: Take 1 horror.</t>
  </si>
  <si>
    <t>Forced - After you enter the Cellar: Take 1 damage.</t>
  </si>
  <si>
    <t>η Resign. "This is too much for me!" You run out the front door, fleeing in panic._x000D_
While Lita Chantler is not controlled by a player, she gains: "Parlay. Test έ (4). If you succeed, take control of Lita Chantler.</t>
  </si>
  <si>
    <t>Prey - Highest ή._x000D_
Hunter. Retaliate.</t>
  </si>
  <si>
    <t>While you control Lita Chantler, she gains:_x000D_
"Each investigator at your location gets +1 ή._x000D_
ι When an investigator at your location successfully attacks a Monster enemy: That investigator deals +1 damage."</t>
  </si>
  <si>
    <t>Spawn - Attic.</t>
  </si>
  <si>
    <t>Spawn - Cellar.</t>
  </si>
  <si>
    <t>η: Heal 3 damage. (Limit once per game.)</t>
  </si>
  <si>
    <t>Revelation - Test ά (5). For each point you fail by, you must either (choose one): Choose and discard a card from your hand, or take 1 damage and 2 horror.</t>
  </si>
  <si>
    <t>Prey - Lowest remaining health.</t>
  </si>
  <si>
    <t>Revelation - Test ί (3). For each point you fail by, take 1 damage.</t>
  </si>
  <si>
    <t>Revelation - Test ά (3). For each point you fail by, take 1 horror.</t>
  </si>
  <si>
    <t>Revelation - Put Frozen in Fear into play in your threat area._x000D_
The first time you perform one of the following actions (move, fight, or evade) each round, it costs 1 additional action._x000D_
Forced - At the end of your turn: Test ά (3). If you succeed, discard Frozen in Fear.</t>
  </si>
  <si>
    <t>Revelation - Put Dissonant Voices into play in your threat area._x000D_
You cannot play assets or events._x000D_
Forced - At the end of the round: Discard Dissonant Voices.</t>
  </si>
  <si>
    <t>Spawn - Any empty location._x000D_
Forced - After Acolyte enters play: Place 1 doom on it.</t>
  </si>
  <si>
    <t>Revelation - Place 2 doom on the nearest Cultist enemy. If there are no Cultist enemies in play, search the encounter deck and discard pile for a Cultist enemy and draw it. Shuffle the encounter deck.</t>
  </si>
  <si>
    <t>Revelation - Place 1 doom on the current agenda. This effect may cause the current agenda to advance.</t>
  </si>
  <si>
    <t>Revelation - Attach to your location. Limit 1 per location._x000D_
Attached location gets +2 shroud._x000D_
Forced - After attached location is successfully investigated: Discard Obscuring Fog.</t>
  </si>
  <si>
    <t>Slot</t>
  </si>
  <si>
    <t>Clues</t>
  </si>
  <si>
    <t>Force Card Size</t>
  </si>
  <si>
    <t>On the Lam</t>
  </si>
  <si>
    <t>"Skids" O'Toole deck only.</t>
  </si>
  <si>
    <t>Fast. Play after your turn begins.
Until the end of the round, non-Elite enemies cannot attack you.</t>
  </si>
  <si>
    <t>Weakness</t>
  </si>
  <si>
    <t>c53196d8-e131-438a-ab64-d5d818819767</t>
  </si>
  <si>
    <t>f744ace1-c5bc-4641-b634-34efb8d52aaf</t>
  </si>
  <si>
    <t>Disc of Itzamna</t>
  </si>
  <si>
    <t>Protective Amulet</t>
  </si>
  <si>
    <t>Accesory</t>
  </si>
  <si>
    <t>ι When a non-Elite enemy spawns at your locatoin, discard Disc of Itzamna: Discard that enemy.</t>
  </si>
  <si>
    <t>55cbd643-1907-4811-a3a3-f3ce08fe387b</t>
  </si>
  <si>
    <t>Cryptic Research</t>
  </si>
  <si>
    <t>Fast. Play only during your turn.</t>
  </si>
  <si>
    <t>Choose an investigator at your location. That investigator draws 3 cards.</t>
  </si>
  <si>
    <t>96093bc3-dc11-4811-a21c-fcd0dba0d2f2</t>
  </si>
  <si>
    <t>a587e7a6-1668-40d1-825d-3b7bd6e63569</t>
  </si>
  <si>
    <t>You get +1 ί.</t>
  </si>
  <si>
    <t>η Exhaust Cat Burglar: Disengage from each enemy engaged with you and move to a connecting location. This action does not provoke attack of opportunity.</t>
  </si>
  <si>
    <t>Sure Gamble</t>
  </si>
  <si>
    <t>Fortune. Insight.</t>
  </si>
  <si>
    <t>Fast. Play after you reveal a chaos token with a negative modifier.
Switch that token's "-" to a "+".</t>
  </si>
  <si>
    <t>Forbidden Knowledge</t>
  </si>
  <si>
    <t>Uses (4 secrets). If Forbidden Knowledge has no secrets, discard it._x000D_
θ Exhaust Forbidden Knowledge and take 1 horror: Move 1 secret from Forbidden Knowledge to your resource pool, as a resource.</t>
  </si>
  <si>
    <t>50c495f3-4ce3-477f-8d28-261c100db500</t>
  </si>
  <si>
    <t>Arcane Initiate</t>
  </si>
  <si>
    <t>Ally. Sorcerer.</t>
  </si>
  <si>
    <t>Forced - After Arcane Initiate enters play: Place 1 doom on it.
θ Exhaust Arcane Initiate: Search the top 3 cards of your deck for a Spell card and draw it. Shuffle your deck.</t>
  </si>
  <si>
    <t>62d56637-d837-4474-af3a-c946b689325b</t>
  </si>
  <si>
    <t>Ward of Protection</t>
  </si>
  <si>
    <t>Spell. Spirit.</t>
  </si>
  <si>
    <t>Fast. Play when you draw a non-weakness treachery card.
Cancel that card's revelation effect. Then, take 1 horror.</t>
  </si>
  <si>
    <t>6de409e9-b15a-494c-8c94-d5df1d3bf884</t>
  </si>
  <si>
    <t>3dab67a6-ec03-4bda-b17e-3bb0f4937788</t>
  </si>
  <si>
    <t>Fearless</t>
  </si>
  <si>
    <t>If this skill test is successful, heal 1 horror.</t>
  </si>
  <si>
    <t>Mind Wipe</t>
  </si>
  <si>
    <t>Fast. Play after a phase begins.</t>
  </si>
  <si>
    <t>Choose a non-Elite enemy at your location. Treat the chosen enemy's printed text box as if it were blank (except for Traits) until the end of the phase.</t>
  </si>
  <si>
    <t>bba91c2e-59b8-4989-aef2-040b1317ca2b</t>
  </si>
  <si>
    <t>Book of Shadows</t>
  </si>
  <si>
    <t>You have 1 additional arcane slot.</t>
  </si>
  <si>
    <t>η Exhaust Book of Shadows: Add 1 charge to a Spell asset you control.</t>
  </si>
  <si>
    <t>689d5e5f-ea03-43a0-be3c-ebbb806d820b</t>
  </si>
  <si>
    <t>Aquinnah</t>
  </si>
  <si>
    <t>The Forgotten Daughter</t>
  </si>
  <si>
    <t>ι When an enemy attacks you, exhaust Aquinnah and deal 1 horror to her: Deal that enemy's damage to another enemy at your location, instead. (You still take horror dealt by the attack.)</t>
  </si>
  <si>
    <t>Basic Weakness</t>
  </si>
  <si>
    <t>5f5c0fc7-34ce-45ce-a609-f2b4f4fc6e5a</t>
  </si>
  <si>
    <t>22a5a1f6-cc50-47a9-9374-76204c97cf0a</t>
  </si>
  <si>
    <t>9b1de9f2-b050-41c4-bfdc-16a40974a3fb</t>
  </si>
  <si>
    <t>d5b68cab-54f1-488c-ba9f-68d8830cf2d0</t>
  </si>
  <si>
    <t>Psychosis</t>
  </si>
  <si>
    <t>Revelation - Add Psychosis to your threat area._x000D_
Forced - After you take 1 or more horror: Take 1 direct damage._x000D_
ηη: Discard Psychosis.</t>
  </si>
  <si>
    <t>Revelation - Add Hypochondria to your threat area._x000D_
Forced - After you take 1 or more damage: Take 1 direct horror.
ηη: Discard Hypochondria.</t>
  </si>
  <si>
    <t>Mob Enforcer</t>
  </si>
  <si>
    <t>Humanoid. Criminal.</t>
  </si>
  <si>
    <t>Prey - Bearer only.
Hunter.</t>
  </si>
  <si>
    <t>η Spend 4 resources: Parley. Discard Mob Enforcer.</t>
  </si>
  <si>
    <t>Silver Twilight Acolyte</t>
  </si>
  <si>
    <t>Humanoid. Cultist. Silver Twilight.</t>
  </si>
  <si>
    <t>Forced - After Silver Twilight Acolyte attacks: Place 1 doom on the current agenda.</t>
  </si>
  <si>
    <t>Stubborn Detective</t>
  </si>
  <si>
    <t>Humanoid. Detective.</t>
  </si>
  <si>
    <t>While Stubborn Detective is at your location, treat your investigator as if his or her printed text box were blank (except for Traits).</t>
  </si>
  <si>
    <t>EASY / STANDARD</t>
  </si>
  <si>
    <t>HARD / EXPERT</t>
  </si>
  <si>
    <t>A Lapse in Time</t>
  </si>
  <si>
    <t>The lead investigator must decide (choose one): Either each investigator discards 1 card at random from his or her hand, or the lead investigator takes 2 horror.</t>
  </si>
  <si>
    <t>The Tunnels Below</t>
  </si>
  <si>
    <t>Shuffle the encounter discard pile into the encounter deck. Discard cards from the top of the encounter deck until a Ghoul enemy is discarded. The lead investigator draws that enemy.</t>
  </si>
  <si>
    <t>The Ghouls Break Free</t>
  </si>
  <si>
    <t>If the investigators are at Act 1 or 2, they are trapped inside the house as the ghouls tear them apart (R3).
If the investigators are at Act 3, they barely escape with their lives, allowing the ghouls to run rampant. Each investigator who has not resigned is defeated and suffers 1 physical trauma.</t>
  </si>
  <si>
    <t>The Door on the Floor</t>
  </si>
  <si>
    <t>Put into play the set-aside Hallway, Cellar, Attic, and Parlor.
Discard each enemy in the Study.
Place each investigator in the Hallway.
Remove the Study from the game.</t>
  </si>
  <si>
    <t>Breaking the Barrier</t>
  </si>
  <si>
    <t>The barrier blocking the passage into the Parlor has vanished. Reveal the Parlor.
Put the set-aside Lita Chandler into play in the Parlor.
Spawn the set-aside Ghoul Priest in the Hallway.</t>
  </si>
  <si>
    <t>Defending the Home</t>
  </si>
  <si>
    <t>The lead investigator must decide (choose one):
It was never much of a home. Burn it down! (R1)
This "hell-pit" is my home! No way we are burning it! (R2)</t>
  </si>
  <si>
    <t>The Midnight Masks</t>
  </si>
  <si>
    <t>α -X. X is the highest number of doom on a Cultist enemy in play._x000D_
β -2. Place 1 doom on the nearest cultist enemy.
γ -3. If you fail, place 1 of your clues on your location.</t>
  </si>
  <si>
    <t>α -X. X is the total number of doom in play.
β -2. Place 1 doom on each Cultist enemy in play. If there are no Cultist enemies in play, reveal another token.
γ -4. If you fail, place all your clues on your location.</t>
  </si>
  <si>
    <t>Predator or Prey</t>
  </si>
  <si>
    <t>η: Resign. You don't want to risk taking too long, so you head to safety with the information you've gathered.</t>
  </si>
  <si>
    <t>The Masked Hunter</t>
  </si>
  <si>
    <t>Silently Stalking</t>
  </si>
  <si>
    <t>Spawn - Engaged with prey.
Prey - Most Clues.
Hunter.</t>
  </si>
  <si>
    <t>The Masked Hunter gets +2 health per investigator.
While you are engaged with The Masked Hunter, you cannot discover or spend clues.</t>
  </si>
  <si>
    <t>Time is Running Short</t>
  </si>
  <si>
    <t>The Clock Strikes Midnight</t>
  </si>
  <si>
    <t>(R2)</t>
  </si>
  <si>
    <t>Uncovering the Conspiracy</t>
  </si>
  <si>
    <t>η The investigators spend 2 clues per investigator, as a group: Draw the top card of the Cultist deck.
Objective - Find as many unique Cultist enemies as you can and add them to the victory display. If there are 6 unique Cultist enemies in the victory display, advance. (Note: not all 6 of them are in the Cultist deck.)</t>
  </si>
  <si>
    <t>Secrets Unveiled</t>
  </si>
  <si>
    <t>(R1)</t>
  </si>
  <si>
    <t>Your House</t>
  </si>
  <si>
    <t>Forced - When the Ghoul Priest spawns: Spawn it here instead of at its normal location.
η Draw 1 card and gain 1 resource. (Limit once per turn.)</t>
  </si>
  <si>
    <t>Rivertown</t>
  </si>
  <si>
    <t>Arkham. Central.</t>
  </si>
  <si>
    <t>Southside</t>
  </si>
  <si>
    <t>Historical Society</t>
  </si>
  <si>
    <t>η: Draw 3 cards. (Limit once per game.)</t>
  </si>
  <si>
    <t>Ma's Boarding House</t>
  </si>
  <si>
    <t>η: Search your deck for an Ally asset and add it to your hand. Shuffle your deck. (Limit once per game.)</t>
  </si>
  <si>
    <t>η: Search the top 6 cards of your deck for a Tome or Spell card and add it to your hand. Shuffle your deck.</t>
  </si>
  <si>
    <t>Downtown</t>
  </si>
  <si>
    <t>First Bank of Arkham</t>
  </si>
  <si>
    <t>η: Gain 3 resources. (Limit once per game.)</t>
  </si>
  <si>
    <t>Arkham Asylum</t>
  </si>
  <si>
    <t>η: Heal 3 horror. (Limit once per game.)</t>
  </si>
  <si>
    <t>East Town</t>
  </si>
  <si>
    <t>While you are in Easttown, reduce the cost of each Ally asset you play by 2.</t>
  </si>
  <si>
    <t>Graveyard</t>
  </si>
  <si>
    <t>Forced - After you enter the Graveyard:
Test ά (3). If you fail, you must either take 2 horror or move to Rivertown.</t>
  </si>
  <si>
    <t>Northside</t>
  </si>
  <si>
    <t>η Spend 5 resources: Gain 2 clues from the token pool. (Group limit once per game.)</t>
  </si>
  <si>
    <t>Hunting Shadow</t>
  </si>
  <si>
    <t>Peril.</t>
  </si>
  <si>
    <t>Revelation - You must either (choose one):
Spend 1 clue or take 2 damage.</t>
  </si>
  <si>
    <t>False Lead</t>
  </si>
  <si>
    <t>Revelation - If you have no clues, False Lead gains surge. If you have 1 or more clues, test έ (4). For each point you fail, place 1 of your clues on your location.</t>
  </si>
  <si>
    <t>Wolf-man Drew</t>
  </si>
  <si>
    <t>The Cannibal</t>
  </si>
  <si>
    <t>Spawn - Downtown.</t>
  </si>
  <si>
    <t>Forced - When Wolf-man Drew attacks: Heal 1 damage from him.</t>
  </si>
  <si>
    <t>Herman Collins</t>
  </si>
  <si>
    <t>The Undertaker</t>
  </si>
  <si>
    <t>Spawn - Graveyard.</t>
  </si>
  <si>
    <t>η Choose and discard 4 cards from your hand:
Parley. Add Herman Collins to the victory display.</t>
  </si>
  <si>
    <t>Peter Warren</t>
  </si>
  <si>
    <t>The Occult Professor</t>
  </si>
  <si>
    <t>Humanoid. Cultist. Miskatonic.</t>
  </si>
  <si>
    <t>Spawn - Miskatonic University.</t>
  </si>
  <si>
    <t>η Spend 2 clues: Parley. Add Peter Warren to the victory display.</t>
  </si>
  <si>
    <t>Spawn - Northside.</t>
  </si>
  <si>
    <t>η Spend 5 resources: Parlay. Add Victoria Devereux to the victory display.</t>
  </si>
  <si>
    <t>Spawn - St. Mary's Hospital</t>
  </si>
  <si>
    <t>Forced - After Ruth Turner is evaded: Add her to the victory display.</t>
  </si>
  <si>
    <t>The Devourer Below</t>
  </si>
  <si>
    <t>α -X. X is the number of Monster enemies in play._x000D_
β -2. Place 1 doom on the nearest enemy.
γ -3. If there is a Monster enemy at your location, take 1 damage.
δ -5. If there is an Ancient One enemy in play, reveal another token.</t>
  </si>
  <si>
    <t>α -3. If you fail, after this skill test, search the encounter deck and discard pile for a Monster enemy, and draw it. Shuffle the encounter deck.
β -4. Place 2 doom on the nearest enemy.
γ -5. If there is a Monster enemy at your location, take 1 damage and 1 horror.
δ -7. If there is an Ancient One enemy in play, reveal another token.</t>
  </si>
  <si>
    <t>The Arkham Woods</t>
  </si>
  <si>
    <t>Death to the Intruders</t>
  </si>
  <si>
    <t>Shuffle the encounter discard pile into the encounter deck and discard cards from the top until a Monster enemy is discarded. Spawn that enemy at the Main Path. Then, place 1 doom on that enemy.</t>
  </si>
  <si>
    <t>The Ritual Begins</t>
  </si>
  <si>
    <t>Each enemy gets +1 fight and +1 evade.</t>
  </si>
  <si>
    <t>The Will of Umordhoth</t>
  </si>
  <si>
    <t>In player order, each investigator must test ά (6). Each investigator who fails must search the collection for a random basic Madness weakness and add it to his or her hand.</t>
  </si>
  <si>
    <t>Fored - When this agenda advances:
If the investigators are at Act 1, put the set-aside Ritual Site into play and spawn the set-aside Umordhoth there.
If the investigators are at Act 2 or 3, discard all enemies at the Ritual Site and spawn the set-aside Umordhoth there.</t>
  </si>
  <si>
    <t>Revelation - Replace the current Act and Agenda with The Devourer Below. This card is both the current Act and the current Agenda.
Objective - If Umordhoth is defeated, (R2).</t>
  </si>
  <si>
    <t>Investigating the Trail</t>
  </si>
  <si>
    <t>Unveiling the Plan</t>
  </si>
  <si>
    <t>Put the set-aside Ritual Site into play if it is not already in play.
Search the collection for each enemy recorded in your Campaign Log under "Cultists Who Got Away," and spawn those enemies at the Main Path.</t>
  </si>
  <si>
    <t>Into the Darkness</t>
  </si>
  <si>
    <t>Objective - If an investigator enters the Ritual Site, advance.</t>
  </si>
  <si>
    <t>Last Rites</t>
  </si>
  <si>
    <t>Shuffle the encounter discard pile into the encounter deck. Discard cards from the top of the encounter deck until 1 enemy is discarded (2 enemies instead if there are 3 or more players in the game). Spawn each discarded enemy at the Ritual Site.</t>
  </si>
  <si>
    <t>Disrupting the Ritual</t>
  </si>
  <si>
    <t>η Spend 1 clue: Test ά (3) or ί (3). If you succeed, place 1 clue on this Act.
Objective - If there are 2 clues per investigator on this Act, advance.</t>
  </si>
  <si>
    <t>The Ritual is Broken</t>
  </si>
  <si>
    <t>The Main Path is connected to each other Woods location._x000D_
η: Resign. "There's nothing we can do for them!" You flee from the woods, leaving Arkham to its grisly fate.</t>
  </si>
  <si>
    <t>Arkham Woods</t>
  </si>
  <si>
    <t>Unhallowed Ground</t>
  </si>
  <si>
    <t>Forced - After you enter this location: Test ά (4). If you fail, take 1 damage and 1 horror.</t>
  </si>
  <si>
    <t>Twisting Paths</t>
  </si>
  <si>
    <t>Forced - When you move out of this location: Test έ (3). If you fail, cancel the effects of the move.</t>
  </si>
  <si>
    <t>Old House</t>
  </si>
  <si>
    <t>This location is investigated using ά instead of the skill indicated by the investigation attempt.</t>
  </si>
  <si>
    <t>Cliffside</t>
  </si>
  <si>
    <t>This location is investigated using ί instead of the skill indicated by the investigation attempt.</t>
  </si>
  <si>
    <t>Tangled Thicket</t>
  </si>
  <si>
    <t>This location is investigated using ή instead of the skill indicated by the investigation attempt.</t>
  </si>
  <si>
    <t>Quiet Glade</t>
  </si>
  <si>
    <t>η: Heal 1 damage or 1 horror. (Limit once per turn.)</t>
  </si>
  <si>
    <t>Ritual Site</t>
  </si>
  <si>
    <t>Cave.</t>
  </si>
  <si>
    <t>Forced - At the end of the round, if there are fewer than 2 clues per investigator on Ritual Site: add clues to it until it has 2 clues per investigator on it.</t>
  </si>
  <si>
    <t>Umordhoth</t>
  </si>
  <si>
    <t>Ancient One. Elite.</t>
  </si>
  <si>
    <t>Hunter. Massive.</t>
  </si>
  <si>
    <t>Umordhoth gets +4 health per investigator.
Forced - At the end of each investigator's turn: Ready Umordhoth.
η If you control Lita Chandler: "It's only after her!" You throw Lita to Umordhoth in order to spare your lives. (R3)</t>
  </si>
  <si>
    <t>Crypt Chill</t>
  </si>
  <si>
    <t>Revelation - Test ά (4). If you fail, choose and discard 1 asset you control (if you cannot, take 2 damage instead).</t>
  </si>
  <si>
    <t>Wizard of the Order</t>
  </si>
  <si>
    <t>Spawn - Any empty location.
Retaliate.</t>
  </si>
  <si>
    <t>Forced - At the end of the mythos phase: Place 1 doom on Wizard of the Order.</t>
  </si>
  <si>
    <t>While attempting to evade Hunting Nightgaunt, double the negative modifier of each revealed chaos token.</t>
  </si>
  <si>
    <t>On Wings of Darkness</t>
  </si>
  <si>
    <t>Revelation - Test ί (4). If you fail, take 1 damage and 1 horror. Then, disengage from each non-Nightgaunt enemy engaged with you and move to a Central location.</t>
  </si>
  <si>
    <t>Locked Door</t>
  </si>
  <si>
    <t>Obstacle.</t>
  </si>
  <si>
    <t>Revelation - Attach to the location with the most clues, and without a Locked Door attached.
The attached location cannot be investigated.
η: Test ή (4) to break down the door or ί (4) to pick the locks. If you succeed, discard Locked Door.</t>
  </si>
  <si>
    <t>Monster. Byakhee.</t>
  </si>
  <si>
    <t>Prey - Lowest remaining sanity.
Hunter.</t>
  </si>
  <si>
    <t>While engaged with an investigator with remaining sanity 4 or fewer, Screeching Byakhee gets +1 fight and +1 evade.</t>
  </si>
  <si>
    <t>Screeching Byakhee</t>
  </si>
  <si>
    <t>The Yellow Sign</t>
  </si>
  <si>
    <t>Revelation - Test ά (4). If you fail, take 2 horror and search your deck for a Madness weakness. Draw that card and shuffle your deck.</t>
  </si>
  <si>
    <t>Prey - Fewest cards in hand.</t>
  </si>
  <si>
    <t>Forced - When Yithian Observer attacks you: Discard 1 card at random from your hand. If you cannot, Yithian Observer deals +1 damage and +1 horror for this attack.</t>
  </si>
  <si>
    <t>Offer of Power</t>
  </si>
  <si>
    <t>Pact.</t>
  </si>
  <si>
    <t>Revelation - You must either (choose one):
Draw 2 cards and place 2 doom on the current agenda (this effect can cause the agenda to advance), or take 2 horror.</t>
  </si>
  <si>
    <t>Relentless Dark Young</t>
  </si>
  <si>
    <t>Monster. Dark Young.</t>
  </si>
  <si>
    <t>Prey - Lowest ί.</t>
  </si>
  <si>
    <t>Forced - At the end of the round: Heal 2 damage from Relentless Dark Young.</t>
  </si>
  <si>
    <t>Goat Spawn</t>
  </si>
  <si>
    <t>Humanoid. Monster.</t>
  </si>
  <si>
    <t>Hunter. Retaliate.</t>
  </si>
  <si>
    <t>Forced - When Goat Spawn is defeated: Each investigator at this location takes 1 horror.</t>
  </si>
  <si>
    <t>Young Deep One</t>
  </si>
  <si>
    <t>Humanoid. Monster. Deep One.</t>
  </si>
  <si>
    <t>Prey - Lowest ή.
Hunter.</t>
  </si>
  <si>
    <t>Forced - After Young Deep One engages you: Take 1 horror.</t>
  </si>
  <si>
    <t>Dreams of R'lyeh</t>
  </si>
  <si>
    <t>Revelation - Put Dreams of R'lyeh into play in your threat area.
You get -1 ά and -1 sanity.
η Test ά (3). If you succeed, discard Dreams of R'lyeh.</t>
  </si>
  <si>
    <t>Mini</t>
  </si>
  <si>
    <t>085d8d82-3331-4eda-bcba-e51285fa9b0e</t>
  </si>
  <si>
    <t>1042db12-9e8c-4dd4-ba27-10c2059efca9</t>
  </si>
  <si>
    <t>3d4420ab-52eb-40df-9e63-13dd49fd125c</t>
  </si>
  <si>
    <t>93ab8531-db48-4ee6-b818-4da27752d578</t>
  </si>
  <si>
    <t>395200b6-5e2f-4217-9cb2-005590d81407</t>
  </si>
  <si>
    <t>87041f6f-a325-4b5f-92b6-2df4d01790b1</t>
  </si>
  <si>
    <t>8c96b7d1-18b8-40eb-830c-47a85cd1180f</t>
  </si>
  <si>
    <t>2df74e76-b199-433c-8f48-d2eaed044d56</t>
  </si>
  <si>
    <t>67a13aab-aaa8-404f-8c9b-594c453c217a</t>
  </si>
  <si>
    <t>86358d81-3a3e-40ba-999b-903a1c0d9365</t>
  </si>
  <si>
    <t>ea64a8ea-b5e7-42a3-9763-a9b9048055ec</t>
  </si>
  <si>
    <t>dc0e7a80-2902-4760-8eeb-2ddb6fe8ee93</t>
  </si>
  <si>
    <t>d6b11251-f337-4437-bb24-d9baa52b164f</t>
  </si>
  <si>
    <t>5d3f4670-272f-4665-9812-3a40b5837d97</t>
  </si>
  <si>
    <t>457be9d8-fdd3-4319-86eb-de9d07a5e572</t>
  </si>
  <si>
    <t>5287d028-b018-45ec-b63c-553262c4cb8b</t>
  </si>
  <si>
    <t>cedfc228-4770-4d64-99e9-495a3b629da9</t>
  </si>
  <si>
    <t>a7a16b01-49da-4e9f-8818-18ddd3cbc153</t>
  </si>
  <si>
    <t>6773a3ce-8cc1-4125-add8-96f716e6c807</t>
  </si>
  <si>
    <t>5b7c1138-a82a-44d8-801e-9da8334977e6</t>
  </si>
  <si>
    <t>531433a8-fb9b-4820-a492-b75916c38c32</t>
  </si>
  <si>
    <t>3d5d6da0-c7e0-4cc5-b80c-7649a424706a</t>
  </si>
  <si>
    <t>96ae3844-8204-4f49-bf21-3fe67a03df98</t>
  </si>
  <si>
    <t>2b4c8caa-4e83-444e-b73d-bee8a0a96063</t>
  </si>
  <si>
    <t>f5fcd3ba-665b-4631-a478-35c3bcfd9a84</t>
  </si>
  <si>
    <t>4da600c9-27f3-4d12-a13e-984e120efea2</t>
  </si>
  <si>
    <t>bc574b92-fb2b-464f-b040-6c55a106f4da</t>
  </si>
  <si>
    <t>0db17bb7-4da6-4118-95a1-aca37aba251c</t>
  </si>
  <si>
    <t>12eb456d-9abb-4a7b-9b7f-ebb252772874</t>
  </si>
  <si>
    <t>ce8bd1a5-d504-41cb-a537-3cef1737fada</t>
  </si>
  <si>
    <t>eb341e79-1eb1-46f9-9d25-eff09fe096c9</t>
  </si>
  <si>
    <t>b66282e2-c327-4e19-9348-3a720cc165e4</t>
  </si>
  <si>
    <t>2a79a0a2-400e-464f-a956-95550312101c</t>
  </si>
  <si>
    <t>45640790-e6ac-47e2-ab27-73f030fc3e9c</t>
  </si>
  <si>
    <t>8fc61c54-6c1b-4109-9f64-6cd6bc0f4c50</t>
  </si>
  <si>
    <t>f070e39a-2517-4899-a42d-829b2a9ebf2a</t>
  </si>
  <si>
    <t>65a0cf6c-89e4-4e20-948d-5668de15bd9c</t>
  </si>
  <si>
    <t>0c7de731-8902-4514-89dc-efaea8796661</t>
  </si>
  <si>
    <t>8ebd7f12-7dfd-46fa-9df9-5a869e752740</t>
  </si>
  <si>
    <t>2dc5134a-a78c-4063-bcca-be24ee436798</t>
  </si>
  <si>
    <t>29338631-d9fc-425d-95e1-5dc408ca5355</t>
  </si>
  <si>
    <t>d533f5ae-53fc-4bbb-96b9-d0f26364c387</t>
  </si>
  <si>
    <t>193ea5c4-b871-4b10-9672-dde886264264</t>
  </si>
  <si>
    <t>bc8fc57c-2629-40c0-9da3-634e0dbc4d7c</t>
  </si>
  <si>
    <t>6429b20f-f3c1-4964-9f06-68211b7c7f8a</t>
  </si>
  <si>
    <t>2e8e4d5e-5c7d-412b-9971-73b7b920de6d</t>
  </si>
  <si>
    <t>131a87b5-d7f9-4080-b0f2-2e3742452e3a</t>
  </si>
  <si>
    <t>e1076a92-b968-4f2d-9c58-3b3a8c848591</t>
  </si>
  <si>
    <t>Cult of Umordhoth</t>
  </si>
  <si>
    <t>Rats</t>
  </si>
  <si>
    <t>Ghouls</t>
  </si>
  <si>
    <t>Striking Fear</t>
  </si>
  <si>
    <t>Chilling Cold</t>
  </si>
  <si>
    <t>Dark Cult</t>
  </si>
  <si>
    <t>Nightgaunts</t>
  </si>
  <si>
    <t>Locked Doors</t>
  </si>
  <si>
    <t>Agents of Hastur</t>
  </si>
  <si>
    <t>Agents of Yog-Sothoth</t>
  </si>
  <si>
    <t>Agents of Shub-Niggurath</t>
  </si>
  <si>
    <t>Agents of Cthulhu</t>
  </si>
  <si>
    <t>Discover 1 clue at your location.</t>
  </si>
  <si>
    <t>Item. Weapon. Firearm. Illicit.</t>
  </si>
  <si>
    <t>Uses (3 ammo).</t>
  </si>
  <si>
    <t>η Spend 1 ammo: Fight. You get +2 ή for this attack. If you suceed by 2 or more, this attack deals +1 damage.</t>
  </si>
  <si>
    <t>Disengage from each enemy engaged with you and move to a revealed location with no enemies.</t>
  </si>
  <si>
    <t>Deal 2 damage to an exhausted enemy at your location.</t>
  </si>
  <si>
    <t>Commit only to a skill test you are performing.</t>
  </si>
  <si>
    <t>If you succeed by 3 or more, return Opportunist to your hand after this test instead of discarding it.</t>
  </si>
  <si>
    <t xml:space="preserve">α -X. X is the number of Ghoul enemies at your location._x000D_
β -1. If you fail, take 1 horror._x000D_
γ -2. If there is a Ghoul enemy at your location, take 1 damage._x000D_
</t>
  </si>
  <si>
    <t>α -2. If you fail, after this skill test, search the encounter deck and discard pile for a Ghoul enemy, and draw it. Shuffle the encounter deck.
β Reveal another token. If you fail, take 2 horror.
γ -4. If there is a Ghoul enemy at your location, take 1 damage and 1 horror._x000D_</t>
  </si>
  <si>
    <t>COTR</t>
  </si>
  <si>
    <t>165c7dee-c816-4b42-8cbc-8e1a4d7045e5</t>
  </si>
  <si>
    <t>Curse of the Rougarou</t>
  </si>
  <si>
    <t>8766f3ee-8561-4575-bfe6-5cfe1cb955db</t>
  </si>
  <si>
    <t>885f651f-7908-4f6f-8f55-2809536804e5</t>
  </si>
  <si>
    <t>26dfbefe-7974-4712-a0bd-f0a1d21cdc24</t>
  </si>
  <si>
    <t>c6a861ed-eda1-44d9-8d40-e943a83ee40a</t>
  </si>
  <si>
    <t>6bcc2743-5d10-4b38-aa9e-444da02ce43b</t>
  </si>
  <si>
    <t>dc6662ce-df77-4fc7-8d70-1288586dfd4f</t>
  </si>
  <si>
    <t>fcb8a3b7-d3b7-4cfb-bb90-2468e6375ea0</t>
  </si>
  <si>
    <t>eb2e854d-6be4-498c-b618-458252d2086b</t>
  </si>
  <si>
    <t>41e46a62-8a4d-43f6-bf20-2435bd1f3a44</t>
  </si>
  <si>
    <t>5061a457-9b57-42f6-9fa6-1b5f21003fc3</t>
  </si>
  <si>
    <t>1dd36929-a0a1-4101-b5e3-016a92682058</t>
  </si>
  <si>
    <t>12f2594a-e6cb-451c-ba20-62521e291ade</t>
  </si>
  <si>
    <t>5d9d3940-2340-443f-80d4-bd6c4f796130</t>
  </si>
  <si>
    <t>2479d771-1c28-443d-b357-124128f8fab1</t>
  </si>
  <si>
    <t>c36d6fa7-df5b-4956-aabe-2f2798ae18cd</t>
  </si>
  <si>
    <t>1f840051-0710-4a63-a360-c3883aa1f599</t>
  </si>
  <si>
    <t>a4cf462c-6303-45b5-bd68-20ae8ce4acfa</t>
  </si>
  <si>
    <t>e2f66c2d-ad4d-4dde-9130-e3c4babe168b</t>
  </si>
  <si>
    <t>2046ee30-8aa0-41b8-a824-11525fcb94ad</t>
  </si>
  <si>
    <t>7f80ca4a-7027-485a-bb47-0d795339131e</t>
  </si>
  <si>
    <t>2636b519-938c-466d-b99d-ef1c96204183</t>
  </si>
  <si>
    <t>963e2cb1-5fd7-4270-a9c5-f66a48851ff3</t>
  </si>
  <si>
    <t>f466cb9e-e126-40e8-9c59-a4e552a76e3a</t>
  </si>
  <si>
    <t>9c723742-4bb0-4ec6-a199-950e4c68cb70</t>
  </si>
  <si>
    <t>0af6fd5c-79ba-434a-8f4b-2942bdf3d634</t>
  </si>
  <si>
    <t>2b664214-f205-41ca-b4aa-e0c24191b7c2</t>
  </si>
  <si>
    <t>a6816970-ff41-4ffe-91ab-20a7cffd7c41</t>
  </si>
  <si>
    <t>ed7463fc-09bf-4cfd-a9e1-e8d7440dd669</t>
  </si>
  <si>
    <t>a3999064-2037-41be-b205-1b45c0303e22</t>
  </si>
  <si>
    <t>4d68f0af-6c09-47f4-a736-5f226282c85d</t>
  </si>
  <si>
    <t>bb5274ec-ddf1-42af-98ec-f9894853b50f</t>
  </si>
  <si>
    <t>936a2b10-62bc-4111-af92-cfe571bbc6e1</t>
  </si>
  <si>
    <t>8c355925-69bd-4250-bae7-c7a8207e19a0</t>
  </si>
  <si>
    <t>af15aac4-065e-42e5-a95a-139314036ca5</t>
  </si>
  <si>
    <t>561c595d-0b12-4ac7-8d4b-3467dc19ec0e</t>
  </si>
  <si>
    <t>98c360e5-7899-423e-8ca0-cd36e0fa7100</t>
  </si>
  <si>
    <t>AB</t>
  </si>
  <si>
    <t>α -2 (-4 instead if you are at a Bayou location)
β -2. If The Rougarou is in you location, reveal another token.
γ Reveal another token. If you fail, until the end of the round, you cannot move.
δ -4. If The Rougarou is at your location, it attacks you.</t>
  </si>
  <si>
    <t>α -3 (-6 instead if you are at a Bayou location)
β -3. If The Rougarou is in you location, reveal another token.
γ Reveal another token. If you fail, until the end of the round, you cannot move.
δ -4. If The Rougarou is at your location or a connecting location, it attacks you.</t>
  </si>
  <si>
    <t>A Creature of the Bayou</t>
  </si>
  <si>
    <t>Darkened Skies</t>
  </si>
  <si>
    <t>Shuffle the encounter discard pile into the encounter deck.
If The Rougarou is in play, find a non-Bayou location with the fewest clues on it. Move The Rougarou (one location at a time) until it enters that location.
If The Rougarou is not in play, after advancing to agenda 2a, add 1 doom to that agenda.</t>
  </si>
  <si>
    <t>The Rougarou Feeds</t>
  </si>
  <si>
    <t>The Tenth Night</t>
  </si>
  <si>
    <t>Shuffle all copies of On the Prowl from the encounter discard pile into the encounter deck.
If The Rougarou is in play, find a non-Bayou location with the fewest clues on it. Move The Rougarou (one location at a time) until it enters that location.
If The Rougarou is not in play, after advancing to agenda 3a, add 1 doom to that agenda.</t>
  </si>
  <si>
    <t>The Curse Spreads</t>
  </si>
  <si>
    <t>Taken by the Curse</t>
  </si>
  <si>
    <t>Finding Lady Esprit</t>
  </si>
  <si>
    <t>The bearer of the Curse of the Rougarou weakness read the following (out loud):
You feel something dripping from your hand, and are surprised to find your knuckles bloody and torn. Nearby, the bard of a tree is smashed and dripping with blood. The anger of your failure slowly fades as you realize the blood is yours.
(→R1)
----------------------------
If no investigators gained the Curse of the Rougarou:
(→R1)</t>
  </si>
  <si>
    <t>Forced – At the end of the investigation phase, if The Rougarou is not engaged with an investigator: Add 1 doom to this agenda.</t>
  </si>
  <si>
    <t>Objective – Only investigators at a Bayou location may spend the requisite number of clues, as a group, to advance.
Put the set-aside Lady Esprit into play at Bayou location. Put into play each set aside location. Put the set-aside The Rougarou enemy into play at any non-Bayou location. Shuffle the encounter discard pile and each encounter card from the Curse of the Rougarou encounter set into the encounter deck.</t>
  </si>
  <si>
    <t>The lead investigator reads the following (out loud):
As you leave Lady Esprit's shack, a terrible sickness courses through you, and you drop to your knees.
The lead investigator puts the set-aside Curse of the Rougarou weakness into play in his or her threat area.</t>
  </si>
  <si>
    <t>Hunting the Rougarou</t>
  </si>
  <si>
    <t>The Rougarou is somewhere within the vast bayou. You must track it down and destroy it, lest the beast's curse consume you as well.
Forced - After The Rougarou leaves a location: Place 1 clue from the token bank on that location.
Objective - "We have to destry the beast!"
If The Rougarou is defeated: (→R2)
Objective - "Maybe there's another way..."
While an investigator is engaged with The Rougarou, he or she may choose to advance. (Limit once per phase.)</t>
  </si>
  <si>
    <t>Cursed Shores</t>
  </si>
  <si>
    <t>New Orleans. Bayou.</t>
  </si>
  <si>
    <t>η: Take 1 damage. You get +2 to your skill value for the next skill test you make this turn.
Forced – When you leave Cursed Shores: Choose and discard a skill card from your hand.</t>
  </si>
  <si>
    <t>New Orleans</t>
  </si>
  <si>
    <t>Garden District</t>
  </si>
  <si>
    <t>Broadmoor</t>
  </si>
  <si>
    <t>η: Test ί (7) to try to break into a nearby greenhouse and take a look around. If you succeed, remember that the investigators have "found a strange doll."</t>
  </si>
  <si>
    <t>η: Resign. "We can't catch the beast!" You make your way to safety, letting the beast roam free.</t>
  </si>
  <si>
    <t>Brackish Waters</t>
  </si>
  <si>
    <t>Riverside. Bayou.</t>
  </si>
  <si>
    <t>While you are at Brackish Waters, you cannot play assets.
η Discard 2 assets from your hand or from play: Test ί (3) to wade through the dark waters and retrieve an abandoned fishing net. If you succeed, take control of the set-aside Fishing Net asset.</t>
  </si>
  <si>
    <t>Riverside</t>
  </si>
  <si>
    <t>Audubon Park</t>
  </si>
  <si>
    <t>Forced – When you evade an enemy at Audubon Park: Discard a random card from your hand.</t>
  </si>
  <si>
    <t>Faubourg Marigny</t>
  </si>
  <si>
    <t>While you are at Fauborg Marigny, reduce the cost of each asset you play by 1.
η : Resign. "We can't catch the beast!" You make your way to safety, letting the beast roam free.</t>
  </si>
  <si>
    <t>Forgotten Marsh</t>
  </si>
  <si>
    <t>Wilderness. Bayou.</t>
  </si>
  <si>
    <t>Forced – When you leave Forgotten Marsh: Lose 2 resources.</t>
  </si>
  <si>
    <t>Wilderness</t>
  </si>
  <si>
    <t>Wilderness.</t>
  </si>
  <si>
    <t>Trapper's Cabin</t>
  </si>
  <si>
    <t>While you are at Trapper's Cabin, you cannot gain resources.
η Spend 5 resources: Test έ (3) to convince an old trapper to sell you his last bear trap. If you succeed, take control of the set-aside Bear Trap asset.</t>
  </si>
  <si>
    <t>Twisted Underbrush</t>
  </si>
  <si>
    <t>η : Gain 2 resources and take 1 horror.</t>
  </si>
  <si>
    <t>Foul Swamp</t>
  </si>
  <si>
    <t xml:space="preserve"> Unhallowed. Bayou.</t>
  </si>
  <si>
    <t>While you are at Foul Swamp, you cannot heal horror or cancel horror.
η Take up to 3 horror: Test ά (7) to search the boneyard. You get +1 ά for this test for each horror taken as part of this abilities cost. If you succeed, remember that the investigators have "found an ancient binding stone."</t>
  </si>
  <si>
    <t>Unhallowed Land</t>
  </si>
  <si>
    <t>Ritual Grounds</t>
  </si>
  <si>
    <t>Unhallowed.</t>
  </si>
  <si>
    <t>Forced – After you end your turn at Ritual Grounds: Draw 1 card and take 1 horror.</t>
  </si>
  <si>
    <t>Overgrown Cairns</t>
  </si>
  <si>
    <t>Lady Esprit</t>
  </si>
  <si>
    <t xml:space="preserve">Ally. Sorcerer. </t>
  </si>
  <si>
    <t>Bear Trap</t>
  </si>
  <si>
    <t>Trap.</t>
  </si>
  <si>
    <t>Fishing Net</t>
  </si>
  <si>
    <t>Bog Gator</t>
  </si>
  <si>
    <t>Swamp Leech</t>
  </si>
  <si>
    <t>Cursed Swamp</t>
  </si>
  <si>
    <t>Spectral Mist</t>
  </si>
  <si>
    <t>Dragged Under</t>
  </si>
  <si>
    <t>Ripples on the Surface</t>
  </si>
  <si>
    <t>The Rougarou</t>
  </si>
  <si>
    <t xml:space="preserve">Monster. Creature. Elite. </t>
  </si>
  <si>
    <t>Aloof. Retaliate.</t>
  </si>
  <si>
    <t>Revelation – Put Curse of the Rougarou into play in your threat area.
Forced – At the end of your turn, if you have not dealt any damage this turn: Take 1 horror.</t>
  </si>
  <si>
    <t>Monstrous Transformation</t>
  </si>
  <si>
    <t>Fast.</t>
  </si>
  <si>
    <t>Slime-Covered Dhole</t>
  </si>
  <si>
    <t xml:space="preserve"> Monster. Dhole. </t>
  </si>
  <si>
    <t>Marsh Gug</t>
  </si>
  <si>
    <t xml:space="preserve"> Monster. Gug. </t>
  </si>
  <si>
    <t>Dark Young Host</t>
  </si>
  <si>
    <t xml:space="preserve"> Monster. Dark Young. </t>
  </si>
  <si>
    <t>Forced – When 1 or more clues are placed on Dark Young Host's location: Place those clues on Dark Young Host.
Forced – When Dark Young Host is defeated: Move all clues on Dark Young Host to its location.</t>
  </si>
  <si>
    <t>Spawn – Any Bayou location.</t>
  </si>
  <si>
    <t>Forced – When Slime-Covered Dhole enters a location: Each investigator at that location takes 1 horror.</t>
  </si>
  <si>
    <t>Spawn – Any non-Bayou location.
Prey – Lowest remaining health.
Hunter.</t>
  </si>
  <si>
    <t>Spawn – Any Bayou location.
Hunter.</t>
  </si>
  <si>
    <t>While Bog Gator is at a Bayou location, it gets +2 fight and +2 evade.</t>
  </si>
  <si>
    <t>Swamp Leech cannot be evaded.
Forced – When Swamp Leech enters a non-Bayou location: Discard it.</t>
  </si>
  <si>
    <t>On the Prowl</t>
  </si>
  <si>
    <t>Revelation – Find a non-Bayou location with the fewest clues on it. Move The Rougarou (one location at a time) until it enters that location.</t>
  </si>
  <si>
    <t>Beast of the Bayou</t>
  </si>
  <si>
    <t>Revelation – The Rougarou makes an immediate attack against each investigator at the Rougarou's location and each connecting location. If no attacks were made by this effect, place 1 doom on the current agenda.</t>
  </si>
  <si>
    <t>Insatiable Bloodlust</t>
  </si>
  <si>
    <t>Revelation – Attach to The Rougarou.
The Rougarou gets +1 fight, +1 damage, +1 horror, and cannot be evaded.
Forced – After The Rougarou takes damage: Discard Insatiable Bloodlust.</t>
  </si>
  <si>
    <t>The Bayou</t>
  </si>
  <si>
    <t>η Exhaust Lady Esprit and deal her 1 horror: Heal 2 damage or gain 2 resources. Any investigator at Lady Esprit's location may activate this ability.</t>
  </si>
  <si>
    <t>η  – Spend 2 resources: Heal 2 horror. (Limit once per game.)</t>
  </si>
  <si>
    <t>ά έ ΰ</t>
  </si>
  <si>
    <t>θ : Attach Bear Trap to your location.
Forced – After The Rougarou enters attached location: Attach Bear Trap to The Rougarou.
Attached enemy gets -1 fight and -1 evade.</t>
  </si>
  <si>
    <t>θ If The Rougarou is exhausted and at your location: Attach Fishing Net to The Rougarou.
Attached enemy loses retaliate.</t>
  </si>
  <si>
    <t>Prey – Lowest ί .</t>
  </si>
  <si>
    <t>Revelation – Test ί (3). If you fail, add Dragged Under to your threat area.
Forced – When you leave your current location: take 2 damage and discard Dragged Under.
Forced – At the end of your turn: Test ί (3). If you succeed, discard Dragged Under.</t>
  </si>
  <si>
    <t>Revelation – Test ά (3). For each point you fail by, take 1 damage. If you are at a Bayou location, you cannot commit cards to this skill test.</t>
  </si>
  <si>
    <t>Revelation – Test ά (3). For each point you fail by, take 1 horror. If you are at a Bayou location, you cannot commit cards to this skill test.</t>
  </si>
  <si>
    <t>Revelation – Attach to a Bayou location. Limit 1 per location.
Each skill test performed at attached location gets +1 difficulty.
η : Test έ (2) to disrupt the source of the mist. If you suceed, discard Spectral Mist.</t>
  </si>
  <si>
    <t>Set the base value of your ά and έ to 2.
Set the base value of your ή and ί to 5.
η Exhaust Monstrous Transformation: Fight. You deal +1 damage for this attack.</t>
  </si>
  <si>
    <t>As an additional cost for an investigator to engage The Rougarou, the investigators must spend 1 clue, as a group (2 clues instead if there are 3 or 4 investigators).
Forced – After The Rougarou takes 1 π  damage during a single phase: Find the location that is farthest from all investigator. Move The Rougarou (one location at a time) until it enters that location.</t>
  </si>
  <si>
    <t xml:space="preserve">1π </t>
  </si>
  <si>
    <t>Conversing with the creature is a daunting task. Whenever it is cornered, it bellows and attacks, like a feral beast. If there is still some semblance of humanity left inside the create, it is buried deep beneath the rage and bloodlust of the curse.
If each of the following requirements are met, proceed to (→R3). Otherwise, flip this act back to its "a" side.
    "We must learn more about the curse." The investigators must have 4π  clues, as a group.
    "We must keep it contained." The Rougarou must have a Trap card attached to it.
    "We must protected ourseleves." The Rougarou must have at least 1π  damage on it.
    "We must calm it down." The investigators must have either "found a binding stone" or "found a strange doll."</t>
  </si>
  <si>
    <t>1π</t>
  </si>
  <si>
    <t>Dangerous Bokor</t>
  </si>
  <si>
    <t>Understanding the Curse</t>
  </si>
  <si>
    <t>Taming the Rougarou</t>
  </si>
  <si>
    <t>5π</t>
  </si>
  <si>
    <t>ίήΰ</t>
  </si>
  <si>
    <t>έάΰ</t>
  </si>
  <si>
    <t>ίέΰΰ</t>
  </si>
  <si>
    <t>ήάΰ</t>
  </si>
  <si>
    <t>ΰΰ</t>
  </si>
  <si>
    <t>ήά</t>
  </si>
  <si>
    <t>έέ</t>
  </si>
  <si>
    <t>ίά</t>
  </si>
  <si>
    <t>άΰ</t>
  </si>
  <si>
    <t>ίή</t>
  </si>
  <si>
    <t>ήή</t>
  </si>
  <si>
    <t>ίέ</t>
  </si>
  <si>
    <t>ίέά</t>
  </si>
  <si>
    <t>έή</t>
  </si>
  <si>
    <t>έά</t>
  </si>
  <si>
    <t>ήΰ</t>
  </si>
  <si>
    <t>άά</t>
  </si>
  <si>
    <t>ίί</t>
  </si>
  <si>
    <t>947bb975-8eb2-45a7-bc68-ea58a50190da</t>
  </si>
  <si>
    <t>Cat Burglar</t>
  </si>
  <si>
    <t>Campaign Card 1</t>
  </si>
  <si>
    <t>Campaign Card 3</t>
  </si>
  <si>
    <t>Campaign Card 5</t>
  </si>
  <si>
    <t>Campaign Card 7</t>
  </si>
  <si>
    <t>Campaign</t>
  </si>
  <si>
    <t>Campaign Card 2</t>
  </si>
  <si>
    <t>Campaign Card 4</t>
  </si>
  <si>
    <t>Campaign Card 6</t>
  </si>
  <si>
    <t>Campaign Card 8</t>
  </si>
  <si>
    <t>9652f814-0df7-4a2f-8140-820e7b85fabb</t>
  </si>
  <si>
    <t>33f101e5-161c-458e-894a-522247ac59e1</t>
  </si>
  <si>
    <t>eb3cea58-6b3d-4390-b626-a80072945ae8</t>
  </si>
  <si>
    <t>770b57a7-32cb-435a-9297-66a7eb5113be</t>
  </si>
  <si>
    <t>2π</t>
  </si>
  <si>
    <t>3π</t>
  </si>
  <si>
    <t>Wild</t>
  </si>
  <si>
    <t>Marie Lambeau</t>
  </si>
  <si>
    <t>The Entertainer</t>
  </si>
  <si>
    <t>Performer. Sorcerer.</t>
  </si>
  <si>
    <t>While you have 1 or more doom among cards you control, you may take an additional action during your turn, which can only be used to play Spell cards or activate Spell η abilities._x000D_
ε effect: +1. You may add 1 doom to or remove 1 doom from a card you control.</t>
  </si>
  <si>
    <t>Mystifying Song</t>
  </si>
  <si>
    <t>Spell. Song.</t>
  </si>
  <si>
    <t>Marie Lambeau deck only._x000D_
Fast. Play when the agenda would advance by reaching its doom threshold._x000D_
Until the end of the phase, the agenda cannot advance by reaching its doom threshold. Remove Mystifying Song from the game.</t>
  </si>
  <si>
    <t>Baron Samedi</t>
  </si>
  <si>
    <t>Lord of the Cemetery</t>
  </si>
  <si>
    <t>Avatar.</t>
  </si>
  <si>
    <t>Revelation - Put Baron Samedi into play. He cannot leave play while he has less than 3 doom on him._x000D_
Forced – When any amount of damage is placed on an investigator in Baron Samedi's location: Place 1 additional damage on that investigator._x000D_
θ Exhaust Baron Samedi: Place 1 doom on Baron Samedi. If he has 3 or more doom on him, discard him.</t>
  </si>
  <si>
    <t>462b9c1c-9e3c-4985-9411-fd9e311fae4b</t>
  </si>
  <si>
    <t>Promo</t>
  </si>
  <si>
    <t>08864675-f455-40db-8dac-70f0887dc648</t>
  </si>
  <si>
    <t>13beb81c-4951-4891-9cb2-32d7c9c368bf</t>
  </si>
  <si>
    <t>80aa551e-34a6-412c-8520-7f55a0526bdc</t>
  </si>
  <si>
    <t>AC</t>
  </si>
  <si>
    <t>Carnevale of Horrors</t>
  </si>
  <si>
    <t>The Festivities Begin</t>
  </si>
  <si>
    <t>Baleful Reveler</t>
  </si>
  <si>
    <t>Spreading Chaos</t>
  </si>
  <si>
    <t>Humanoid. Cultist. Elite.</t>
  </si>
  <si>
    <t>The Shadow of the Eclipse</t>
  </si>
  <si>
    <t>Chaos at the Carnevale</t>
  </si>
  <si>
    <t>The Carnevale Conspiracy</t>
  </si>
  <si>
    <t>Get to the Boats!</t>
  </si>
  <si>
    <t>Gondola</t>
  </si>
  <si>
    <t>Venice. Boat.</t>
  </si>
  <si>
    <t>Row!</t>
  </si>
  <si>
    <t>San Marco Basilica</t>
  </si>
  <si>
    <t>Venice.</t>
  </si>
  <si>
    <t>Canal-side</t>
  </si>
  <si>
    <t>Streets of Veince</t>
  </si>
  <si>
    <t>Rialto Bridge</t>
  </si>
  <si>
    <t>Venice. Bridge.</t>
  </si>
  <si>
    <t>Venetian Garden</t>
  </si>
  <si>
    <t>Bridge of Sighs</t>
  </si>
  <si>
    <t>Flooded Square</t>
  </si>
  <si>
    <t>Accademia Bridge</t>
  </si>
  <si>
    <t>The Guardian</t>
  </si>
  <si>
    <t>Don Lagorio</t>
  </si>
  <si>
    <t>Secret Servant</t>
  </si>
  <si>
    <t>Humanoid. Servitor. Elite.</t>
  </si>
  <si>
    <t>Hunter._x000D_
While resolving the hunter keyword on Don Lagorio, his location is connected to the location in the counter-clockwise direction, as well as the clockwise direction.</t>
  </si>
  <si>
    <t>Masked Carnevale-Goer</t>
  </si>
  <si>
    <t>Carnevale.</t>
  </si>
  <si>
    <t>Elisabetta Margo</t>
  </si>
  <si>
    <t>High Servant of the Order</t>
  </si>
  <si>
    <t>Humanoid. Lodge. Elite.</t>
  </si>
  <si>
    <t>Salvatore Neri</t>
  </si>
  <si>
    <t>Master of Illusions</t>
  </si>
  <si>
    <t>Humanoid. Sorcerer. Elite.</t>
  </si>
  <si>
    <t>Savio Corvi</t>
  </si>
  <si>
    <t>Dark Lurker</t>
  </si>
  <si>
    <t>Hunter._x000D_
While resolving the hunter keyword on Savio Corvi, his location is connected to the location across from him, as well as in the clockwise direction.</t>
  </si>
  <si>
    <t>Innocent Reveler</t>
  </si>
  <si>
    <t>Ally. Bystander. Carnevale.</t>
  </si>
  <si>
    <t>Abbess Allegria Di Biase</t>
  </si>
  <si>
    <t>Most Blessed</t>
  </si>
  <si>
    <t>Ally. Believer.</t>
  </si>
  <si>
    <t>Bauta</t>
  </si>
  <si>
    <t>Item. Mask.</t>
  </si>
  <si>
    <t>Medico Della Peste</t>
  </si>
  <si>
    <t>Pantalone</t>
  </si>
  <si>
    <t>έΰ</t>
  </si>
  <si>
    <t>Gilded Volto</t>
  </si>
  <si>
    <t>ίΰ</t>
  </si>
  <si>
    <t>Cnidathqua</t>
  </si>
  <si>
    <t>The Many-armed Beast</t>
  </si>
  <si>
    <t>Monster. Ancient One. Elite.</t>
  </si>
  <si>
    <t>Poleman</t>
  </si>
  <si>
    <t>Monster. Deep One.</t>
  </si>
  <si>
    <t>Carnevale Sentinel</t>
  </si>
  <si>
    <t>Writhing Appendage</t>
  </si>
  <si>
    <t>Monster. Tentacle.</t>
  </si>
  <si>
    <t>Mass Hysteria</t>
  </si>
  <si>
    <t>Lost in Venice</t>
  </si>
  <si>
    <t>Blunder.</t>
  </si>
  <si>
    <t>Watchers' Gaze</t>
  </si>
  <si>
    <t>Chaos in the Water</t>
  </si>
  <si>
    <t>Mesmerize</t>
  </si>
  <si>
    <t>Abduction</t>
  </si>
  <si>
    <t>Scheme.</t>
  </si>
  <si>
    <t>Acrid Miasma</t>
  </si>
  <si>
    <t>AD</t>
  </si>
  <si>
    <t>c3db1608-3e6a-4c50-a19c-54e662919986</t>
  </si>
  <si>
    <t>COH</t>
  </si>
  <si>
    <t>12e64693-5081-4df7-b782-d0c65f970837</t>
  </si>
  <si>
    <t>df403021-1bf1-41f5-b043-23a1cf8a4471</t>
  </si>
  <si>
    <t>0bcfe5c2-2bfe-4d94-89bb-e57e45c06a1d</t>
  </si>
  <si>
    <t>5fb3f545-1b74-4cca-82bf-70044c777233</t>
  </si>
  <si>
    <t>465b0548-4bc3-42b5-94d2-8c56839ffe26</t>
  </si>
  <si>
    <t>5cdb7485-0510-4154-a95b-7ee9f921ef2b</t>
  </si>
  <si>
    <t>301a65e6-d1ba-4b05-afd3-274822a0ebe2</t>
  </si>
  <si>
    <t>f5a94be0-46b8-4421-ae5d-e78f69f5e752</t>
  </si>
  <si>
    <t>251a1d13-d6df-44d8-b7f9-1e9530cd9aa0</t>
  </si>
  <si>
    <t>f8ed894a-eb07-4aaa-8f9b-c75c54fda205</t>
  </si>
  <si>
    <t>5fe3f262-63c7-4f75-8aa4-ace2bd626517</t>
  </si>
  <si>
    <t>08f83237-d86e-4f23-abd7-4ff1db2873f8</t>
  </si>
  <si>
    <t>0cc17a30-bd37-41a0-b8ed-c0fef10abb97</t>
  </si>
  <si>
    <t>f9f1e203-30d8-4b7a-8062-d4135c727f65</t>
  </si>
  <si>
    <t>bda65d6e-fb86-4b41-a575-595479e53ed0</t>
  </si>
  <si>
    <t>f1b60ac1-536c-4e98-b2ca-e71386ebab6d</t>
  </si>
  <si>
    <t>33c71654-227f-44ac-90bf-c0550d14fb5e</t>
  </si>
  <si>
    <t>e4b91703-d264-4aaa-93f4-878207232031</t>
  </si>
  <si>
    <t>d970c25b-c61d-4abe-841d-442ec907b4fb</t>
  </si>
  <si>
    <t>4c4faf51-f697-4c74-8859-c4b5221d5897</t>
  </si>
  <si>
    <t>7dd9e264-2dce-40e2-be80-44ce5285430b</t>
  </si>
  <si>
    <t>ad4fc422-bdb7-4308-a7df-009022796002</t>
  </si>
  <si>
    <t>e77f99ff-5c58-4dd8-9889-87f039493046</t>
  </si>
  <si>
    <t>0c66f5c7-85f9-4177-9624-0638bd33770b</t>
  </si>
  <si>
    <t>6d6ee9e8-36f8-44ce-98d2-71473f012766</t>
  </si>
  <si>
    <t>f315a777-d2a9-46bc-8f33-bc76b6af4574</t>
  </si>
  <si>
    <t>0da4fcab-eb94-4c2d-a905-038add220968</t>
  </si>
  <si>
    <t>0edf876f-6d5c-4c98-9c69-92fee863b780</t>
  </si>
  <si>
    <t>799e0d3c-6f3f-41de-8430-4cb775804597</t>
  </si>
  <si>
    <t>63d81504-f5bd-4136-82ec-55d8590aeec1</t>
  </si>
  <si>
    <t>19a697fe-39f1-4fc3-928b-34610a6d53d8</t>
  </si>
  <si>
    <t>6530e817-1573-42ff-b0c3-db6290cb4002</t>
  </si>
  <si>
    <t>37f34aca-13d8-4457-aa45-0f3e13fe5357</t>
  </si>
  <si>
    <t>85947a9e-7535-4db0-b3f8-9220cf5d5bc9</t>
  </si>
  <si>
    <t>de48fac1-ab99-4201-b846-cad0308930ba</t>
  </si>
  <si>
    <t>ab0834d0-5ada-4be1-a9b4-7fd6c2be299c</t>
  </si>
  <si>
    <t>be44694d-ca22-4142-85be-9b804a981b65</t>
  </si>
  <si>
    <t>3999589b-4693-4a8d-9ce2-014fddf57fb8</t>
  </si>
  <si>
    <t>3ab57c7d-737f-4dba-ba5c-260959ee9c8e</t>
  </si>
  <si>
    <t>7b1b84ba-8597-4634-8968-0c26da7976bc</t>
  </si>
  <si>
    <t>Campaign Card 9</t>
  </si>
  <si>
    <t>Campaign Card 11</t>
  </si>
  <si>
    <t>Campaign Card 10</t>
  </si>
  <si>
    <t>Campaign Card 12</t>
  </si>
  <si>
    <t>5874a1bf-f905-4db0-a4e5-e9919447324d</t>
  </si>
  <si>
    <t>27e6a058-7844-4d26-8db5-1fc63b0dde81</t>
  </si>
  <si>
    <t>2901ee2e-6b47-4e4f-8fe0-6d0c6855bb0d</t>
  </si>
  <si>
    <t>3fe02e7f-aaaf-4ab0-8f6e-fc1b27128f5a</t>
  </si>
  <si>
    <t>9191fbde-4f45-4110-aa71-859266e1f33e</t>
  </si>
  <si>
    <t>investigator</t>
  </si>
  <si>
    <t>mystic</t>
  </si>
  <si>
    <t>If there are 1 or more Masked Carnevale-Goers in play, the lead investigator chooses 1 and flips it to its other side. If its other side is an Innocent Reveler, place it underneath the agenda deck._x000D_
If there is still a Masked Carnevale-Goer in play, flip this agenda back to agenda 2a._x000D_
Otherwise, advance to agenda 3a.</t>
  </si>
  <si>
    <t>In player order, Cnidathqua attacks each investigator in play, regardless of their location. Damage and horror from these attacks must be assigned to an Innocent Reveler first, if able. Then, flip this agenda back to agenda 3a.</t>
  </si>
  <si>
    <t>Put the set-aside Cnidathqua enemy into play in the center of all of the locations. For the remainder of the scenario, Cnidathqua is considered to be in play but is not at any location._x000D_
The lead investigator chooses a Masked Carnevale-Goer in play and flips it to its other side.</t>
  </si>
  <si>
    <t>San Marco Basilica is connected to the location in the clockwise direction.</t>
  </si>
  <si>
    <t>Canal-side is connected to the location in the clockwise direction.</t>
  </si>
  <si>
    <t>Streets of Veince is connected to the location in the clockwise direction.</t>
  </si>
  <si>
    <t>Rialto Bridge is connected to the location in the clockwise direction.</t>
  </si>
  <si>
    <t>Venetian Garden is connected to the location in the clockwise direction.</t>
  </si>
  <si>
    <t>Bridge of Sighs is connected to the location in the clockwise direction.</t>
  </si>
  <si>
    <t>Flooded Square is connected to the location in the clockwise direction.</t>
  </si>
  <si>
    <t>Accademia Bridge is connected to the location in the clockwise direction.</t>
  </si>
  <si>
    <t>The Guardian is connected to the location in the clockwise direction.</t>
  </si>
  <si>
    <t>Easy / Standard_x000D_
α: -2. This token has an additional -1 for each Innocent Reveler underneath the agenda deck._x000D_
β: Reveal another token. If you fail this test, draw the top card of the encounter deck._x000D_
γ: -3. If you fail, deal 1 damage or 1 horror to the nearest Innocent Reveler in play._x000D_
δ: -4. If you fail and Cnidathqua is in play, it attacks you.</t>
  </si>
  <si>
    <t>Hard / Expert_x000D_
α: -2. This token has an additional -1 for each Innocent Reveler underneath the act or agenda decks._x000D_
β: Reveal another token. If you fail this test, draw the top card of the encounter deck._x000D_
γ: -4. Deal 1 damage or 1 horror to the nearest Innocent Reveler in play._x000D_
δ: -6. If you fail and Cnidathqua is in play, it attacks you.</t>
  </si>
  <si>
    <t>Forced - After a Writhing Appendage enters play: Place 2 doom on it.</t>
  </si>
  <si>
    <t>Forced - After the mythos phase begins: Choose a Masked Carnevale-Goer in play and flip it to its other side._x000D_
Objective - If each undefeated investigator is at Canal-side, advance.</t>
  </si>
  <si>
    <t>Revelation - Put Gondola into play and move each investigator to it. Then, remove all other locations from the game. Remove from the game each enemy and asset at those locations, as well._x000D_
η: Test ή or ί (2) to row as hard as you can. If you succeed, place 1 resource from the token bank on this location.</t>
  </si>
  <si>
    <t>San Marco Basilica is connected to the location in the clockwise direction._x000D_
η: Place an Innocent Reveler you control underneath the act deck, out of play.</t>
  </si>
  <si>
    <t>Canal-side is connected to the location in the clockwise direction._x000D_
ι After you enter Canal-side: Place 1 clue on Canal-side from the token bank.</t>
  </si>
  <si>
    <t>Streets of Veince is connected to the location in the clockwise direction._x000D_
θ: Move (to the location in the clockwise direction).</t>
  </si>
  <si>
    <t>Rialto Bridge is connected to the location in the clockwise direction._x000D_
Forced - After you leave Rialto Bridge: Lose 1 action.</t>
  </si>
  <si>
    <t>Venetian Garden is connected to the location in the clockwise direction._x000D_
ηη Spend 2 resources: Heal 2 horror. (Limit once per game.)</t>
  </si>
  <si>
    <t>Bridge of Sighs is connected to the location in the clockwise direction._x000D_
Forced - After you leave Bridge of Sighs: Take 1 horror.</t>
  </si>
  <si>
    <t>Flooded Square is connected to the location in the clockwise direction._x000D_
η: Automatically evade a non-Elite enemy at the location in the counter-clockwise direction. (Group limit once per turn.)</t>
  </si>
  <si>
    <t>Accademia Bridge is connected to the location in the clockwise direction._x000D_
Forced - After you leave Accademia Bridge: Lose 2 resources.</t>
  </si>
  <si>
    <t>The Guardian is connected to the location in the clockwise direction._x000D_
ι After you enter The Guardian: Draw 1 card.</t>
  </si>
  <si>
    <t>η Spend 1 clue: Flip Masked Carnevale-Goer. If its other side is an enemy, it attacks each investigator in its location.</t>
  </si>
  <si>
    <t>Aloof._x000D_
Forced - When you look at Elisabetta Margo using the ability on Act 1a: Flip her to this side._x000D_
Forced - When the mythos phase ends: Place 1 doom on Elisabetta Margo.</t>
  </si>
  <si>
    <t>Retaliate._x000D_
Salvatore Neri's fight value is equal to the attacking investigator's base ή._x000D_
Salvatore Neri's evade value is equal to the evading investigator's base ί.</t>
  </si>
  <si>
    <t>η: Parley. Test έ (2) to convince the reveler to follow you to safety. If you succeed, take control of Innocent Reveler._x000D_
Forced - When Innocent Reveler would be discarded: Place it underneath the agenda deck, out of play. Each investigator takes 1 horror.</t>
  </si>
  <si>
    <t>θ: Exhaust Abbess Allegria Di Biase: Move from her location to a connecting location, or to her location from a location connected to it. Any investigator may trigger this ability.</t>
  </si>
  <si>
    <t>Limit 1 Mask in play._x000D_
ι After Bauta enters play: Gain 2 resources._x000D_
ι When you initiate a non-ή test, discard Bauta: Use ή for this test, instead of the skill indicated.</t>
  </si>
  <si>
    <t>Limit 1 Mask in play._x000D_
ι After Medico Della Peste enters play: You heal 1 damage or 1 horror._x000D_
ι When you initiate a non-ά test, discard Medico Della Peste: Use ά for this test, instead of the skill indicated.</t>
  </si>
  <si>
    <t>Limit 1 Mask in play._x000D_
ι After Pantalone enters play: Draw 2 cards._x000D_
ι When you initiate a non-έ test, discard Pantalone: Use έ for this test, instead of the skill indicated.</t>
  </si>
  <si>
    <t>Limit 1 Mask in play._x000D_
ι After Gilded Volto enters play: Treat the next asset you play this turn as if it has fast._x000D_
ι When you initiate a non-ί test, discard Gilded Volto: Use ί for this test, instead of the skill indicated.</t>
  </si>
  <si>
    <t>You may fight Cnidathqua as if it were at your location (it is not engaged with you)._x000D_
Cnidathqua cannot be evaded._x000D_
Forced - After you fail a test while attacking Cnidathqua: Search the encounter deck and discard pile for a Writhing Appendage and spawn it engaged with you._x000D_
Objective - If Cnidathqua is defeated, (→R2).</t>
  </si>
  <si>
    <t>Spawn - Canal-side._x000D_
Prey - Most Innocent Revelers controlled._x000D_
Hunter.</t>
  </si>
  <si>
    <t>Spawn - The location across from you._x000D_
Retaliate._x000D_
You cannot look at the other side of Masked Carnevale-Goers at Carnevale Sentinel's location using the ability on Act 1a.</t>
  </si>
  <si>
    <t>Retaliate._x000D_
Forced - After Writhing Appendage attacks you: Discard a random card from your hand._x000D_
Forced - When Writhing Appendage is defeated, if Cnidathqua is in play: Deal 1 damage to Cnidathqua.</t>
  </si>
  <si>
    <t>Peril._x000D_
Revelation - You must either take 2 damage or take each Masked Carnevale-Goer, shuffle them so the investigators do not know which is which, and place 1 in each location, starting with the location clockwise from you (Masked Carnevale-Goer side face-up).</t>
  </si>
  <si>
    <t>Peril._x000D_
Revelation - You must either take 2 horror or move to the location across from you.</t>
  </si>
  <si>
    <t>Revelation - Test ά (4). Each investigator who controls an Innocent Reveler must also perform this skill test. Each investigator who fails takes 1 horror, which must be assigned to Innocent Reveler first, if able.</t>
  </si>
  <si>
    <t>Revelation - Test ί (4). Each investigator who controls an Innocent Reveler must also perform this skill test. Each investigator who fails takes 1 damage, which must be assinged to an Innocent Reveler first, if able.</t>
  </si>
  <si>
    <t>Revelation - If there are no Masked Carnevale-Goers at your location, Mesmerize gains surge. If there is a Masked Carnevale-Goer at your location, flip it. If it is an Innocent Reveler, move it to the farthest location clockwise from you with no investigators, then deal it 1 damage and 1 horror.</t>
  </si>
  <si>
    <t>Revelation - Test ά (3). If you fail, you must either lose all of your resources or choose and discard an Ally asset you control.</t>
  </si>
  <si>
    <t>Revelation - Attach to the nearest location in the clockwise direction with no Acrid Miasma._x000D_
Forced - After an investigator enters attached location, he or she tests ά (2). If failed, that investigator must either take 1 damage and 1 horror, or resolve the hunter keyword on each enemy in play.</t>
  </si>
  <si>
    <t xml:space="preserve">Spawn - The nearest location with no investigators counter-clockwise from the lead investigator.
Hunter. Retaliate.
</t>
  </si>
  <si>
    <t xml:space="preserve">
</t>
  </si>
  <si>
    <t>Forced - After Baleful Reveler moves from the hunter keyword, reveal a random token from the chaos bag. If you reveal a α, β, γ, δ, or ζ symbol, resolve its hunter keyword again. (Limit once per round.)</t>
  </si>
  <si>
    <t>η The investigators spend 1π  clues, as a group: Look at the other side of a Masked Carnevale-Goer at any location._x000D_
Objective - If there are a total of 3 Innocent Revelers underneath the act and/or agenda decks, advance.</t>
  </si>
  <si>
    <t>Objective - If there are 4π  resources on Gondola, advance.</t>
  </si>
  <si>
    <t>dfa9b3bf-58f2-4611-ae55-e25562726d62</t>
  </si>
  <si>
    <t>Dunwich Legacy</t>
  </si>
  <si>
    <t>DWL</t>
  </si>
  <si>
    <t>5c3921b7-9316-47a7-b511-8b0391bcf6b8</t>
  </si>
  <si>
    <t>AE</t>
  </si>
  <si>
    <t>Zoey Samaras</t>
  </si>
  <si>
    <t>The Chef</t>
  </si>
  <si>
    <t>Believer. Hunter.</t>
  </si>
  <si>
    <t>ι After you become engaged with an enemy: Gain 1 resource._x000D_
ε effect: +1. If this skill test is successful during an attack, that attack deals +1 damage.</t>
  </si>
  <si>
    <t>guardian</t>
  </si>
  <si>
    <t>Deck size: 30._x000D_
Deckbuilding options: Guardian cards ([guardian]) level 0-5, Neutral cards level 0-5, up to five level 0 cards from any other class._x000D_
Deckbuilding requirements (do not count toward deck size): Zoey's Cross, Smite the Wicked, 1 random basic weakness.</t>
  </si>
  <si>
    <t>a1591610-a459-4959-9a02-55a1ca2cc5f2</t>
  </si>
  <si>
    <t>Rex Murphy</t>
  </si>
  <si>
    <t>The Reporter</t>
  </si>
  <si>
    <t>Reporter.</t>
  </si>
  <si>
    <t>ι After you succeed at a skill test by 2 or more while investigating: Discover 1 clue at your location._x000D_
ε effect: +2. You may instead choose to automatically fail this skill test to draw 3 cards.</t>
  </si>
  <si>
    <t>seeker</t>
  </si>
  <si>
    <t>Deck size: 30._x000D_
Deckbuilding options: Seeker cards ([seeker]) level 0-5, Neutral cards level 0-5, up to five level 0 cards from any other class._x000D_
Deckbuilding requirements (do not count toward deck size): Search for the Truth, Rex's Curse, 1 random basic weakness._x000D_
Deckbuilding requirements: No Fortune cards.</t>
  </si>
  <si>
    <t>59efc32c-d826-4e60-b362-a6e253284c35</t>
  </si>
  <si>
    <t>Jenny Barnes</t>
  </si>
  <si>
    <t>The Dilettante</t>
  </si>
  <si>
    <t>You collect 1 additional resource during each upkeep phase._x000D_
ε effect: +1 for each resource you have.</t>
  </si>
  <si>
    <t>rogue</t>
  </si>
  <si>
    <t>Deck size: 30._x000D_
Deckbuilding options: Rogue cards ([rogue]) level 0-5, Neutral cards level 0-5, up to five level 0 cards from any other class._x000D_
Deckbuilding requirements (do not count toward deck size): Jenny's Twin .45s, Searching for Izzie, 1 random basic weakness.</t>
  </si>
  <si>
    <t>f295467a-14fb-4f4d-b2f5-5ebfd8857e3a</t>
  </si>
  <si>
    <t>Jim Culver</t>
  </si>
  <si>
    <t>The Musician</t>
  </si>
  <si>
    <t>Performer.</t>
  </si>
  <si>
    <t>Treat the modifier on α tokens you reveal as "0."_x000D_
Anytime you reveal a ε token, you may choose to instead treat it as a α token._x000D_
ε effect: +1.</t>
  </si>
  <si>
    <t>Deck size: 30._x000D_
Deckbuilding options: Mystic cards ([mystic]) level 0-5, Neutral cards level 0-5, up to five level 0 cards from any other class._x000D_
Deckbuilding requirements (do not count toward deck size): Jim's Trumpet, Final Rhapsody, 1 random basic weakness.</t>
  </si>
  <si>
    <t>d448218b-7006-4670-a39c-08cd41e44df4</t>
  </si>
  <si>
    <t>"Ashcan" Pete</t>
  </si>
  <si>
    <t>The Drifter</t>
  </si>
  <si>
    <t>You begin the game with Duke in play._x000D_
θ Discard a card from your hand: Ready an asset you control. (Limit once per round.)_x000D_
ε effect: +2. Ready Duke.</t>
  </si>
  <si>
    <t>survivor</t>
  </si>
  <si>
    <t>Deck size: 30._x000D_
Deckbuilding options: Survivor cards ([survivor]) level 0-5, Neutral cards level 0-5, up to five level 0 cards from any other class._x000D_
Deckbuilding requirements (do not count toward deck size): Duke, Wracked by Nightmares, 1 random basic weakness.</t>
  </si>
  <si>
    <t>e84c8e62-7793-4783-a32a-07f31664503c</t>
  </si>
  <si>
    <t>Zoey's Cross</t>
  </si>
  <si>
    <t>Symbol of Righteousness</t>
  </si>
  <si>
    <t>ήήΰ</t>
  </si>
  <si>
    <t>Zoey Samaras deck only._x000D_
ι After an enemy becomes engaged with you, exhaust Zoey's Cross and spend 1 resource: Deal 1 damage to that enemy.</t>
  </si>
  <si>
    <t>7696f7c3-7d82-43d3-a985-ebbc70a98115</t>
  </si>
  <si>
    <t>Smite the Wicked</t>
  </si>
  <si>
    <t>Revelation – Discard cards from the top of the encounter deck until an enemy is discarded. Attach Smite the Wicked to that enemy and spawn it at the location farthest from you._x000D_
Forced – When the game ends, if attached enemy is in play: You suffer 1 mental trauma.</t>
  </si>
  <si>
    <t>3eb82dae-9254-487b-8d9f-217bb055a27b</t>
  </si>
  <si>
    <t>Search for the Truth</t>
  </si>
  <si>
    <t>έέΰ</t>
  </si>
  <si>
    <t>Rex Murphy deck only._x000D_
Draw X cards, where X is the number of clues on Rex Murphy (to a maximum of 5).</t>
  </si>
  <si>
    <t>77176fab-fe89-41dc-b8f6-9a061f92d18e</t>
  </si>
  <si>
    <t>Rex's Curse</t>
  </si>
  <si>
    <t>Revelation - Put Rex's Curse into play in your threat area._x000D_
Forced - When you would succeed at a skill test: Return the revealed chaos token to the bag and reveal a new chaos token. If this effect causes you to fail the test, shuffle Rex's Curse into your deck. (Limit once per test.)</t>
  </si>
  <si>
    <t>0c449dae-56f9-4ba8-abfb-fef861a0497d</t>
  </si>
  <si>
    <t>Jenny's Twin .45s</t>
  </si>
  <si>
    <t>A Perfect Fit</t>
  </si>
  <si>
    <t>ίίΰ</t>
  </si>
  <si>
    <t>Jenny Barnes deck only. Uses (X ammo)._x000D_
η Spend 1 ammo: Fight. You get +2 ή for this attack. This attack deals +1 damage.</t>
  </si>
  <si>
    <t>2333216b-2b9f-4aea-a298-ffcb40d7d527</t>
  </si>
  <si>
    <t>Searching for Izzie</t>
  </si>
  <si>
    <t>Revelation - Attach Searching for Izzie to the location farthest from you._x000D_
ηη: Investigate. If you succeed, instead of discovering clues, discard Searching for Izzie._x000D_
Forced - When the game ends, if Searching for Izzie is in play: You suffer 1 mental trauma.</t>
  </si>
  <si>
    <t>6586c06a-8294-48f2-b99f-fc26db18f20f</t>
  </si>
  <si>
    <t>Jim's Trumpet</t>
  </si>
  <si>
    <t>The Dead Listen</t>
  </si>
  <si>
    <t>άάΰ</t>
  </si>
  <si>
    <t>Item. Instrument. Relic.</t>
  </si>
  <si>
    <t>Jim Culver deck only._x000D_
ι When a α token is revealed during a skill test, exhaust Jim's Trumpet: Heal 1 horror from an investigator at your location or a connecting location.</t>
  </si>
  <si>
    <t>8c786481-e9f3-4fad-bfcc-ed4d78bd8064</t>
  </si>
  <si>
    <t>Final Rhapsody</t>
  </si>
  <si>
    <t>Endtimes.</t>
  </si>
  <si>
    <t>Revelation - Reveal 5 chaos tokens from the chaos bag. For each α and ζ token revealed, take 1 damage and 1 horror.</t>
  </si>
  <si>
    <t>8c887537-5b28-4dcc-85ed-c0ebf9d25a60</t>
  </si>
  <si>
    <t>Duke</t>
  </si>
  <si>
    <t>Loyal Hound</t>
  </si>
  <si>
    <t>"Ashcan" Pete deck only._x000D_
η Exhaust Duke: Fight. You attack with a base ή skill of 4. This attack deals +1 damage._x000D_
η Exhaust Duke: Investigate. You investigate with a base έ skill of 4. You may move to a connecting location immediately before investigating with this effect.</t>
  </si>
  <si>
    <t>d421da41-f879-45d0-9409-d5691fecf56e</t>
  </si>
  <si>
    <t>Wracked by Nightmares</t>
  </si>
  <si>
    <t>Revelation - Exhaust all assets you control and put Wracked by Nightmares into play in your threat area._x000D_
Assets you control cannot ready._x000D_
ηη: Discard Wracked by Nightmares.</t>
  </si>
  <si>
    <t>19c9125c-6580-4f39-8550-683cef8ba475</t>
  </si>
  <si>
    <t>Blackjack</t>
  </si>
  <si>
    <t>η: Fight. You get +1 ή for this attack. If you perform this attack against an enemy engaged with another investigator and you fail, you deal no damage.</t>
  </si>
  <si>
    <t>7378e1df-88a8-43a6-9a63-4377b331ebb2</t>
  </si>
  <si>
    <t>Taunt</t>
  </si>
  <si>
    <t>Fast. Play only during your turn._x000D_
Engage any number of enemies at your location.</t>
  </si>
  <si>
    <t>995ca593-11ac-49b3-b36f-a8b6793519af</t>
  </si>
  <si>
    <t>Teamwork</t>
  </si>
  <si>
    <t>Investigators at your location may give or trade any number of Item assets, Ally assets, or resources among one another.</t>
  </si>
  <si>
    <t>a0f37484-e81b-45cc-b483-33cbfdb02a2d</t>
  </si>
  <si>
    <t>ίήά</t>
  </si>
  <si>
    <t>Fast. Play only during your turn._x000D_
Engage any number of enemies at your location. Draw 1 card for each enemy engaged in this way.</t>
  </si>
  <si>
    <t>43a36feb-e5ff-43fd-97c2-2b06a4b1512d</t>
  </si>
  <si>
    <t>Laboratory Assistant</t>
  </si>
  <si>
    <t>Ally. Miskatonic. Science.</t>
  </si>
  <si>
    <t>Your maximum hand size is increased by 2 while checking your hand size during the upkeep phase._x000D_
ι After Laboratory Assistant enters play: Draw 2 cards.</t>
  </si>
  <si>
    <t>76d32cbe-c709-4ae3-94ba-041312b958c9</t>
  </si>
  <si>
    <t>Strange Solution</t>
  </si>
  <si>
    <t>Unidentified</t>
  </si>
  <si>
    <t>Item. Science.</t>
  </si>
  <si>
    <t>η Test έ (4). If you succeed, discard Strange Solution and draw 2 cards. Record in your Campaign Log that "you have identified the solution."</t>
  </si>
  <si>
    <t>f9ff8557-69f2-472b-837e-ff118816290d</t>
  </si>
  <si>
    <t>Shortcut</t>
  </si>
  <si>
    <t>Fast. Play only during your turn._x000D_
Choose an investigator at your location. Move that investigator to a connecting location.</t>
  </si>
  <si>
    <t>3766edeb-4f1d-436b-b130-bdea175b6a1f</t>
  </si>
  <si>
    <t>Seeking Answers</t>
  </si>
  <si>
    <t>Investigate. If you succeed, instead of discovering a clue at your location, discover a clue at a connecting location.</t>
  </si>
  <si>
    <t>6e6f89d0-796f-4395-987e-f7b3b32d9565</t>
  </si>
  <si>
    <t>Liquid Courage</t>
  </si>
  <si>
    <t>Item. Illicit.</t>
  </si>
  <si>
    <t>Uses (4 supplies)._x000D_
η Spend 1 supply: Choose an investigator at your location to heal 1 horror. Then, that investigator tests ά (2). If the test succeeds, he or she heals 1 additional horror. If the test fails, he or she discards 1 card at random from his or her hand.</t>
  </si>
  <si>
    <t>d86a00ff-6974-4b6b-9785-cd20fa49256d</t>
  </si>
  <si>
    <t>Think on Your Feet</t>
  </si>
  <si>
    <t>Trick.</t>
  </si>
  <si>
    <t>Fast. Play when an enemy would spawn at your location._x000D_
Immediately move to a connecting location. (The enemy still spawns at your previous location.)</t>
  </si>
  <si>
    <t>6804e6e3-6a7c-458c-a1b7-185bc4928f4c</t>
  </si>
  <si>
    <t>Double or Nothing</t>
  </si>
  <si>
    <t>Max 1 committed per skill test._x000D_
Double the difficulty of this skill test. If this skill test is successful, resolve the effects of the successful test twice.</t>
  </si>
  <si>
    <t>6263c096-a016-45fb-bb9b-05ec75e63757</t>
  </si>
  <si>
    <t>Hired Muscle</t>
  </si>
  <si>
    <t>You get +1 ή._x000D_
Forced – At the end of the upkeep phase: You must either pay 1 resource or discard Hired Muscle.</t>
  </si>
  <si>
    <t>8f39c168-aa45-44c4-bffc-a223afd1db79</t>
  </si>
  <si>
    <t>Rite of Seeking</t>
  </si>
  <si>
    <t>Uses (3 charges)._x000D_
η Spend 1 charge: Investigate. Investigate using ά instead of έ. If you succeed, discover 1 additional clue at this location. If a α, β, γ, δ, or ζ symbol is revealed during this test, after this test resolves lose all remaining actions and immediately end your turn.</t>
  </si>
  <si>
    <t>1225df00-7d5e-4bd0-8170-e561f558e9ae</t>
  </si>
  <si>
    <t>Ritual Candles</t>
  </si>
  <si>
    <t>ι After a α, β, γ, or δ symbol is revealed during a test you are performing: You get +1 skill value for this test.</t>
  </si>
  <si>
    <t>e6c78c15-3ceb-4823-ad9b-7542722b4cf2</t>
  </si>
  <si>
    <t>Clarity of Mind</t>
  </si>
  <si>
    <t>Uses (3 charges)._x000D_
η Spend 1 charge: Heal 1 horror from an investigator at your location.</t>
  </si>
  <si>
    <t>07c3267c-b993-4626-ab58-cf75754ad016</t>
  </si>
  <si>
    <t>Bind Monster</t>
  </si>
  <si>
    <t>Evade. This evasion attempt uses ά instead of ί. If you succeed and the enemy is non‑Elite, evade it and attach Bind Monster to it._x000D_
ι When attached enemy would ready: Test ά (3). If you succeed, attached enemy does not ready. If you fail, discard Bind Monster.</t>
  </si>
  <si>
    <t>a630f620-efc0-43c0-aaa3-841080cf2cf9</t>
  </si>
  <si>
    <t>Fire Axe</t>
  </si>
  <si>
    <t>η: Fight. If you have no resources in your resource pool, this attack deals +1 damage._x000D_
θ During an attack using Fire Axe, spend 1 resource: You get +2 ή for this skill test. (Limit three times per attack.)</t>
  </si>
  <si>
    <t>28d41827-8f9b-432f-b0b0-05d5c2bd926e</t>
  </si>
  <si>
    <t>Peter Sylvestre</t>
  </si>
  <si>
    <t>Big Man on Campus</t>
  </si>
  <si>
    <t>You get +1 ί._x000D_
ι After your turn ends: Heal 1 horror from Peter Sylvestre.</t>
  </si>
  <si>
    <t>5dd0691a-320c-4343-b73e-c57a59e2069c</t>
  </si>
  <si>
    <t>Bait and Switch</t>
  </si>
  <si>
    <t>Evade. If you succeed, if the enemy is non-Elite, evade the enemy and move it to a connecting location.</t>
  </si>
  <si>
    <t>ef1f9144-fb54-4e5c-aa1e-66fd9afe9b69</t>
  </si>
  <si>
    <t>You get +1 ί and +1 ά._x000D_
ι After your turn ends: Heal 1 horror from Peter Sylvestre.</t>
  </si>
  <si>
    <t>1d85aa6a-7b58-408c-b84e-5685f7e9e10a</t>
  </si>
  <si>
    <t>Kukri</t>
  </si>
  <si>
    <t>η: Fight. You get +1 ή for this attack. If you succeed, you may spend 1 additional action to deal +1 damage for this attack.</t>
  </si>
  <si>
    <t>1ecf4d84-da04-4c69-8fac-aa11bdc4171f</t>
  </si>
  <si>
    <t>Indebted</t>
  </si>
  <si>
    <t>Flaw.</t>
  </si>
  <si>
    <t>ee9ed7fb-bd73-4a10-88ce-0617321ebecd</t>
  </si>
  <si>
    <t>Internal Injury</t>
  </si>
  <si>
    <t>Injury.</t>
  </si>
  <si>
    <t>Revelation - Place Internal Injury into play in your threat area._x000D_
ι At the end of your turn: Take 1 direct damage._x000D_
ηη: Discard Internal Injury.</t>
  </si>
  <si>
    <t>bd089e8f-e3f0-4fd3-9bf2-e7de8832da73</t>
  </si>
  <si>
    <t>Chronophobia</t>
  </si>
  <si>
    <t>Revelation - Place Chronophobia into play in your threat area._x000D_
Forced - At the end of your turn: Take 1 direct horror._x000D_
ηη: Discard Chronophobia.</t>
  </si>
  <si>
    <t>7fc5f1e2-a4bc-4023-a7cd-315d3912bd79</t>
  </si>
  <si>
    <t>Armitage's Fate</t>
  </si>
  <si>
    <t>Dr. Henry Armitage</t>
  </si>
  <si>
    <t>The Head Librarian</t>
  </si>
  <si>
    <t>ι After you draw a card, discard that card and exhaust Dr. Henry Armitage: Gain 3 resources.</t>
  </si>
  <si>
    <t>b08a7c06-5d1b-4bcb-b207-ff248bcf634d</t>
  </si>
  <si>
    <t>Extracurricular Activity</t>
  </si>
  <si>
    <t>Easy / Standard_x000D_
α: -1. If you fail, discard the top 3 cards of your deck._x000D_
β: -1 (-3 instead if there are 10 or more cards in your discard pile)._x000D_
δ: -X. Discard the top 2 cards of your deck. X is the total printed cost of those discarded cards.</t>
  </si>
  <si>
    <t>Hard / Expert_x000D_
α: -2. If you fail, discard the top 5 cards of your deck._x000D_
β: -1 (-5 instead if there are 10 or more cards in your discard pile)._x000D_
δ: -X. Discard the top 3 cards of your deck. X is the total printed cost of those discarded cards.</t>
  </si>
  <si>
    <t>6566fbf5-5332-4710-b25d-732161ecfb55</t>
  </si>
  <si>
    <t>Quiet Halls</t>
  </si>
  <si>
    <t>Each investigator with 5 or more cards in his or her discard pile takes 1 horror. Each investigator with 10 or more cards in his or her discard pile takes 2 horror, instead._x000D_
If the players have completed The House Always Wins, advance directly to agenda 2b. If Extracurricular Activity is the first scenario in the campaign, advance to agenda 2a.</t>
  </si>
  <si>
    <t>bc83f534-0039-46ab-ac89-8a1397a81810</t>
  </si>
  <si>
    <t>Dead of Night</t>
  </si>
  <si>
    <t>Each investigator's maximum hand size is reduced by 3 while checking his or her hand size during the upkeep phase.</t>
  </si>
  <si>
    <t>If the Dormitories location is not in play, put it into play._x000D_
If The Experiment is in play, move it 1 location towards the Dormitories._x000D_
If The Experiment is not in play, spawn it in the Science Building.</t>
  </si>
  <si>
    <t>546c1b52-8fd0-416f-87cc-9d9465734200</t>
  </si>
  <si>
    <t>The Beast Unleashed</t>
  </si>
  <si>
    <t>Forced - When this agenda would advance by reaching its doom threshold: Instead, remove all doom in play and move The Experiment 1 location toward the Dormitories._x000D_
Objective - If The Experiment enters the Dormitories, advance.</t>
  </si>
  <si>
    <t>Each investigator immediately takes 3 horror. Then, proceed to (→R4).</t>
  </si>
  <si>
    <t>c1da68e9-f0e5-460a-8488-8ef709a70ea2</t>
  </si>
  <si>
    <t>After Hours</t>
  </si>
  <si>
    <t>Shuffle the encounter discard pile and the set-aside "Jazz" Mulligan into the encounter deck.</t>
  </si>
  <si>
    <t>09562e3e-1f68-4e44-aa9b-e532ebec6b4a</t>
  </si>
  <si>
    <t>Rice's Whereabouts</t>
  </si>
  <si>
    <t>η Spend 1 clue: Discard the top 5 cards of the encounter deck (top 10 instead if there is only 1 player in the game)._x000D_
Forced - If you discard "Jazz" Mulligan for any reason, resolve his revelation effect._x000D_
Objective - When you take control of "Jazz" Mulligan, advance.</t>
  </si>
  <si>
    <t>If the Alchemy Labs location is not in play, put it into play. If you are at Agenda 1 or 2, spawn The Experiment in the Alchemy Labs._x000D_
If you have completed The House Always Wins, put the set-aside Alchemical Concoction into play underneath the Alchemy Labs. If Extracurricular Activity is the first scenario of the campaign, remove the set-aside Alchemical Concoction from the game, instead.</t>
  </si>
  <si>
    <t>6b6b52fa-9ca1-4f6d-a5bd-34fc1e20723a</t>
  </si>
  <si>
    <t>Campus Safety</t>
  </si>
  <si>
    <t>Objective - Find and complete an objective on another encounter card.</t>
  </si>
  <si>
    <t>(→R3)</t>
  </si>
  <si>
    <t>87da9861-7082-4841-9cac-a0feb18330ce</t>
  </si>
  <si>
    <t>Miskatonic Quad</t>
  </si>
  <si>
    <t>η: Resign. "We can't find Rice anywhere..." You leave the campus, hoping Armitage will forgive you.</t>
  </si>
  <si>
    <t>a461af68-19d3-46dc-ada5-d5311515ad54</t>
  </si>
  <si>
    <t>Humanities Building</t>
  </si>
  <si>
    <t>Forced - At the end of your turn, if you are in the Humanities Building: Discard the top X cards of your deck, where X is the amount of horror on you.</t>
  </si>
  <si>
    <t>4ff2fd3f-fa5c-41f0-87c9-6408cc8dbf6d</t>
  </si>
  <si>
    <t>Orne Library</t>
  </si>
  <si>
    <t>You must spend 1 additional action to investigate the Orne Library.</t>
  </si>
  <si>
    <t>9fe83ed1-f28a-47fd-8a83-f0e603d5afe2</t>
  </si>
  <si>
    <t>Student Union</t>
  </si>
  <si>
    <t>Forced - After Student Union is revealed: Put the set-aside Dormitories into play._x000D_
ηη: Heal 1 damage and 1 horror.</t>
  </si>
  <si>
    <t>f2a1a2ce-85ed-4cd8-b921-8a345a33da17</t>
  </si>
  <si>
    <t>Dormitories</t>
  </si>
  <si>
    <t>The door leading into the Dormitories is locked. You cannot move into the Dormitories.</t>
  </si>
  <si>
    <t>Objective - If investigators in the Dormitories spend 3[per investigator] clues, as a group: (→R2)</t>
  </si>
  <si>
    <t>f5a6a23b-fb3b-492c-a57c-28a992fe8012</t>
  </si>
  <si>
    <t>Forced - After Administration is revealed: Put the set-aside Faculty Offices into play._x000D_
Forced - At the end of your turn, if you are in Administration: Discard the top card of your deck.</t>
  </si>
  <si>
    <t>15529356-18d0-4148-bbf1-b6bd4fc2a2cb</t>
  </si>
  <si>
    <t>Faculty Offices</t>
  </si>
  <si>
    <t>The door leading into the Faculty Offices is locked. You cannot move into the Faculty Offices.</t>
  </si>
  <si>
    <t>The Night is Still Young</t>
  </si>
  <si>
    <t>Forced - After Faculty Offices is revealed: Search the encounter deck and discard pile for a Humanoid enemy and spawn it here. Shuffle the encounter deck._x000D_
Objective - If investigators in the Faculty Offices spend 2[per investigator] clues, as a group: (→R1)</t>
  </si>
  <si>
    <t>41ea5c25-5bca-493d-b91f-ebd5fdbc4957</t>
  </si>
  <si>
    <t>The Hour is Late</t>
  </si>
  <si>
    <t>6e289bf2-c433-451d-8d44-efd339a16f27</t>
  </si>
  <si>
    <t>Science Building</t>
  </si>
  <si>
    <t>Forced - After Science Building is revealed: Put the set-aside Alchemy Labs into play._x000D_
Forced - When you fail a ά test in the Science Building: Take 1 damage.</t>
  </si>
  <si>
    <t>3c08ff87-0ea6-42b3-a177-088ee958588c</t>
  </si>
  <si>
    <t>Alchemy Labs</t>
  </si>
  <si>
    <t>The door leading into the Alchemy Labs is locked. You cannot move into the Alchemy Labs.</t>
  </si>
  <si>
    <t>η: Investigate. If you are successful, instead of discovering clues, take the Alchemical Concoction from underneath this location if able.</t>
  </si>
  <si>
    <t>27fef106-be25-4c4a-9732-95d4f3a64c76</t>
  </si>
  <si>
    <t>The Experiment</t>
  </si>
  <si>
    <t>Something Went Terribly Wrong</t>
  </si>
  <si>
    <t>Monster. Abomination. Elite.</t>
  </si>
  <si>
    <t>Massive._x000D_
The Experiment gets +3[per investigator] health._x000D_
Forced - When the enemy phase begins: Ready The Experiment._x000D_
Objective - If The Experiment is defeated, advance to act 3b.</t>
  </si>
  <si>
    <t>c6918c7e-efaf-4524-b2ac-69c07a8ddd40</t>
  </si>
  <si>
    <t>Alchemical Concoction</t>
  </si>
  <si>
    <t>η: Fight. This attack uses έ instead of ή. If used to attack The Experiment, this attack deals +6 damage. If you succeed, remove Alchemical Concoction from the game.</t>
  </si>
  <si>
    <t>cf7346b9-b7eb-4f13-92fa-4468f3e9158a</t>
  </si>
  <si>
    <t>"Jazz" Mulligan</t>
  </si>
  <si>
    <t>The Head Janitor</t>
  </si>
  <si>
    <t>Revelation - Put "Jazz" Mulligan into play at your location._x000D_
While "Jazz" Mulligan is not controlled by a player, he gains: "η: Parley. Test έ (3). If successful, take control of "Jazz" Mulligan."_x000D_
While you control "Jazz" Mulligan, you ignore the text on each unrevealed Miskatonic location.</t>
  </si>
  <si>
    <t>348b3d51-a526-420d-95d0-8a65df600c52</t>
  </si>
  <si>
    <t>Professor Warren Rice</t>
  </si>
  <si>
    <t>Professor of Languages</t>
  </si>
  <si>
    <t>You get +1 έ._x000D_
ι After you discover the last remaining clue in your location, exhaust Professor Warren Rice: Draw 1 card.</t>
  </si>
  <si>
    <t>293a7805-47b3-41a8-96af-14bcb19f93f7</t>
  </si>
  <si>
    <t>The House Always Wins</t>
  </si>
  <si>
    <t>Easy / Standard_x000D_
α: -2. You may spend 2 resources to treat this token as a 0, instead._x000D_
β: -3. If you succeed, gain 3 resources._x000D_
γ: -2. If you fail, discard 3 resources.</t>
  </si>
  <si>
    <t>Hard / Expert_x000D_
α: -3. You may spend 3 resources to treat this token as a 0, instead._x000D_
β: -3. If you fail, discard 3 resources._x000D_
γ: -2. Discard 3 resources.</t>
  </si>
  <si>
    <t>f6a860e8-64e9-495a-8ce3-4841f83f0f47</t>
  </si>
  <si>
    <t>The Clover Club</t>
  </si>
  <si>
    <t>Each Criminal enemy gains Aloof._x000D_
If an investigator deals damage to a Criminal enemy: Immediately advance.</t>
  </si>
  <si>
    <t>Shuffle the encounter discard pile into the encounter deck._x000D_
If the players have completed Extracurricular Activity, advance directly to agenda 2b. If The House Always Wins is the first scenario in the campaign, advance to agenda 2a.</t>
  </si>
  <si>
    <t>da10c46d-609b-473f-96c3-8cb10128b336</t>
  </si>
  <si>
    <t>Underground Muscle</t>
  </si>
  <si>
    <t>Spawn a random enemy from the set-aside Hideous Abominations encounter set in Clover Club Lounge. Shuffle the rest of that encounter set, the set-aside Striking Fear encounter set, and the encounter discard pile into the encounter deck._x000D_
Move all investigators and unengaged enemies from La Bella Luna to the Clover Club Lounge. Remove La Bella Luna from the game.</t>
  </si>
  <si>
    <t>2d5e61ce-bdea-4685-a5e9-f1223fa84367</t>
  </si>
  <si>
    <t>Chaos in the Clover Club</t>
  </si>
  <si>
    <t>Forced - At the start of the enemy phase: Discard each Criminal enemy in the same location as an Abomination enemy.</t>
  </si>
  <si>
    <t>(→R4)</t>
  </si>
  <si>
    <t>48484eb9-dd14-4b3b-a751-ebb7d8e55797</t>
  </si>
  <si>
    <t>Beginner's Luck</t>
  </si>
  <si>
    <t>ι When you reveal a chaos token: You may treat that token as if it were any other token in the chaos bag. If you do, remember that you have "cheated." (Group limit once per round.)_x000D_
Objective - When the investigators have collected the requisite number of clues, they must immediately spend them and advance.</t>
  </si>
  <si>
    <t>Put the set-aside Darkened Hall into play._x000D_
If it is Agenda 1, discard cards from the top of the encounter deck until a Criminal enemy is discarded, and spawn that enemy in the Darkened Hall.</t>
  </si>
  <si>
    <t>212657b3-51a8-4b6c-9125-7005f0dd8510</t>
  </si>
  <si>
    <t>Skin Game</t>
  </si>
  <si>
    <t>Objective - Only investigators in the VIP Area may spend the requisite number of clues, as a group, to advance.</t>
  </si>
  <si>
    <t>If the players have not yet completed Extracurricular Activity:You find Dr. Morgan gambling in one of the VIP rooms... but he appears to be playing cards with two unconscious bodies, his pupils dilated as though in a trance. He can't seem to stop laughing, smiling, and chatting with the other "players."Put the set-aside Dr. Morgan into play in the VIP Area. Advance to Act 3a - "All In."_x000D_
If the players have completed Extracurricular Activity:The VIP rooms are filled with the mangled and bloody bodies of unfortunate patrons. There doesn't appear to be any trace of Dr. Morgan. You hear screaming and gunfire from the main area of the club.Put the set-aside Peter Clover into play in the Clover Club Bar. Search the encounter deck (or out of play) for an Abomination enemy, and spawn it in the Clover Club Bar. Advance to Act 3a - "Fold."</t>
  </si>
  <si>
    <t>f58a0fc5-57e2-4d23-b16d-aade9b2aa867</t>
  </si>
  <si>
    <t>All In</t>
  </si>
  <si>
    <t>While Dr. Morgan is not controlled by a player, he gains "η: Parley. Test ά (3) to shake Dr. Morgan out of his daze. If you succeed, place 1 clue from the token bank on him. If there are 1[per investigator] clues on Dr. Morgan, take control of him."_x000D_
Objective - If each undefeated investigator has resigned, advance.</t>
  </si>
  <si>
    <t>— If an investigator resigned with Dr. Francis Morgan under his or her control, (→R2)_x000D_
— Otherwise, (→R1)</t>
  </si>
  <si>
    <t>c19ba09a-afe2-48f4-a51c-78d40f4b2155</t>
  </si>
  <si>
    <t>Fold</t>
  </si>
  <si>
    <t>While Peter Clover is not controlled by a player, he gains "η: Parley. Test ά (3) to convince Peter to follow you. If you succeed, place 1 clue from the token bank on him. If there are 1[per investigator] clues on Peter Clover, take control of him."_x000D_
Objective - If each undefeated investigator has resigned, advance.</t>
  </si>
  <si>
    <t>— If an investigator resigned with Peter Clover under his or her control, (→R3)_x000D_
— Otherwise, (→R1)</t>
  </si>
  <si>
    <t>f354c097-9674-43e9-8a77-2ccd5f51eb09</t>
  </si>
  <si>
    <t>La Bella Luna</t>
  </si>
  <si>
    <t>η: Resign. This was a bust.</t>
  </si>
  <si>
    <t>6b14f253-95a4-4dbe-819d-afb8bdba7fbf</t>
  </si>
  <si>
    <t>Clover Club Lounge</t>
  </si>
  <si>
    <t>Clover Club.</t>
  </si>
  <si>
    <t>While it is Act 1, Clover Club Lounge gains:_x000D_
"η Discard an Ally asset from your hand: Gain 2 clues from the token pool. (Limit once per game.)"</t>
  </si>
  <si>
    <t>9c147569-3b78-487f-a2e1-c7fc27fc5c5a</t>
  </si>
  <si>
    <t>Clover Club Bar</t>
  </si>
  <si>
    <t>While it is Act 1, Clover Club Bar gains:_x000D_
"η Spend 2 resources: Gain 2 clues from the token pool and draw 2 cards. Remember that you have 'had a drink.' (Limit once per game.)"</t>
  </si>
  <si>
    <t>a05ba6f5-01c3-4915-9591-54ee19d8071e</t>
  </si>
  <si>
    <t>Clover Club Cardroom</t>
  </si>
  <si>
    <t>While it is Act 1, Clover Club Cardroom gains:_x000D_
"η Spend 2 resources: Reveal a random chaos token._x000D_
If it is a ε symbol, gain 2 clues and 2 resources from the token bank._x000D_
If it is an even number, gain 2 clues from the token bank._x000D_
If it is an odd number or a α, β, γ, δ, or ζ symbol, nothing happens."</t>
  </si>
  <si>
    <t>92e00d83-0337-4b11-a54a-234d4ab391df</t>
  </si>
  <si>
    <t>Darkened Hall</t>
  </si>
  <si>
    <t>Forced - When Darkened Hall is revealed: Put into play the 3 set-aside Back Hall Doorway locations.</t>
  </si>
  <si>
    <t>d28e263f-2712-4ba3-916c-9c02e4073b40</t>
  </si>
  <si>
    <t>Art Gallery</t>
  </si>
  <si>
    <t>Forced - After you fail a skill test while investigating the Art Gallery: Lose 2 resources.</t>
  </si>
  <si>
    <t>a43dcccb-fb2b-4051-bd2c-cbd26dcbbd81</t>
  </si>
  <si>
    <t>VIP Area</t>
  </si>
  <si>
    <t>While you are in the VIP Area, you cannot draw cards or gain resources during the upkeep phase.</t>
  </si>
  <si>
    <t>4916cef3-9842-42a0-bcc8-d39fb08f3032</t>
  </si>
  <si>
    <t>Back Alley</t>
  </si>
  <si>
    <t>η: Resign. We can get out this way!</t>
  </si>
  <si>
    <t>fff0c40c-d0b4-4042-a64b-8a7f45b1eae4</t>
  </si>
  <si>
    <t>Clover Club Pit Boss</t>
  </si>
  <si>
    <t>Criminal. Elite.</t>
  </si>
  <si>
    <t>Prey - Highest έ._x000D_
Hunter._x000D_
Forced - After an investigator at Clover Club Pit Boss's location gains any number of clues: Clover Club Pit Boss readies, engages that investigator, and makes an immediate attack.</t>
  </si>
  <si>
    <t>e9a12a37-22f2-49fa-b64b-5895ad5f277e</t>
  </si>
  <si>
    <t>Peter Clover</t>
  </si>
  <si>
    <t>Holding All the Cards</t>
  </si>
  <si>
    <t>Human. Criminal.</t>
  </si>
  <si>
    <t>Forced - At the start of the enemy phase, if no investigator controls Peter Clover: Deal 1 damage to him._x000D_
θExhaust Peter Clover: Automatically evade a Criminal enemy in your location.</t>
  </si>
  <si>
    <t>ab261304-07ef-4bd2-9df7-7e2d5d5ce86d</t>
  </si>
  <si>
    <t>Dr. Francis Morgan</t>
  </si>
  <si>
    <t>Professor of Archaeology</t>
  </si>
  <si>
    <t>You get +1 ή._x000D_
ι After you defeat an enemy, exhaust Dr. Francis Morgan: Draw 1 card.</t>
  </si>
  <si>
    <t>9f8bba21-d2b3-4b5a-8a98-22ee78d592d2</t>
  </si>
  <si>
    <t>Something in the Drinks</t>
  </si>
  <si>
    <t>Poison. Illicit.</t>
  </si>
  <si>
    <t>Surge._x000D_
Revelation - Each player who has "had a drink" loses 1 action.</t>
  </si>
  <si>
    <t>01b32aa7-2a0d-4041-b562-3fb47b2ce697</t>
  </si>
  <si>
    <t>Arousing Suspicions</t>
  </si>
  <si>
    <t>Revelation - Place 1 doom on each Criminal enemy at your location. If no doom was placed by this effect, lose 2 resources.</t>
  </si>
  <si>
    <t>b4d33590-94ad-4092-80d8-460c4fcbb54a</t>
  </si>
  <si>
    <t>Sorcery</t>
  </si>
  <si>
    <t>Visions of Futures Past</t>
  </si>
  <si>
    <t>Revelation - Test ά (5). For each point you fail by, discard the top card of your deck.</t>
  </si>
  <si>
    <t>0d20810c-b434-45c9-8258-cb9652017a12</t>
  </si>
  <si>
    <t>Beyond the Veil</t>
  </si>
  <si>
    <t>Surge._x000D_
Revelation - Put Beyond the Veil into play in your threat area if there is no copy of Beyond the Veil in your threat area._x000D_
Forced - If your deck has no cards in it: Take 10 damage and discard Beyond the Veil.</t>
  </si>
  <si>
    <t>1dc185eb-7c88-452b-831c-340659280f30</t>
  </si>
  <si>
    <t>Bishop's Thralls</t>
  </si>
  <si>
    <t>Light of Aforgomon</t>
  </si>
  <si>
    <t>Pact. Power.</t>
  </si>
  <si>
    <t>Peril._x000D_
Revelation - You must attach Light of Aforgomon to either the current agenda or the current act._x000D_
Limit 1 per agenda/act. Treat all damage as direct damage and all horror as direct horror.</t>
  </si>
  <si>
    <t>46be7d48-af4a-4459-b35d-37e92e2eb917</t>
  </si>
  <si>
    <t>Thrall</t>
  </si>
  <si>
    <t>Humanoid. Monster. Abomination.</t>
  </si>
  <si>
    <t>Spawn - Location with the most clues._x000D_
Retaliate.</t>
  </si>
  <si>
    <t>4f2da478-90bc-4325-8f8c-4d3568a0b0e6</t>
  </si>
  <si>
    <t>Wizard of Yog-Sothoth</t>
  </si>
  <si>
    <t>Humanoid. Sorcerer.</t>
  </si>
  <si>
    <t>Prey - Least cards in hand._x000D_
Hunter._x000D_
Forced - When the engaged investigator draws a Hex or Pact card: Wizard of Yog-Sothoth attacks that investigator.</t>
  </si>
  <si>
    <t>14da4d4b-a219-4aa6-94e7-6977a886adcc</t>
  </si>
  <si>
    <t>Dunwich</t>
  </si>
  <si>
    <t>Unhallowed Country</t>
  </si>
  <si>
    <t>Revelation - Put Unhallowed Country into play in your threat area._x000D_
You cannot play Ally assets. Treat the printed text box of each Ally asset you control as if it were blank._x000D_
Forced - At the end of your turn: Test ά (3). If you succeed, discard Unhallowed Country.</t>
  </si>
  <si>
    <t>dcdf02d6-781a-4989-8026-907d9b083287</t>
  </si>
  <si>
    <t>Sordid and Silent</t>
  </si>
  <si>
    <t>Revelation - Attach Sordid and Silent to your location._x000D_
Forced - At the end of the round: Each investigator at attached location takes 1 horror._x000D_
Forced - When the agenda advances: Discard Sordid and Silent.</t>
  </si>
  <si>
    <t>315c1f0b-7284-4aa5-87ef-1008c491138f</t>
  </si>
  <si>
    <t>Whip Poor Wills</t>
  </si>
  <si>
    <t>Whippoorwill</t>
  </si>
  <si>
    <t>Aloof. Hunter._x000D_
Each investigator at Whippoorwill's location gets -1 ά, -1 έ, -1 ή, and -1 ί.</t>
  </si>
  <si>
    <t>fc0c9068-69da-4be8-a786-60d448fe0557</t>
  </si>
  <si>
    <t>Eager for Death</t>
  </si>
  <si>
    <t>Revelation - Test ά (2). Increase this skill test's difficulty by 1 for each damage on you. If you fail, take 2 horror.</t>
  </si>
  <si>
    <t>ada6d61b-5f6f-4c36-ad24-d454e835bbf4</t>
  </si>
  <si>
    <t>Bad Luck</t>
  </si>
  <si>
    <t>Cursed Luck</t>
  </si>
  <si>
    <t>Revelation - Put Cursed Luck into play in your threat area._x000D_
You get -1 skill value during skill tests._x000D_
Forced - After you succeed at a skill test by 1 or more: Discard Cursed Luck.</t>
  </si>
  <si>
    <t>fafc853e-e498-4829-bb4f-6d5622b9f6bf</t>
  </si>
  <si>
    <t>Twist of Fate</t>
  </si>
  <si>
    <t>Revelation - Reveal a random token from the chaos bag._x000D_
If you reveal a ε symbol or positive number, nothing happens._x000D_
If you reveal any other number, take 1 damage._x000D_
If you reveal a α, β, γ, δ, or ζ symbol, take 2 horror.</t>
  </si>
  <si>
    <t>c7c44fe4-5d7b-4d9a-a7cd-477ca7d74e69</t>
  </si>
  <si>
    <t>Beast Thralls</t>
  </si>
  <si>
    <t>Avian Thrall</t>
  </si>
  <si>
    <t>Creature. Monster. Abomination.</t>
  </si>
  <si>
    <t>Prey - Lowest έ._x000D_
Hunter._x000D_
While Avian Thrall is being attacked using a Ranged, Firearm, or Spell asset, it gets -3 fight.</t>
  </si>
  <si>
    <t>cbf5db4c-f319-41c7-b8b9-726c26695453</t>
  </si>
  <si>
    <t>Lupine Thrall</t>
  </si>
  <si>
    <t>Spawn - Farthest location from you._x000D_
Prey - Lowest ί._x000D_
Hunter. Retaliate.</t>
  </si>
  <si>
    <t>a5bd2fc7-6f66-4192-b0d9-52bcbccaefd4</t>
  </si>
  <si>
    <t>Altered Beast</t>
  </si>
  <si>
    <t>Power.</t>
  </si>
  <si>
    <t>Revelation - If there are no Abomination enemies in play, Altered Beast gains surge. Otherwise, choose an Abomination enemy. Heal all damage from that enemy and attached Altered Beast to it._x000D_
Forced - When you enter attached enemy's location (or vice-versa): Take 1 horror.</t>
  </si>
  <si>
    <t>4ae24039-09f8-40d4-bb5c-f0ed1ac302c0</t>
  </si>
  <si>
    <t>Naomi's Crew</t>
  </si>
  <si>
    <t>O'Bannion's Thug</t>
  </si>
  <si>
    <t>Human. Criminal. Syndicate.</t>
  </si>
  <si>
    <t>While O'Bannion's Thug is engaged with you, you cannot gain resources.</t>
  </si>
  <si>
    <t>8a82e394-d5fa-43cd-8047-fd3610918a72</t>
  </si>
  <si>
    <t>Mobster</t>
  </si>
  <si>
    <t>Retaliate._x000D_
Forced - After Mobster attacks you: Lose 1 resource.</t>
  </si>
  <si>
    <t>cc7e7896-37a6-471c-9c2c-86a21acce22b</t>
  </si>
  <si>
    <t>Hunted Down</t>
  </si>
  <si>
    <t>Revelation - If there are no unengaged Criminal enemies in play, Hunted Down gains surge. If there are 1 or more unengaged Criminal enemies in play, each of them moves 1 location toward you. Each Criminal enemy that engages you as a result of this effect makes an immediate attack.</t>
  </si>
  <si>
    <t>8955b254-0c41-4df9-a761-ff9c2d3b7fb0</t>
  </si>
  <si>
    <t>The Beyond</t>
  </si>
  <si>
    <t>Pushed into the Beyond</t>
  </si>
  <si>
    <t>Revelation - Choose and shuffle a non-story asset you control into your deck and discard the top 3 cards of your deck. If a copy of that asset is discarded, take 2 horror.</t>
  </si>
  <si>
    <t>e891952e-a2c6-4250-aa05-2a93c8d06316</t>
  </si>
  <si>
    <t>Terror from Beyond</t>
  </si>
  <si>
    <t>Hex. Terror.</t>
  </si>
  <si>
    <t>Peril._x000D_
Revelation - Choose one of the following cardtypes (asset, event, or skill). Each player must discard each card in his or her hand that is of the chosen cardtype. If this is not the first copy of Terror from Beyond drawn this phase, choose two cardtypes instead.</t>
  </si>
  <si>
    <t>7613d6d2-e223-416d-a753-958c776fc6d7</t>
  </si>
  <si>
    <t>Arcane Barrier</t>
  </si>
  <si>
    <t>Hex. Obstacle.</t>
  </si>
  <si>
    <t>Revelation - Attach to your location._x000D_
As an additional cost to move into or out of attached location, test ά (4). If successful, discard Arcane Barrier. Otherwise, you must either cancel the effects of the move or discard the top 5 cards of your deck.</t>
  </si>
  <si>
    <t>43a5ec05-0bd1-4f2c-b7e8-0fd93d372d8c</t>
  </si>
  <si>
    <t>Hideous Abominations</t>
  </si>
  <si>
    <t>Conglomeration of Spheres</t>
  </si>
  <si>
    <t>Monster. Abomination.</t>
  </si>
  <si>
    <t>Prey - Lowest ά._x000D_
Hunter._x000D_
Forced - After you perform an attack against the Conglomeration of Spheres using a Melee card: Discard that card.</t>
  </si>
  <si>
    <t>f47b2774-3148-444b-94ea-5696db0c6342</t>
  </si>
  <si>
    <t>Servant of the Lurker</t>
  </si>
  <si>
    <t>Prey - Lowest ί._x000D_
Hunter._x000D_
Forced - When Servant of the Lurker attacks you: Discard the top 2 cards of your deck.</t>
  </si>
  <si>
    <t xml:space="preserve">3π </t>
  </si>
  <si>
    <t xml:space="preserve">2π </t>
  </si>
  <si>
    <t xml:space="preserve">4π </t>
  </si>
  <si>
    <t>Back Hall Doorway</t>
  </si>
  <si>
    <t>Administration Building</t>
  </si>
  <si>
    <t>On the Right Track</t>
  </si>
  <si>
    <t>Sudden Chaos</t>
  </si>
  <si>
    <t>The Building Collapses</t>
  </si>
  <si>
    <t>High Roller</t>
  </si>
  <si>
    <t>Dr. Morgan's Fate</t>
  </si>
  <si>
    <t>Safe… For Now</t>
  </si>
  <si>
    <t>Escaping the Club</t>
  </si>
  <si>
    <t>75445fe5-ac51-43f6-9aa3-e27df4bfbe56</t>
  </si>
  <si>
    <t>545b4c74-1499-4d77-8081-7eed0f9a19ce</t>
  </si>
  <si>
    <t>ce506bfb-6cb7-4ac0-ae93-20b21723d269</t>
  </si>
  <si>
    <t>8e7047c8-a9fe-4ecf-b6ae-dca282157d26</t>
  </si>
  <si>
    <t>be102e93-b5b5-4aad-b132-20533ac9c5a7</t>
  </si>
  <si>
    <t>dc6668db-fb2b-4771-95b6-63a39265ef60</t>
  </si>
  <si>
    <t>2edfdcae-25e3-4ad3-84a5-75fae5b861e9</t>
  </si>
  <si>
    <t>The Miskatonic Museum</t>
  </si>
  <si>
    <t>TMM</t>
  </si>
  <si>
    <t>44edf89b-3aa9-40d3-8e46-d2b3247aca05</t>
  </si>
  <si>
    <t>The Essex County Express</t>
  </si>
  <si>
    <t>TECE</t>
  </si>
  <si>
    <t>Emergency Aid</t>
  </si>
  <si>
    <t>Insight. Science.</t>
  </si>
  <si>
    <t>Choose an investigator at your location. Heal 2 damage from that investigator or from an Ally asset he or she controls.</t>
  </si>
  <si>
    <t>Brother Xavier</t>
  </si>
  <si>
    <t xml:space="preserve">Ally. </t>
  </si>
  <si>
    <t>You get +1 ά._x000D_
Brother Xavier may be assigned damage and/or horror dealt to other investigators at your location._x000D_
When Brother Xavier is defeated: Deal 2 damage to an enemy at your location.</t>
  </si>
  <si>
    <t>"I've got a plan!"</t>
  </si>
  <si>
    <t>Fight. This attack uses έ. You deal +1 damage for this attack for each clue you have (max +3 damage).</t>
  </si>
  <si>
    <t>Pathfinder</t>
  </si>
  <si>
    <t>[free]During your turn, if you are not engaged with any enemies, exhaust Pathfinder: Move to a connecting location.</t>
  </si>
  <si>
    <t>Contraband</t>
  </si>
  <si>
    <t>Supply. Illicit.</t>
  </si>
  <si>
    <t>Choose an asset controlled by an investigator at your location. Double the number of ammo or supply tokens on that asset.</t>
  </si>
  <si>
    <t>Adaptable</t>
  </si>
  <si>
    <t>Delve Too Deep</t>
  </si>
  <si>
    <t>In player order, each investigator draws 1 card from the top of the encounter deck. Then, add Delve Too Deep to the victory display.</t>
  </si>
  <si>
    <t>Song of the Dead</t>
  </si>
  <si>
    <t>Uses (5 charges)._x000D_
η Spend 1 charge: Fight. This attack uses ά instead of ή. You get +1 ά for this attack. If a α symbol is revealed during this attack, this attack deals +2 damage.</t>
  </si>
  <si>
    <t>Oops!</t>
  </si>
  <si>
    <t>Fast. Play after you fail a skill test by 2 or less while attacking an enemy engaged with you._x000D_
Deal this attack's damage to a different enemy at your location.</t>
  </si>
  <si>
    <t>Fire Extinguisher</t>
  </si>
  <si>
    <t>Item. Tool. Melee.</t>
  </si>
  <si>
    <t>η: Fight. You get +1 ή for this attack._x000D_
η Exile Fire Extinguisher: Evade. You get +3 ί for this test. If you are successful, evade each other enemy engaged with you, as well.</t>
  </si>
  <si>
    <t>Flare</t>
  </si>
  <si>
    <t>Either (choose one):_x000D_
- Fight. You get +3 ή and deal +2 damage for this attack. Exile Flare._x000D_
- Search the top 9 cards of any investigator's deck for an Ally asset and put it into play under your control. Then, exile Flare. Shuffle the searched deck.</t>
  </si>
  <si>
    <t>Smoking Pipe</t>
  </si>
  <si>
    <t>Uses (3 supplies)._x000D_
[free]Spend 1 supply, exhaust Smoking Pipe, and take 1 damage: Heal 1 horror.</t>
  </si>
  <si>
    <t>Painkillers</t>
  </si>
  <si>
    <t>Uses (3 supplies)._x000D_
[free]Spend 1 supply, exhaust Painkillers, and take 1 horror: Heal 1 damage.</t>
  </si>
  <si>
    <t>α: -1 (-3 instead if Hunting Horror is at your location.)_x000D_
β: -1. If you fail, search the encounter deck, discard pile, and the void for Hunting Horror and spawn it at your location, if able._x000D_
γ: -2. Return 1 of your clues to your current location._x000D_
δ: -3. If you fail, discard an asset you control.</t>
  </si>
  <si>
    <t>Restricted Access</t>
  </si>
  <si>
    <t>Forced - When Hunting Horror enters play: Attach the set-aside copy of Shadow-spawned to it, or add 1 resource to Shadow-spawned if it is already attached.</t>
  </si>
  <si>
    <t>Shadows Deepen</t>
  </si>
  <si>
    <t>In Every Shadow</t>
  </si>
  <si>
    <t>Finding A Way Inside</t>
  </si>
  <si>
    <t>Night at the Museum</t>
  </si>
  <si>
    <t>Objective - If an investigator enters the Exhibit Hall (Restricted Hall), advance.</t>
  </si>
  <si>
    <t>Breaking and Entering</t>
  </si>
  <si>
    <t>Searching for the Tome</t>
  </si>
  <si>
    <t>Objective - If there are no clues remaining in the Exhibit Hall , advance.</t>
  </si>
  <si>
    <t>Museum Entrance</t>
  </si>
  <si>
    <t>Investigators at the Museum Entrance cannot gain resources._x000D_
η Resign. "Eh. How important can a book really be, anyway?"</t>
  </si>
  <si>
    <t>Museum Halls</t>
  </si>
  <si>
    <t>Museum Halls is connected to each copy of Exhibit Hall._x000D_
η Investigators in the Museum Halls spend 1[per investigator] clues, as a group: Put the top card of the Exhibit deck into play, unrevealed.</t>
  </si>
  <si>
    <t>Security Office</t>
  </si>
  <si>
    <t>η η: Search the top 6 cards of your deck for a card and add it to your hand. Shuffle the rest back into your deck. (Limit once per turn.)</t>
  </si>
  <si>
    <t>η η: Look at the revealed side of an Exhibit Hall in play, or the top card of the Exhibit deck. (Limit once per turn.)</t>
  </si>
  <si>
    <t>Administration Office</t>
  </si>
  <si>
    <t>You cannot investigate Administration Office while you have 4 or fewer resources.</t>
  </si>
  <si>
    <t>You cannot investigate Administration Office while you have 4 or fewer cards in your hand.</t>
  </si>
  <si>
    <t>Exhibit Hall</t>
  </si>
  <si>
    <t>Athabaskan Exhibit</t>
  </si>
  <si>
    <t>Miskatonic. Exhibit.</t>
  </si>
  <si>
    <t>Forced - After you enter this location: Immediately end your turn._x000D_
While you are in this location, you get +2 ί.</t>
  </si>
  <si>
    <t>Medusa Exhibit</t>
  </si>
  <si>
    <t>Forced - After you fail a skill test while investigating this location: Discard an asset you control.</t>
  </si>
  <si>
    <t>Nature Exhibit</t>
  </si>
  <si>
    <t>Forced - After you enter this location: Discard 2 cards from your hand at random.</t>
  </si>
  <si>
    <t>Egyptian Exhibit</t>
  </si>
  <si>
    <t>Forced - After you fail a skill test while investigating this location: Lose 1 action.</t>
  </si>
  <si>
    <t>Hall of the Dead</t>
  </si>
  <si>
    <t>Forced - After you fail a skill test while investigating this location: Take 1 horror.</t>
  </si>
  <si>
    <t>Restricted Hall</t>
  </si>
  <si>
    <t>While Hunting Horror is at this location, this location cannot be investigated.</t>
  </si>
  <si>
    <t>Harold Walsted</t>
  </si>
  <si>
    <t>Curator of the Museum</t>
  </si>
  <si>
    <t>You get +2 έ while investigating Miskatonic locations._x000D_
Forced - When Harold Walsted leaves play: Remove him from the game and add 1 γ token to the chaos bag for the remainder of the campaign.</t>
  </si>
  <si>
    <t>Adam Lynch</t>
  </si>
  <si>
    <t>Museum Security</t>
  </si>
  <si>
    <t>While you control Adam Lynch, treat the "η η" ability on the Security Office as if it were an "η" ability._x000D_
Forced - When Adam Lynch leaves play: Remove him from the game and add 1 γ token to the chaos bag for the remainder of the campaign.</t>
  </si>
  <si>
    <t>Olaus Wormius Translation</t>
  </si>
  <si>
    <t>You get +1 έ._x000D_
η: Gain 2 resources.</t>
  </si>
  <si>
    <t>Hunting Horror</t>
  </si>
  <si>
    <t>Spawned from the Void</t>
  </si>
  <si>
    <t>Monster. Elite.</t>
  </si>
  <si>
    <t>Shadow-spawned</t>
  </si>
  <si>
    <t>Shadow-spawned remains attached to Hunting Horror if it enters the void._x000D_
Hunting Horror gets +1 fight, +1 health, and +1 evade for each resource on Shadow-spawned. If there are 3 resources on Shadow-spawned, Hunting Horror also gains Massive.</t>
  </si>
  <si>
    <t>Stalked in the Dark</t>
  </si>
  <si>
    <t>Revelation - If Hunting Horror is in play, it readies, engages you, and attacks each investigator at your location. Otherwise, Stalked in the Dark gains surge.</t>
  </si>
  <si>
    <t>Passage into the Veil</t>
  </si>
  <si>
    <t>Revelation - Test ά (3). This test has +2 difficulty if Hunting Horror is at your location. If you fail you must either (choose one): discard the top 5 cards of your deck, or take 1 direct damage and deal 1 damage to each of your Ally assets.</t>
  </si>
  <si>
    <t>Ephemeral Exhibits</t>
  </si>
  <si>
    <t>Revelation - Test έ (3). If you fail, lose 1 action for each point you failed by.</t>
  </si>
  <si>
    <t>Slithering Behind You</t>
  </si>
  <si>
    <t>Revelation - If Hunting Horror is in play, add 1 doom to it. If Hunting Horror is not in play, search the encounter deck, discard pile, and the void for Hunting Horror and spawn it at your location, engaged with you. Shuffle the encounter deck.</t>
  </si>
  <si>
    <t>Spirit.</t>
  </si>
  <si>
    <t>Stand Together</t>
  </si>
  <si>
    <t>Choose another investigator at your location. Both you and that investigator draw 2 cards and gain 2 resources.</t>
  </si>
  <si>
    <t>"I'm outta here!"</t>
  </si>
  <si>
    <t>Trick. Spirit.</t>
  </si>
  <si>
    <t>Play only if there is a scenario card with a 'resign' ability in play._x000D_
Resign. You get the hell outta here.</t>
  </si>
  <si>
    <t>Charisma</t>
  </si>
  <si>
    <t>Bandolier</t>
  </si>
  <si>
    <t>Art Student</t>
  </si>
  <si>
    <t>Practiced. Expert.</t>
  </si>
  <si>
    <t>If the skill test is successful while investigating a location, discover 1 additional clue at that location (2 additional clues instead if succeed by 2 or more).</t>
  </si>
  <si>
    <t>Hypnotic Gaze</t>
  </si>
  <si>
    <t>Newspaper</t>
  </si>
  <si>
    <t>Lure</t>
  </si>
  <si>
    <t>Relic Hunter</t>
  </si>
  <si>
    <t>A Tear in Reality</t>
  </si>
  <si>
    <t>The Maw Widens</t>
  </si>
  <si>
    <t>Rolling Backwards</t>
  </si>
  <si>
    <t>Drawn In</t>
  </si>
  <si>
    <t>Out of Time</t>
  </si>
  <si>
    <t>Run!</t>
  </si>
  <si>
    <t>Get the Engine Running!</t>
  </si>
  <si>
    <t>Train Car</t>
  </si>
  <si>
    <t>Train.</t>
  </si>
  <si>
    <t>Engine Car</t>
  </si>
  <si>
    <t>Engine Car is connected to the location to the left of it.</t>
  </si>
  <si>
    <t>Across Space and Time</t>
  </si>
  <si>
    <t>Helpless Passenger</t>
  </si>
  <si>
    <t>Ally. Bystander.</t>
  </si>
  <si>
    <t>Claws of Steam</t>
  </si>
  <si>
    <t>Broken Rails</t>
  </si>
  <si>
    <t>Grappling Horror</t>
  </si>
  <si>
    <t>Hunter._x000D_
While you are engaged with Grappling Horror, you cannot move.</t>
  </si>
  <si>
    <t>Emergent Monstrosity</t>
  </si>
  <si>
    <t>You have 1 additional hand slot, which can only be used to hold a Weapon asset.</t>
  </si>
  <si>
    <t>ι When Art Student enters play: Discover 1 clue at your location.</t>
  </si>
  <si>
    <t>Fast._x000D_
η Fight. You get +2 ή for this attack. If you succeed by 2 or more, this attack deals +1 damage.</t>
  </si>
  <si>
    <t xml:space="preserve">Fast._x000D_
 Play when an enemy attacks an investigator at your location. Cancel that attack. Then, reveal a random token from the chaos bag. If it has a α, β, γ, δ, or ζ symbol, deal the attacking enemy's damage to itself. </t>
  </si>
  <si>
    <t xml:space="preserve">Uses: 4 charges._x000D_
η, Spend one charge: Fight. This attack uses ά instead of ή. You get +2 ά and deal +1 damage for this attack. If a α, β, γ, δ, or ζ symbol is revealed during this attack, take 1 horror. </t>
  </si>
  <si>
    <t>You get +2 έ while investigating if you have no clues.</t>
  </si>
  <si>
    <t xml:space="preserve">Attach to your location._x000D_
 During the enemy phase, each enemy that moves does so along the shortest path toward the attached location, instead of to where it would normally move._x000D_
 Forced: While attached, at the end of the round: Discard Lure. </t>
  </si>
  <si>
    <t>α: -X. X is the current Agenda #._x000D_
β: -1. If you fail and it is your turn, lose all remaining actions and end your turn immediately._x000D_
γ: -2. Add 1 doom token to the nearest Cultist enemy._x000D_
δ: -3. If you fail, choose and discard a card from your hand.</t>
  </si>
  <si>
    <t>Objective - If an investigator enters the Engine Car, immediately advance.</t>
  </si>
  <si>
    <t>Objective - If there are no clues in the Engine Car, immediately advance.</t>
  </si>
  <si>
    <t>Passenger Car is connected to the locations to the left and right of it._x000D_
Forced - After you enter Passenger Car: You must either discard cards from your hand with at least 2 total ί icons or take 2 damage.</t>
  </si>
  <si>
    <t>Passenger Car is connected to the locations to the left and right of it._x000D_
Forced - After you enter Passenger Car: You must either discard cards from your hand with at least 2 total ή icons or take 2 damage.</t>
  </si>
  <si>
    <t>Passenger Car is connected to the locations to the left and right of it._x000D_
Forced - After you enter Passenger Car: You must either discard cards from your hand with at least 2 total ά icons or take 2 horror.</t>
  </si>
  <si>
    <t>Passenger Car is connected to the locations to the left and right of it._x000D_
Forced - After you enter Passenger Car: You must either discard cards from your hand with at least 2 total έ icons or take 2 horror.</t>
  </si>
  <si>
    <t xml:space="preserve">Sleeping Car is connected to the locations to the left and right of it._x000D_
η: Gain 3 resources. Remember that you have "stolen a passenger's luggage." (Group limit once per game)._x000D_
</t>
  </si>
  <si>
    <t>Dining Car is connected to the locations to the left and right of it._x000D_
Forced - After you reveal Dining Car: Search the encounter deck and discard pile for a Grappling Horror and draw it.</t>
  </si>
  <si>
    <t>Parlor Car is connected to the locations to the left and right of it._x000D_
Parlor Car cannot be investigated._x000D_
η Spend 3 resources: Discover 1 clue in the Parlor Car.</t>
  </si>
  <si>
    <t>Engine Car is connected to the location to the left of it._x000D_
Forced - After you reveal Engine Car: Search the encounter deck and discard pile for a Grappling Horror and draw it. Shuffle the encounter deck.</t>
  </si>
  <si>
    <t>Engine Car is connected to the location to the left of it._x000D_
Forced - After you reveal Engine Car: Draw the top 3 cards of the encounter deck.</t>
  </si>
  <si>
    <t>Revelation - Discard the top 3 cards of your deck.</t>
  </si>
  <si>
    <t>Revelation - Test ά (3). If you fail, take 2 damage and you cannot move from this location this round. Damage from this effect must be assigned to your assets first, if able.</t>
  </si>
  <si>
    <t>Revelation - Each investigator at your location loses 1 action. Each investigator at your location with 4 or more damage must also discard an asset he or she controls.</t>
  </si>
  <si>
    <t>Spawn - The location to your right (or your location if there is no location to your right)._x000D_
Emergent Monstrosity enters play exhausted.</t>
  </si>
  <si>
    <t>α: -2 (-4 instead if Hunting Horror is at your location.)_x000D_
β: -3. If you fail, search the encounter deck, discard pile, and the void for Hunting Horror and spawn it at your location, if able._x000D_
γ: -4. If Hunting Horror is at your location, it immediately attacks you._x000D_
δ: -5. If you fail, discard an asset you control.</t>
  </si>
  <si>
    <t>A Creature of the Void</t>
  </si>
  <si>
    <t>If Hunting Horror is in play, add 1 doom to it.
If Hunting Horror is not in play, search the encounter deck, discard pile, and the void for Hunting Horror and spawn it in the Museum Halls, if able. Shuffle the encounter discard pile into the encounter deck.</t>
  </si>
  <si>
    <t>Gaining Entrance</t>
  </si>
  <si>
    <t>Driven Out</t>
  </si>
  <si>
    <t>Each investigator who has not resigned is defeated and suffers 1 physical trauma.</t>
  </si>
  <si>
    <t>If the investigators spent clues to advance:
Choose an investigator to take control of the set-aside Adam Lynch asset. Reveal the Museum Halls. Advance to Act 2a - "Night at the Museum."
If the investigators successfully performed the η ability on the Museum Halls to advance:
The door leading into the Museum Halls is broken. Reveal the Museum Halls. Advance to Act 2a - "Breaking and Entering."</t>
  </si>
  <si>
    <t>The Curator's Fate</t>
  </si>
  <si>
    <t>Search the encounter deck, discard pile, the void, and all play areas for Hunting Horror, and place it in the Exhibit Hall (Restricted Hall), ready.
Advance to Act 3a.</t>
  </si>
  <si>
    <t>The Guard's Fate</t>
  </si>
  <si>
    <t>Choose an investigator to take control of the set-aside Harold Walsted asset.
Search the encounter deck, discard pile, the void, and all play areas for Hunting Horror, and place it in the Exhibit Hall (Restricted Hall), ready.
Advance to Act 3a.</t>
  </si>
  <si>
    <t>The investigators must decide (choose one):
- It's too dangerous to keep around. We must destroy it. (→R1)
- It's too valuable to destroy. We must keep it safe.(→R2)</t>
  </si>
  <si>
    <t>α: -X. X is 1 more than the current Agenda #._x000D_
β: Reveal another token. If you fail and it is your turn, lose all remaining actions and end your turn immediately.._x000D_
γ: -4. Add 1 doom token to each Cultist enemy in play.
δ: -3. If you fail, choose and discard a card from your hand for each point you failed by.</t>
  </si>
  <si>
    <t>Keep Moving!</t>
  </si>
  <si>
    <t>Remove the leftmost location from the game (or place it in the victory display if it has Victory X and no clues on it). Each investigator at that location is defeated. Each enemy and asset at that location is discarded.
Discard all clues controlled by the investigators.</t>
  </si>
  <si>
    <t>Don't Stop!</t>
  </si>
  <si>
    <t>It's Getting Faster!</t>
  </si>
  <si>
    <t>Remove each of the two leftmost locations from the game (or place it in the victory display if either one has Victory X and no clues on it). Each investigator at those locations is defeated. Each enemy and asset at those locations is discarded.
Discard all clues controlled by the investigators.</t>
  </si>
  <si>
    <t>Nowhere is Safe</t>
  </si>
  <si>
    <t>Sucked In</t>
  </si>
  <si>
    <t>Each investigator is immediately defeated and takes 1 mental trauma. (→R2)</t>
  </si>
  <si>
    <t>Wings of Steam</t>
  </si>
  <si>
    <t>The investigator entering the Engine Car reads the following (out loud):
You must decide (choose one):
- Test ί (3) to attempt to dodge the creature. If you fail, you leap too far and barely grip the side of the train, hanging on for dear life. Although you manage to pull yourself up, the experience is terrifying. You suffer 1 mental trauma.
- Test ή (3) to attempt to endure the creature's extreme heat. If you fail, the creature flies through you and the heat burns you. You suffer 1 physical trauma.</t>
  </si>
  <si>
    <t>Forward Motion</t>
  </si>
  <si>
    <t>(→R1)</t>
  </si>
  <si>
    <t>Train Car is connected to the locations to the left and right of it.
You cannot enter Train Car unless all of the clues on the location to its left have been discovered.</t>
  </si>
  <si>
    <t>Passenger Car</t>
  </si>
  <si>
    <t>Passenger Car is connected to the locations to the left and right of it._x000D_
Forced - After you enter Passenger Car: You must either discard a card from your hand with at least 1 ΰ icon or take 1 damage and 1 horror.</t>
  </si>
  <si>
    <t>Sleeping Car</t>
  </si>
  <si>
    <t>Dining Car</t>
  </si>
  <si>
    <t>Parlor Car</t>
  </si>
  <si>
    <t>Engine Car is connected to the location to the left of it.
You cannot enter Engine Car unless all of the clues on the location to its left have been discovered.</t>
  </si>
  <si>
    <t>Revelation - Put Helpless Passenger into play at the location to your left (or at your location if you cannot)._x000D_
η Parley. Take control of Helpless Passenger._x000D_
Forced - If Helpless Passenger leaves play: Each investigator takes 1 horror.</t>
  </si>
  <si>
    <t xml:space="preserve">Surge.
</t>
  </si>
  <si>
    <t>9f692e01-5c5b-409e-a2af-a75362ac67d7</t>
  </si>
  <si>
    <t>ddbccff0-827e-44a9-8c28-07d5e8e3fea5</t>
  </si>
  <si>
    <t>04f8c0c9-800a-4665-b39b-e1e206a390c6</t>
  </si>
  <si>
    <t>3d114b67-5461-4acf-9cb3-3dbd054d5975</t>
  </si>
  <si>
    <t>0d3cc006-1fd9-4ae7-9c3a-6bfe2b5280f2</t>
  </si>
  <si>
    <t>2239cccf-4500-4d7f-8f98-a1ae3a7e9ea1</t>
  </si>
  <si>
    <t>e26a0dbf-cdf7-4c32-a80a-ffee470baaae</t>
  </si>
  <si>
    <t>5b2a8947-2cd6-4202-a0f8-c30a0309b0f5</t>
  </si>
  <si>
    <t>d1109c6d-68fc-4af1-9785-4d3f8472e92a</t>
  </si>
  <si>
    <t>dc7dabed-a93f-4a7d-92ec-73c5c4a519ef</t>
  </si>
  <si>
    <t>ee81c089-8d9e-4d7d-8124-e7ea2b4af645</t>
  </si>
  <si>
    <t>a3fdf8a4-652c-42a0-9b9d-9078d21f60c5</t>
  </si>
  <si>
    <t>5409b4de-35ff-4566-a49a-00f8aca115e3</t>
  </si>
  <si>
    <t>f35868ff-263e-4a06-91d4-49fb17e22700</t>
  </si>
  <si>
    <t>d97c861c-cf73-4216-a25c-aed9871b8a11</t>
  </si>
  <si>
    <t>d2998489-7f61-431d-a496-aca85c5b0272</t>
  </si>
  <si>
    <t>3d6e7bed-e0a7-4d4e-a8f1-8ccade82bffb</t>
  </si>
  <si>
    <t>967d5b98-0e79-440f-9ffc-c7edcdc079b9</t>
  </si>
  <si>
    <t>2d8665ba-ab50-4e26-860e-aeb4a7ba1ef1</t>
  </si>
  <si>
    <t>b5e878d4-edc3-47dc-a65c-77d0ac8c1dd4</t>
  </si>
  <si>
    <t>1ab1b4d8-6c6c-49ea-9093-c5dde721de89</t>
  </si>
  <si>
    <t>981665c5-0f78-4ec8-a2d8-c7aff2b851e5</t>
  </si>
  <si>
    <t>83cfb038-c6fe-463a-b547-bc75006b5a7b</t>
  </si>
  <si>
    <t>1558f7ef-ed17-4c45-90dd-9ca90e428a18</t>
  </si>
  <si>
    <t>4940ec52-e8c5-4d39-9ef4-e1705843a082</t>
  </si>
  <si>
    <t>75af5ab5-15c4-419d-98c8-47186cf79fa4</t>
  </si>
  <si>
    <t>bb44f38a-06a8-4889-8be6-0511504199b5</t>
  </si>
  <si>
    <t>07d94c5f-3ce3-4e5d-9a30-a820d26edbad</t>
  </si>
  <si>
    <t>362657d7-627c-46c2-91b4-59298a0c0683</t>
  </si>
  <si>
    <t>0732ea89-f2f4-4fd6-8f85-a87f1858a38c</t>
  </si>
  <si>
    <t>a2350979-4f5d-48a0-8056-9066aa360da3</t>
  </si>
  <si>
    <t>1fee9788-f264-4754-82ce-8e324cc6e7d7</t>
  </si>
  <si>
    <t>a37f907d-30f4-405b-aaab-47e4786c9c71</t>
  </si>
  <si>
    <t>b1578939-c66b-4850-84bb-8963d4284733</t>
  </si>
  <si>
    <t>dfac9498-213f-4892-be8e-06db8ae2fece</t>
  </si>
  <si>
    <t>41493043-5631-48cc-a05e-7967745b87d0</t>
  </si>
  <si>
    <t>751ceb35-57cd-4eb0-beab-3d90a6948efc</t>
  </si>
  <si>
    <t>a8443a99-7961-45c2-8aa1-b4514cbfda3e</t>
  </si>
  <si>
    <t>dd18d214-c981-4e7f-b6ed-30ccca95fd6f</t>
  </si>
  <si>
    <t>1600d23b-c00b-4b0c-a7ec-cbfdbfc0c83e</t>
  </si>
  <si>
    <t>75d86a92-0193-442e-a544-b7ae2f8e3f1d</t>
  </si>
  <si>
    <t>7da3ef2e-e30f-47c7-9ebb-2a4739460fb9</t>
  </si>
  <si>
    <t>1e29109a-6d0b-4cf3-a067-4463d7d4329b</t>
  </si>
  <si>
    <t>ac482b5a-6cd0-48f5-bdd5-f054c2fe5c7c</t>
  </si>
  <si>
    <t>edf392cc-88a7-4f11-8893-ccb2bfd04db7</t>
  </si>
  <si>
    <t>f5f8a18a-a449-42c6-9e31-75ed7f95b313</t>
  </si>
  <si>
    <t>e4137ee1-3e1d-4144-826a-baf74bbad176</t>
  </si>
  <si>
    <t>de2cf76a-1686-47f6-b683-d7967703b225</t>
  </si>
  <si>
    <t>1d1c16b0-53d7-4c36-8d1a-a7fec999f548</t>
  </si>
  <si>
    <t>55ff0237-950e-4aad-8a21-1818db86c867</t>
  </si>
  <si>
    <t>5be07212-70ea-46da-abfa-e93ae7284c4a</t>
  </si>
  <si>
    <t>051819cf-b50e-4c35-beaa-be9007d403c8</t>
  </si>
  <si>
    <t>fd8b2b95-80bd-4e66-ba10-1a20e78a7347</t>
  </si>
  <si>
    <t>4efb8c8b-170a-43e8-850b-f41180416ede</t>
  </si>
  <si>
    <t>40b38553-7230-4d42-a49a-6a0642043795</t>
  </si>
  <si>
    <t>7c0d58a3-923e-4166-bcb7-21103a12c87d</t>
  </si>
  <si>
    <t>4b840ab3-fe92-4dd1-a033-367acd00483d</t>
  </si>
  <si>
    <t>83cdf27e-8859-4bf1-a059-16c4b0b2debe</t>
  </si>
  <si>
    <t>3be21bb0-41ef-43e2-b27a-d46277538700</t>
  </si>
  <si>
    <t>38e3f3a8-2bdf-40df-9ca1-32c134fe6a86</t>
  </si>
  <si>
    <t>c6ee1772-439f-4aec-9753-74a004781ab6</t>
  </si>
  <si>
    <t>5c6c0ff3-6a0b-4e07-aad1-0900bb1561e4</t>
  </si>
  <si>
    <t>eaa8917a-54ff-4331-a871-e76b08991946</t>
  </si>
  <si>
    <t>077e592c-dce6-4c53-9884-c4e48c808040</t>
  </si>
  <si>
    <t>a53c0178-2f86-4181-b10c-ed7fc19a3d22</t>
  </si>
  <si>
    <t>d55e31c2-01e5-453b-bbc5-10f40b7378b7</t>
  </si>
  <si>
    <t>2a28733d-97b3-4fd7-a622-d324b88b4c5f</t>
  </si>
  <si>
    <t>185db0e8-83d8-4eb1-893e-efc8fc29957c</t>
  </si>
  <si>
    <t>54373a69-f67d-411e-871f-da380d1a0f6f</t>
  </si>
  <si>
    <t>dbacf932-2cdc-41b0-b66e-0e1bc1b27ea6</t>
  </si>
  <si>
    <t>f9a869b9-eaba-4399-a2fc-028f4405ffe2</t>
  </si>
  <si>
    <t>3188db25-0991-49a3-85ec-649aa625d496</t>
  </si>
  <si>
    <t>b0945cec-dda6-49de-b46f-863e00c340e9</t>
  </si>
  <si>
    <t>5653d003-ce1a-49b0-87c1-a77ebd5f5d5e</t>
  </si>
  <si>
    <t>6046fa8a-0995-4fd0-b65c-b406e8e46d87</t>
  </si>
  <si>
    <t>5aeeb6cb-d92c-4faa-9d67-a6c1237fee10</t>
  </si>
  <si>
    <t>e0ca7fde-38e2-4420-b70d-0d65335ba33d</t>
  </si>
  <si>
    <t>eb014f0d-976e-482e-965b-4e726cfcb252</t>
  </si>
  <si>
    <t>359656d6-7ab1-478f-a2bb-3a86232a3a2f</t>
  </si>
  <si>
    <t>AF</t>
  </si>
  <si>
    <t>AG</t>
  </si>
  <si>
    <t>You have 1 additional accessory slot.</t>
  </si>
  <si>
    <t>Permanent.</t>
  </si>
  <si>
    <t xml:space="preserve">Permanent.
</t>
  </si>
  <si>
    <t>You have 1 additional ally slot.</t>
  </si>
  <si>
    <t>Forced - At the start of the enemy phase: Reveal a random token from the chaos bag. If the revealed token has a α, β, γ, δ, or ζ symbol, ready Hunting Horror._x000D_
Forced - When Hunting Horror leaves play, place it in the void.</t>
  </si>
  <si>
    <t>EncounterCard</t>
  </si>
  <si>
    <t>Blood on the Altar</t>
  </si>
  <si>
    <t>Prepared for the Worst</t>
  </si>
  <si>
    <t>Search the top 9 cards of your deck for a Weapon asset and add it to your hand. Shuffle your deck.</t>
  </si>
  <si>
    <t>Keen Eye</t>
  </si>
  <si>
    <t>Preposterous Sketches</t>
  </si>
  <si>
    <t>Higher Education</t>
  </si>
  <si>
    <t>Lone Wolf</t>
  </si>
  <si>
    <t>Streetwise</t>
  </si>
  <si>
    <t>Defiance</t>
  </si>
  <si>
    <t>Before revealing chaos tokens for this test, choose one of the following symbols: (α, β, γ, or δ). Ignore the effects of the chosen symbol during this test (including its modifier).</t>
  </si>
  <si>
    <t>Blood Pact</t>
  </si>
  <si>
    <t>Spell. Pact.</t>
  </si>
  <si>
    <t>Rise to the Occasion</t>
  </si>
  <si>
    <t>ΰΰΰ</t>
  </si>
  <si>
    <t>Commit only to a skill test you are performing, and only if the difficulty of that test is at least 2 higher than your base skill value.</t>
  </si>
  <si>
    <t>Scrapper</t>
  </si>
  <si>
    <t>Gain 3 resources and draw 1 card.</t>
  </si>
  <si>
    <t>Strange Disapperances</t>
  </si>
  <si>
    <t>If there are 3 or more potential sacrifices, choose one of them at random and place it underneath the agenda deck, without looking at it.</t>
  </si>
  <si>
    <t>The Old Ones Hunger</t>
  </si>
  <si>
    <t>If there are 2 or more potential sacrifices, choose one of them at random and place it underneath the agenda deck, without looking at it.</t>
  </si>
  <si>
    <t>Feed the Beast</t>
  </si>
  <si>
    <t>Each investigator must immediately resign.</t>
  </si>
  <si>
    <t>Searching for Answers</t>
  </si>
  <si>
    <t>Objective – When an investigator enters The Hidden Chamber, advance.</t>
  </si>
  <si>
    <t>The Chamber of the Beast</t>
  </si>
  <si>
    <t>Village Commons</t>
  </si>
  <si>
    <t>Dunwich. Central.</t>
  </si>
  <si>
    <t>η Resign. “This is suicide! We’re better off hiding out the night.”</t>
  </si>
  <si>
    <t>Bishop’s Brook</t>
  </si>
  <si>
    <t>Dunwich.</t>
  </si>
  <si>
    <t>Burned Ruins</t>
  </si>
  <si>
    <t>Osborn’s General Store</t>
  </si>
  <si>
    <t>Congregational Church</t>
  </si>
  <si>
    <t>House in the Reeds</t>
  </si>
  <si>
    <t>Schoolhouse</t>
  </si>
  <si>
    <t>The Hidden Chamber</t>
  </si>
  <si>
    <t>Key to the Chamber</t>
  </si>
  <si>
    <t>Item. Key.</t>
  </si>
  <si>
    <t>Silas Bishop</t>
  </si>
  <si>
    <t>Infused With Evil</t>
  </si>
  <si>
    <t>*</t>
  </si>
  <si>
    <t>6π</t>
  </si>
  <si>
    <t>Massive.</t>
  </si>
  <si>
    <t>Silas Bishop cannot make attacks of opportunity.</t>
  </si>
  <si>
    <t>Zebulon Whateley</t>
  </si>
  <si>
    <t>Recalling Ancient Things</t>
  </si>
  <si>
    <t>Ally. Dunwich.</t>
  </si>
  <si>
    <t>Earl Sawyer</t>
  </si>
  <si>
    <t>Smarter Than He Looks</t>
  </si>
  <si>
    <t>Powder of Ibn-Ghazi</t>
  </si>
  <si>
    <t>Seeing Things Unseen</t>
  </si>
  <si>
    <t>Kidnapped!</t>
  </si>
  <si>
    <t>Psychopomp’s Song</t>
  </si>
  <si>
    <t>Surge. Peril.</t>
  </si>
  <si>
    <t>Strange Signs</t>
  </si>
  <si>
    <t>Revelation – Test έ (3). If you fail, add 1 clue from the token pool to your location (2 clues instead if there are 3 or 4 investigators in the game).</t>
  </si>
  <si>
    <t>Revelation – Test ά (3). For each point you fail by, take 1 horror.</t>
  </si>
  <si>
    <t>Servant of Many Mouths</t>
  </si>
  <si>
    <t>Humanoid.</t>
  </si>
  <si>
    <t>Spawn – Any empty location.
Retaliate.</t>
  </si>
  <si>
    <t>ι After you defeat Servant of Many Mouths: Discover 1 clue at any location.</t>
  </si>
  <si>
    <t>5b388ae7-5750-47b4-8d90-c760a474a59e</t>
  </si>
  <si>
    <t>bae0c5c5-3c2f-47ea-9d1c-a9b52865e113</t>
  </si>
  <si>
    <t>b85932da-0e69-4466-bba8-a5a2ee57c667</t>
  </si>
  <si>
    <t>a71dfe0c-bd4c-4dec-a37f-2c71c6606777</t>
  </si>
  <si>
    <t>244b0f20-4b87-4e48-b034-29dc07c192d1</t>
  </si>
  <si>
    <t>921d5c0d-0d5a-409b-809f-c00f5b36b816</t>
  </si>
  <si>
    <t>d2420579-a3de-46e2-b223-5300a271d415</t>
  </si>
  <si>
    <t>d4db2332-883f-4295-a54e-9a2107c518fc</t>
  </si>
  <si>
    <t>09ef06b0-c342-4ea6-9b4e-a4bd6901592a</t>
  </si>
  <si>
    <t>65710155-f667-4818-a0f2-fe653cd49bc8</t>
  </si>
  <si>
    <t>6b00da0c-2c80-4717-ac77-d33dfcef8a69</t>
  </si>
  <si>
    <t>a86f379f-7a6a-4bb7-9fd8-062d9cb7b302</t>
  </si>
  <si>
    <t>28c2a525-24cd-4069-bdc6-f97e4031a656</t>
  </si>
  <si>
    <t>a8ba171e-ce59-42fb-90d0-8a08132ae2fc</t>
  </si>
  <si>
    <t>90620ea4-d4c6-4cec-885d-33bf02ca293a</t>
  </si>
  <si>
    <t>648fdeea-619c-4e73-b3ba-d1346a397338</t>
  </si>
  <si>
    <t>6058f64e-99a9-4527-bfe9-fe9e896d32d7</t>
  </si>
  <si>
    <t>c21a7b1e-b8a9-4102-83da-3d0a3282bcc2</t>
  </si>
  <si>
    <t>b9cfdc9b-6e4b-4e42-87a8-3f0b5aae1f8d</t>
  </si>
  <si>
    <t>6b110514-f482-490e-b3e5-d7b96c575b7a</t>
  </si>
  <si>
    <t>4d7ef39b-570f-4b93-853b-f4570e4e95a9</t>
  </si>
  <si>
    <t>49cd47ae-cc2a-4f7f-bf4a-b8bc4f386196</t>
  </si>
  <si>
    <t>b8dc246f-c196-47d9-9c09-746c1565ec79</t>
  </si>
  <si>
    <t>b0b080ab-d255-43fc-b5da-2e1d76901d38</t>
  </si>
  <si>
    <t>a5a2c5c1-f6d6-40a5-8330-26bcda3e3479</t>
  </si>
  <si>
    <t>0c7bdb0a-e12e-43e9-a0da-b4aa7fe56164</t>
  </si>
  <si>
    <t>b4eeeeda-f04f-4062-a820-50c7d7d78b49</t>
  </si>
  <si>
    <t>d5324db3-3a33-4881-967f-d71b2c29ea7c</t>
  </si>
  <si>
    <t>f61cd747-b294-4725-9ff8-b02b7c5bbcdf</t>
  </si>
  <si>
    <t>6f988818-7adc-4736-aafc-d6882c42adcd</t>
  </si>
  <si>
    <t>88a10412-58ac-49c6-888c-a1397baba22d</t>
  </si>
  <si>
    <t>47bc5ee8-9537-417b-8cf9-d700139caa73</t>
  </si>
  <si>
    <t>10902dae-b4ea-498f-8dd1-8a8560cc11aa</t>
  </si>
  <si>
    <t>5be80449-48ba-4da9-b52f-00f516867f77</t>
  </si>
  <si>
    <t>14d16f13-0fd4-4a54-9fb5-69ebf5a045dc</t>
  </si>
  <si>
    <t>7f913c4b-a4f8-44ed-9394-9decbca0b05f</t>
  </si>
  <si>
    <t>e732944f-29a2-4f2f-9132-b9e4059cabb0</t>
  </si>
  <si>
    <t>e66a4a87-b86d-4e0f-826e-20af1d95d4a8</t>
  </si>
  <si>
    <t>ebd4c8f7-3475-4116-8a52-ae52c97ab68c</t>
  </si>
  <si>
    <t>8e76abf0-7aa1-433a-8a7c-07e4201c219b</t>
  </si>
  <si>
    <t>d688f20e-7ab4-444d-98fa-f1b241b9dcc0</t>
  </si>
  <si>
    <t>895c9534-4fa5-4b11-a58a-c209d7cd8bde</t>
  </si>
  <si>
    <t>AH</t>
  </si>
  <si>
    <t>BOTA</t>
  </si>
  <si>
    <t>Play only if there is a clue on your location._x000D_Draw 3 cards.</t>
  </si>
  <si>
    <t>Limit 1 per investigator._x000D_ι When your turn begins, if there are no other investigators at your location: Gain 1 resource.</t>
  </si>
  <si>
    <t>α: –1 for each location in play with no encounter card underneath it (max –4)._x000D_β: –2. If you fail, add 1 clue from the token pool to your location._x000D_γ: –2. If you are in the Hidden Chamber, reveal another token._x000D_δ: –3. If you fail, place 1 doom on the current agenda.</t>
  </si>
  <si>
    <t>Objective – If Silas Bishop is defeated: (-&gt;R1)_x000D_Objective – If there are no clues in the Hidden Chamber, advance.</t>
  </si>
  <si>
    <t>Revelation – Take control of Key to the Chamber._x000D_θ If The Hidden Chamber is connected to your location: Attach Key to the Chamber to The Hidden Chamber.</t>
  </si>
  <si>
    <t>You get +1 ά._x000D_ι After you succeed at a ά test on a treachery card, exhaust Zebulon Whateley: Draw 1 card.</t>
  </si>
  <si>
    <t>You get +1 ί._x000D_ι After you evade an enemy, exhaust Earl Sawyer: Draw 1 card.</t>
  </si>
  <si>
    <t>Powder of Ibn-Ghazi enters play with X clues on it, where X is the number of characters who “survived the Dunwich Legacy” in your Campaign Log._x000D_θ: Move 1 clue from Powder of Ibn Ghazi to an exhausted Brood of Yog-Sothoth at your location.</t>
  </si>
  <si>
    <t>Revelation – Test ά (4) or ί (4). If you fail, add an Ally asset you control to the pool of potential sacrifices. Then, attach Kidnapped! to the current agenda. If you have no Ally assets, take 2 damage and discard Kidnapped! instead._x000D_Forced – When attached agenda advances: Choose a potential sacrifice at random and place it underneath the agenda deck.</t>
  </si>
  <si>
    <t>Revelation – Add Psychopomp’s Song to any investigator’s threat area._x000D_Forced – When you would take 1 or more damage: Take 2 additional damage and discard Psychopomp’s Song.</t>
  </si>
  <si>
    <t>α: –1 for each location in play with no encounter card underneath it._x000D_β: –4. If you fail, add 1 clue from the token pool to your location._x000D_γ: –3. Reveal another token._x000D_δ: –3. Place 1 doom on the current agenda.</t>
  </si>
  <si>
    <t>Reveal each unrevealed location. _x000D_Move all clues in play (including those on each investigator) to The Hidden Chamber._x000D_Spawn the set-aside Silas Bishop enemy in The Hidden Chamber.</t>
  </si>
  <si>
    <t>If The Necronomicon (Olaus Wormius Translation) is in play: (-&gt; R2)_x000D_Otherwise: (-&gt;R3)</t>
  </si>
  <si>
    <t>Each enemy at Bishop’s Brook deals +1 horror while it is attacking._x000D_θ If there are no clues here: Draw the encounter card underneath Bishop’s Brook. (Group limit once per game).</t>
  </si>
  <si>
    <t>If there is an investigator at Bishop’s Brook, other investigators cannot enter Bishop’s Brook._x000D_θ If there are no clues here: Draw the encounter card underneath Bishop’s Brook. (Group limit once per game).</t>
  </si>
  <si>
    <t>Each enemy in the Burned Ruins gets +1 evade._x000D_θ If there are no clues here: Draw the encounter card underneath Burned Ruins. (Group limit once per game).</t>
  </si>
  <si>
    <t>ι After you fail a skill test while investigating the Burned Ruins: Flip 1 clue token on the Burned Ruins to its doom side._x000D_θ If there are no clues here: Draw the encounter card underneath Burned Ruins. (Group limit once per game).</t>
  </si>
  <si>
    <t>You cannot gain resources while you are in Osborn’s General Store._x000D_θ If there are no clues here: Draw the encounter card underneath Osborn’s General Store. (Group limit once per game).</t>
  </si>
  <si>
    <t>η Spend 1 resource: Search the top 3 cards of your deck for an Item card and add it to your hand. Shuffle your deck._x000D_θ If there are no clues here: Draw the encounter card underneath Osborn’s General Store. (Group limit once per game).</t>
  </si>
  <si>
    <t>Forced – After Congregational Church is revealed: Search the encounter deck for a Humanoid enemy and spawn it at the Village Commons. Shuffle the encounter deck._x000D_θ If there are no clues here: Draw the encounter card underneath Congregational Church. (Group limit once per game).</t>
  </si>
  <si>
    <t>η Choose and discard a card from your hand: Gain 2 resources._x000D_θ If there are no clues here: Draw the encounter card underneath Congregational Church. (Group limit once per game).</t>
  </si>
  <si>
    <t>While you are in the House in the Reeds, you cannot play events._x000D_θ If there are no clues here: Draw the encounter card underneath House in the Reeds. (Group limit once per game).</t>
  </si>
  <si>
    <t>Forced – After House in the Reeds is revealed: Search the encounter deck for a Nightgaunt enemy and spawn it in the Village Commons. Shuffle the encounter deck._x000D_θ If there are no clues here: Draw the encounter card underneath House in the Reeds. (Group limit once per game).</t>
  </si>
  <si>
    <t>While you are in the Schoolhouse, you cannot commit skill cards to skill tests._x000D_θ If there are no clues here: Draw the encounter card underneath Schoolhouse. (Group limit once per game).</t>
  </si>
  <si>
    <t>You cannot discover clues here except by investigating._x000D_θ If there are no clues here: Draw the encounter card underneath Schoolhouse. (Group limit once per game).</t>
  </si>
  <si>
    <t>Revelation – Put The Hidden Chamber into play._x000D_The Hidden Chamber is connected to the location from which it was drawn._x000D_The door to The Hidden Chamber is locked. You cannot enter The Hidden Chamber unless Key to the Chamber is attached to The Hidden Chamber.</t>
  </si>
  <si>
    <t>You start each game with 2 fewer resources.</t>
  </si>
  <si>
    <t>aeafbc38-6263-37a4-2faf-a51e9899f154</t>
  </si>
  <si>
    <t>Undimensioned and Unseen</t>
  </si>
  <si>
    <t>UAU</t>
  </si>
  <si>
    <t>bc9c240e-8ce5-3125-03cc-d00ed2265f3c</t>
  </si>
  <si>
    <t>"If it bleeds..."</t>
  </si>
  <si>
    <t>0ddd4332-6338-3470-3816-14e36d0acba0</t>
  </si>
  <si>
    <t>Springfield M1903</t>
  </si>
  <si>
    <t>848cd99a-90a2-3c9a-2372-7a15c0c1f305</t>
  </si>
  <si>
    <t>Inquiring Mind</t>
  </si>
  <si>
    <t>0889a878-d572-3be1-7f40-22dd81ed9c41</t>
  </si>
  <si>
    <t>Expose Weakness</t>
  </si>
  <si>
    <t>4f457cbf-7876-398d-8891-02d168d35117</t>
  </si>
  <si>
    <t>Quick Thinking</t>
  </si>
  <si>
    <t>ddc63adf-ce89-32d4-d646-da0ed6f6a53e</t>
  </si>
  <si>
    <t>Lucky Dice</t>
  </si>
  <si>
    <t>7610ae9e-804c-39e4-52f4-0a32b056a952</t>
  </si>
  <si>
    <t>32dcb67a-1693-3e39-577e-5681b0e3bf6c</t>
  </si>
  <si>
    <t>Alyssa Graham</t>
  </si>
  <si>
    <t>7132a1db-2950-3b90-53c0-ca5198f76e8b</t>
  </si>
  <si>
    <t>fea55cfd-6c1e-3bc0-c1ea-c3a7d88e66f2</t>
  </si>
  <si>
    <t>Dark Horse</t>
  </si>
  <si>
    <t>e8763459-21ad-3b9a-5b20-f2dd2aa6d61e</t>
  </si>
  <si>
    <t>ab96d62c-14e4-39c4-d955-40a6c1e9928c</t>
  </si>
  <si>
    <t>4a84c6d9-fc71-33ae-67e5-45af752d0467</t>
  </si>
  <si>
    <t>Rampaging Creatures</t>
  </si>
  <si>
    <t>a3722e93-93d8-3df2-b2bc-9f61491c501d</t>
  </si>
  <si>
    <t>Biding Its Time</t>
  </si>
  <si>
    <t>013e3d0e-9116-322d-13c2-2911ee28af1f</t>
  </si>
  <si>
    <t>Horrors Unleashed</t>
  </si>
  <si>
    <t>a52c3b87-a72d-3d7a-584e-b58f1acc852a</t>
  </si>
  <si>
    <t>Saracenic Script</t>
  </si>
  <si>
    <t>5f02f21d-10ac-334f-a5ab-e8110806a7a4</t>
  </si>
  <si>
    <t>They Must Be Destroyed!</t>
  </si>
  <si>
    <t>c1d5868b-aef1-3882-5ebc-ea834ef47bb3</t>
  </si>
  <si>
    <t>Dunwich Village</t>
  </si>
  <si>
    <t>95fa8c11-b1bb-31fe-8635-f069109a05da</t>
  </si>
  <si>
    <t>801efeb6-d38d-39ca-79fd-55308253777c</t>
  </si>
  <si>
    <t>Cold Spring Glen</t>
  </si>
  <si>
    <t>b88ffce0-0506-341a-9ccd-1f3cd44846ed</t>
  </si>
  <si>
    <t>70743e57-162c-358f-225e-1198e23f43f2</t>
  </si>
  <si>
    <t>Ten-Acre Meadow</t>
  </si>
  <si>
    <t>570aa337-9cd2-3184-40c7-5c3a91dd1517</t>
  </si>
  <si>
    <t>b3481c64-4e50-302c-b557-81bab39e044b</t>
  </si>
  <si>
    <t>Blasted Heath</t>
  </si>
  <si>
    <t>16e6efe0-2ed2-3d90-6ba1-6262f05231b8</t>
  </si>
  <si>
    <t>77cafa34-0d3b-366d-47e1-5614a5e7291c</t>
  </si>
  <si>
    <t>Whateley Ruins</t>
  </si>
  <si>
    <t>19139758-ff4e-3728-7bd9-8524b115a0e2</t>
  </si>
  <si>
    <t>133dea2e-5ded-3c05-59f7-4a7ba47256b3</t>
  </si>
  <si>
    <t>Devil's Hop Yard</t>
  </si>
  <si>
    <t>d7ff2904-e1fd-3c21-bccc-207ac14bf965</t>
  </si>
  <si>
    <t>404128bb-f298-33c3-2067-1cb06c0b32d0</t>
  </si>
  <si>
    <t>Esoteric Formula</t>
  </si>
  <si>
    <t>53354184-415b-37e9-cb94-e1079c75fe23</t>
  </si>
  <si>
    <t>Brood of Yog-Sothoth</t>
  </si>
  <si>
    <t>d3945abd-28b0-38c7-5151-9d8ec792ca1c</t>
  </si>
  <si>
    <t>Towering Beasts</t>
  </si>
  <si>
    <t>be3de547-6321-3638-f9fd-cc2dae5a9f14</t>
  </si>
  <si>
    <t>Ruin and Destruction</t>
  </si>
  <si>
    <t>f2615fa2-fe0d-3801-07fb-a24b972d009a</t>
  </si>
  <si>
    <t>Attracting Attention</t>
  </si>
  <si>
    <t>128a3a7a-b33f-3f6b-125b-ebcd65d22ab7</t>
  </si>
  <si>
    <t>The Creatures' Tracks</t>
  </si>
  <si>
    <t>άή</t>
  </si>
  <si>
    <t>Fast. Play after you defeat a Monster enemy._x000D_
Each investigator at your location heals horror equal to that enemy's horror value.</t>
  </si>
  <si>
    <t>ήί</t>
  </si>
  <si>
    <t>Hand x 2</t>
  </si>
  <si>
    <t>Uses (3 ammo)._x000D_
η Spend 1 ammo: Fight. You get +3 ή and deal +2 damage for this attack. Cannot be used to attack enemies engaged with you.</t>
  </si>
  <si>
    <t>Commit to a skill test only if there is a clue at your location.</t>
  </si>
  <si>
    <t>έήή</t>
  </si>
  <si>
    <t>Fast. Play during any θ player window._x000D_
Choose an enemy at your location. Test έ (X), where X is that enemy's fight value. For each point you succeed by, reduce that enemy's fight value by 1 for the next attack performed against it this phase.</t>
  </si>
  <si>
    <t>If this skill test is successful by 2 or more, after it resolves, you may immediately take an action as if it were your turn (this action does not count toward the number of actions you can take each turn).</t>
  </si>
  <si>
    <t>άί</t>
  </si>
  <si>
    <t>Exceptional._x000D_
ιAfter you reveal a chaos token, spend 2 resources: Ignore that chaos token and reveal another one to resolve. If that token has a ζ symbol, remove Lucky Dice from the game.</t>
  </si>
  <si>
    <t>Innate. Developed.</t>
  </si>
  <si>
    <t>Commit only to a skill test you are performing._x000D_
If you succeed by 2 or more, return Opportunist to your hand after this test instead of discarding it.</t>
  </si>
  <si>
    <t>Speaker to the Dead</t>
  </si>
  <si>
    <t>You get +1 έ._x000D_
θ Exhaust Alyssa Graham: Look at the top card of either the encounter deck or any player deck. You may then add 1 doom to Alyssa Graham to place the looked-at card on the bottom of its deck.</t>
  </si>
  <si>
    <t>Uses (3 charges)._x000D_
ηSpend 1 charge: Investigate. Investigate using ά instead of έ. You get +2 ά for this test. If successful, you discover 2 additional clues at this location. If a α, β, γ, δ, or ζ symbol is revealed during this test, after this test resolves lose all remaining actions and immediately end your turn.</t>
  </si>
  <si>
    <t>Condition.</t>
  </si>
  <si>
    <t>Limit 1 per investigator._x000D_
During the upkeep phase, you may choose to not gain resources._x000D_
While you have no resources in your resource pool, you get +1 ά, +1 έ, +1 ή, and +1 ί.</t>
  </si>
  <si>
    <t>If this test is successful during an evasion attempt, the evading investigator may immediately evade each other enemy engaged with him or her, and may move to a connecting location.</t>
  </si>
  <si>
    <t>α: -1 for each Brood of Yog-Sothoth in play._x000D_
β: Reveal another token. If you fail this test, take 1 horror._x000D_
γ: 0. You must either remove all clue tokens from a Brood of Yog-Sothoth in play, or this token's modifier is -4 instead._x000D_
δ: -3. If this token is revealed during an attack or evasion attempt against a Brood of Yog-Sothoth, it immediately attacks you.</t>
  </si>
  <si>
    <t>α: -2 for each Brood of Yog-Sothoth in play._x000D_
β: Reveal another token. If you fail this test, take 1 horror and 1 damage._x000D_
γ: 0. You must either remove all clue tokens from a Brood of Yog-Sothoth in play, or this test automatically fails._x000D_
δ: -5. If this token is revealed during an attack or evasion attempt against a Brood of Yog-Sothoth, it immediately attacks you.</t>
  </si>
  <si>
    <t>Forced - At the end of the enemy phase: Move each Brood of Yog-Sothoth enemy once toward a random location.</t>
  </si>
  <si>
    <t>Calamity Strikes</t>
  </si>
  <si>
    <t>Shuffle the encounter discard pile into the encounter deck._x000D_
Spawn 1 of the set-aside Brood of Yog-Sothoth enemies at a random location, if able.</t>
  </si>
  <si>
    <t>No Place to Hide</t>
  </si>
  <si>
    <t>Shuffle the encounter discard pile into the encounter deck. If there is a set-aside Brood of Yog-Sothoth, the lead investigator reads the following (out loud):_x000D_
Bleak storm clouds churn overhead and a blanket of rain pelts the countryside. As the downpour grows in intensity, you take refuge in a half-ruined shack nearby. There is a flash of lightning, and in the brief illumination, you spot the outline of something large in the rain. Without warning, the distant trees bend, though nothing seems to be bending them. Moments later, a force with the strength of a truck crashes into your refuge._x000D_
Spawn 1 of the set-aside Brood of Yog-Sothoth enemies at the lead investigator's location, if able. Then, each investigator at that location tests ί (4). The newly spawned Brood of Yog-Sothoth makes an attack against each investigator who fails this skill test.</t>
  </si>
  <si>
    <t>Each Abomination enemy gets +1 fight and +1 evade._x000D_
Forced - At the end of the enemy phase: Move each Brood of Yog-Sothoth enemy once toward a random location.</t>
  </si>
  <si>
    <t>Into the Hills</t>
  </si>
  <si>
    <t>Objective - Only investigators at Whateley Ruins may spend the requisite number of clues, as a group, to advance.</t>
  </si>
  <si>
    <t>Obtaining the Formula</t>
  </si>
  <si>
    <t>Check Campaign Log. If Dr. Armitage survived The Dunwich Legacy:_x000D_
"There!" Armitage sighs a breath of relief, jotting down the last phrases of the formula. "I have translated the last of it." He shudders as he hands you the script, the words conjuring forth memories of his battle with the creature. "I hope this is the last time I'll have to read it," he admits. "But if we do nothing, the end result will be much, much worse."_x000D_
Each investigator puts into play 1 set-aside Esoteric Formula._x000D_
If Dr. Armitage is listed under "Sacrificed to Yog-Sothoth":_x000D_
Using the information contained within the ruins of the Whateley homestead, you are able to transcribe the remainder of the formula previously used by Dr. Armitage to destroy the beast that plagued Dunwich. However, the endeavor sets you back several hours._x000D_
Each investigator puts into play 1 set-aside Esoteric Formula. Place 1 doom on the current agenda.</t>
  </si>
  <si>
    <t>Objective - Defeat as many Brood of Yog-Sothoth enemies as you can. If there are no copies of Brood of Yog-Sothoth in play or set aside, advance.</t>
  </si>
  <si>
    <t>The Brood is Ended</t>
  </si>
  <si>
    <t>(→R2)</t>
  </si>
  <si>
    <t>η: Resign. You hide from the creatures._x000D_
θ: You borrow some hounds to track the creatures by scent. An investigator in Dunwich Village may place 1 of his or her clues on any Abomination enemy in play. (Group limit once per game).</t>
  </si>
  <si>
    <t>η: Resign. You hide from the creatures._x000D_
η: Move a Brood of Yog-Sothoth enemy once toward Dunwich Village.</t>
  </si>
  <si>
    <t>Each enemy in Cold Spring Glen gets -1 evade._x000D_
θ: You lure the creature into the dense tree cover, and it becomes tangled. Investigators in Cold Spring Glen may, as a group, place up to 2 of their clues on an Abomination enemy in Cold Spring Glen. (Group limit once per game).</t>
  </si>
  <si>
    <t>Each enemy in Cold Spring Glen gets -1 evade._x000D_
ι After Cold Spring Glen is chosen as a random location: An investigator in Cold Spring Glen tests ί (3). If successful, choose a different random location.</t>
  </si>
  <si>
    <t>θ: You lure the monster into the rain. Place 1 clue from the token bank on an Abomination enemy in Ten-Acre Meadow. At the end of the round, remove 1 clue from that enemy. (Group limit once per game).</t>
  </si>
  <si>
    <t>θ: You set a bait using a live animal. Each investigator in Ten-Acre Meadow may place 1 of his or her clues on an Abomination enemy in Ten-Acre Meadow. (Group limit once per game).</t>
  </si>
  <si>
    <t>θ: You lure the creature into a patch of sand. Investigators in Blasted Heath may, as a group, place up to 2 of their clues on an Abomination enemy in Blasted Heath. (Group limit once per game).</t>
  </si>
  <si>
    <t>Forced - At the end of your turn, if you are in Blasted Heath: Take 1 damage.</t>
  </si>
  <si>
    <t>Each investigator in Whateley Ruins gets -1 ά._x000D_
θ: You hurl a nearby canister of paint at the monster. An investigator in Whateley Ruins may place up to 3 of his or her clues on an Abomination enemy in Whateley Ruins. (Group limit once per game).</t>
  </si>
  <si>
    <t>Each investigator in Whateley Ruins gets -1 ά._x000D_
η: Test έ (4). If you are successful, move a Brood of Yog-Sothoth enemy 1 location in any direction.</t>
  </si>
  <si>
    <t>θ: You lure the creature into the thick fog. An investigator in Devil's Hop Yard may place up to 2 of his or her clues on an Abomination enemy in Devil's Hop Yard. (Group limit once per game).</t>
  </si>
  <si>
    <t>θ: The creature follows you into the mud. Each investigator in Devil's Hop Yard may place 1 of his or her clues on an Abomination enemy in Devil's Hop Yard. (Group limit once per game).</t>
  </si>
  <si>
    <t>η Fight. This attack uses ά instead of ή. You get +2 ά for this attack for each clue on the attacked enemy. Use this ability only on an Abomination enemy.</t>
  </si>
  <si>
    <t>Massive._x000D_
Brood of Yog-Sothoth gets +1π  health and cannot be damaged or attacked except using the ability on Esoteric Formula.</t>
  </si>
  <si>
    <t>Peril._x000D_
Revelation - Attach to a Brood of Yog-Sothoth enemy in play. If that enemy is at your location, take 1 damage._x000D_
Attached enemy gets +1 fight and +1 health.</t>
  </si>
  <si>
    <t>Revelation - If there are no investigators at the same location as a Brood of Yog-Sothoth, Ruin and Destruction gains surge. Otherwise, each investigator at the same location as a Brood of Yog-Sothoth tests ί (3). For each point he or she fails by, he or she takes 1 damage.</t>
  </si>
  <si>
    <t>Surge._x000D_
Revelation - Each Brood of Yog-Sothoth enemy in play moves once toward you.</t>
  </si>
  <si>
    <t>Peril._x000D_
Revelation - You must either (choose one): Take 2 horror, or spawn a set aside Brood of Yog-Sothoth at a random location.</t>
  </si>
  <si>
    <t>00351560-5d00-35f9-991c-cee41e081de5</t>
  </si>
  <si>
    <t>Where Doom Awaits</t>
  </si>
  <si>
    <t>WDA</t>
  </si>
  <si>
    <t>7c8c8a68-5331-3252-13e9-7b6f6001ad7b</t>
  </si>
  <si>
    <t>Leadership</t>
  </si>
  <si>
    <t>d254b566-29c6-39b7-1dad-fd4ca7767fbf</t>
  </si>
  <si>
    <t>"I've had worse…"</t>
  </si>
  <si>
    <t>4302be9e-3abe-33e3-3a1d-e938a50aa741</t>
  </si>
  <si>
    <t>33cfc081-1ed0-3c8e-1ad0-7cc2b9060f51</t>
  </si>
  <si>
    <t>8ddaab64-3e36-397f-c779-3163fc4b0a4f</t>
  </si>
  <si>
    <t>3e491307-bb92-3cbf-cec7-d84f7349cef6</t>
  </si>
  <si>
    <t>Joey "The Rat" Vigil</t>
  </si>
  <si>
    <t>0b63b793-9228-3e85-f368-25da786550b7</t>
  </si>
  <si>
    <t>Ace in the Hole</t>
  </si>
  <si>
    <t>1bcd110b-817c-337c-06e7-6969c83040aa</t>
  </si>
  <si>
    <t>Moonlight Ritual</t>
  </si>
  <si>
    <t>10e415d4-841f-33b6-2240-cac9dc445365</t>
  </si>
  <si>
    <t>015a2f11-fe7a-3aed-a970-76b6ee7db684</t>
  </si>
  <si>
    <t>Jewel of Aureolus</t>
  </si>
  <si>
    <t>e21e2612-face-3b06-588e-e279d33e8c23</t>
  </si>
  <si>
    <t>A Chance Encounter</t>
  </si>
  <si>
    <t>8b10077e-4845-3780-17dd-5efedf528247</t>
  </si>
  <si>
    <t>Stroke of Luck</t>
  </si>
  <si>
    <t>6daaf995-ef17-3dc1-b5a8-a8ed0c11c92e</t>
  </si>
  <si>
    <t>Fine Clothes</t>
  </si>
  <si>
    <t>de0d2593-e954-38d3-a229-88d4174809c2</t>
  </si>
  <si>
    <t>Moment of Respite</t>
  </si>
  <si>
    <t>03fe08bf-2232-336d-c9b6-2eb4d6d7cbab</t>
  </si>
  <si>
    <t>a3c0d6f8-b99f-3379-18cc-dfcbd78f34e2</t>
  </si>
  <si>
    <t>Calling Forth the Old Ones</t>
  </si>
  <si>
    <t>97bdedbd-8cea-3c3a-383f-1cea0ca32897</t>
  </si>
  <si>
    <t>Beckoning for Power</t>
  </si>
  <si>
    <t>4c38913a-a772-3062-ab03-bf41506990d3</t>
  </si>
  <si>
    <t>The Path to the Hill</t>
  </si>
  <si>
    <t>96aeb454-c632-3826-9434-837a14f86d71</t>
  </si>
  <si>
    <t>Ascending the Hill (v. I)</t>
  </si>
  <si>
    <t>ee4ecf60-0175-3a53-6e3e-61aefdccc66e</t>
  </si>
  <si>
    <t>Ascending the Hill (v. II)</t>
  </si>
  <si>
    <t>dbc77522-691c-348c-78a4-a2a867140219</t>
  </si>
  <si>
    <t>Ascending the Hill (v. III)</t>
  </si>
  <si>
    <t>5fc311d8-66eb-39a8-9b35-4e004a67bd53</t>
  </si>
  <si>
    <t>The Gate Opens</t>
  </si>
  <si>
    <t>0a0ee2c3-45e6-39d6-baab-9e1b95da27f5</t>
  </si>
  <si>
    <t>Base of the Hill</t>
  </si>
  <si>
    <t>5f2ec12f-3aa8-3508-a97b-6fac4e2fb6a2</t>
  </si>
  <si>
    <t>Ascending Path</t>
  </si>
  <si>
    <t>28edb79d-36af-3c02-60bb-5364b092fa79</t>
  </si>
  <si>
    <t>Sentinel Peak</t>
  </si>
  <si>
    <t>8ff015b2-9c54-3500-e748-9496efb74949</t>
  </si>
  <si>
    <t>Slaughtered Woods</t>
  </si>
  <si>
    <t>37f30f94-f621-3b6e-b8f9-9da7404504d6</t>
  </si>
  <si>
    <t>Eerie Glade</t>
  </si>
  <si>
    <t>c366685d-37e4-3b81-6c4e-37797290dea1</t>
  </si>
  <si>
    <t>Destroyed Path</t>
  </si>
  <si>
    <t>4bdb897e-7b25-3990-420c-8f629cd15c6b</t>
  </si>
  <si>
    <t>Frozen Spring</t>
  </si>
  <si>
    <t>c7b0add2-3f51-3956-2de1-e41cdbb7bcf5</t>
  </si>
  <si>
    <t>Dimensional Gap</t>
  </si>
  <si>
    <t>7fd45260-1c98-3d6a-feb0-2689ff51e1c4</t>
  </si>
  <si>
    <t>A Tear in the Path</t>
  </si>
  <si>
    <t>25b6e5e5-a0cf-3fdb-252b-1dd2e676d2c0</t>
  </si>
  <si>
    <t>Uprooted Woods</t>
  </si>
  <si>
    <t>ba8e0fa8-e151-3a57-f1d0-7707cc7e8f7c</t>
  </si>
  <si>
    <t>Lost Memories</t>
  </si>
  <si>
    <t>5734f99e-a1a5-3307-c97c-449ec0f3abad</t>
  </si>
  <si>
    <t>Seth Bishop</t>
  </si>
  <si>
    <t>d03df51a-f505-3b5b-2384-f9b2866ca302</t>
  </si>
  <si>
    <t>Devotee of the Key</t>
  </si>
  <si>
    <t>07d85d4c-3766-3a12-b5c9-1b06f0cae54c</t>
  </si>
  <si>
    <t>Crazed Shoggoth</t>
  </si>
  <si>
    <t>557b00ba-0fa5-3ce8-8b17-42ad93ef4171</t>
  </si>
  <si>
    <t>Rites Howled</t>
  </si>
  <si>
    <t>df5d978a-eb40-3fba-3867-7bc2d0257d53</t>
  </si>
  <si>
    <t>Spaces Between</t>
  </si>
  <si>
    <t>f2e7e825-2ff3-3b06-7b2f-0106b89748e5</t>
  </si>
  <si>
    <t>Vortex of Time</t>
  </si>
  <si>
    <t>Diverging Path</t>
  </si>
  <si>
    <t>Altered Path</t>
  </si>
  <si>
    <t>While Leadership is committed to a skill test being performed by another investigator, Leadership gains ά ΰ.</t>
  </si>
  <si>
    <t>άάί</t>
  </si>
  <si>
    <t>Restorative Concoction</t>
  </si>
  <si>
    <t>Acidic Ichor</t>
  </si>
  <si>
    <t>Freezing Variant</t>
  </si>
  <si>
    <t>Lookin' Out for #1</t>
  </si>
  <si>
    <t>έί</t>
  </si>
  <si>
    <t>θ Spend 1 resource: Choose an Item asset from your hand and play it (paying its cost).</t>
  </si>
  <si>
    <t>Spell. Insight.</t>
  </si>
  <si>
    <t>Remove all doom from 1 card you control.</t>
  </si>
  <si>
    <t>If this skill test is successful, heal 1 horror (2 horror instead if it succeeds by 2 or more).</t>
  </si>
  <si>
    <t>Gift of the Homunculi</t>
  </si>
  <si>
    <t>ι After a α, β, γ, δ, or ζ symbol is revealed during a skill test at your location, exhaust Jewel of Aureolus: Draw 1 card or gain 2 resources.</t>
  </si>
  <si>
    <t>άέ</t>
  </si>
  <si>
    <t>Choose an Ally asset in any player's discard pile. Put that asset into play under your control. At the end of the round, if that asset is still in play, discard it.</t>
  </si>
  <si>
    <t>Innate. Fortune.</t>
  </si>
  <si>
    <t>Item. Clothing.</t>
  </si>
  <si>
    <t>Reduce the difficulty of skill tests you perform during 'parley' actions by 2.</t>
  </si>
  <si>
    <t>The World is Altered</t>
  </si>
  <si>
    <t>Shuffle the encounter discard pile into the encounter deck.</t>
  </si>
  <si>
    <t>The Reward for Servitude</t>
  </si>
  <si>
    <t>Objective - When the investigators have collected the requisite number of clues, they must immediately spend them and advance.</t>
  </si>
  <si>
    <t>A Sacrifice Made</t>
  </si>
  <si>
    <t>Trip the Pattern</t>
  </si>
  <si>
    <t>Remove the set-aside Seth Bishop enemy from the game.</t>
  </si>
  <si>
    <t>Turn the Key</t>
  </si>
  <si>
    <t>Put the set-aside Seth Bishop enemy into play at Sentinel Peak.</t>
  </si>
  <si>
    <t>Will the Change</t>
  </si>
  <si>
    <t>Put the set-aside Seth Bishop enemy into play at Sentinel Peak, with 1[per investigator] damage on him.</t>
  </si>
  <si>
    <t>Objective - Only investigators at Sentinel Peak may spend the requisite number of clues, as a group, to advance.</t>
  </si>
  <si>
    <t>Peer Into the Abyss</t>
  </si>
  <si>
    <t>Dunwich. Sentinel Hill.</t>
  </si>
  <si>
    <t>The path leading further up the hill is masked. You cannot move into Ascending Path.</t>
  </si>
  <si>
    <t>As an additional cost to move to Sentinel Peak, the investigators must spend 2π  clues, as a group</t>
  </si>
  <si>
    <t>Forced - When an investigator at this location draws a Hex card: That investigator takes 1 damage.</t>
  </si>
  <si>
    <t>Dunwich. Woods.</t>
  </si>
  <si>
    <t>Forced - After you reveal Slaughtered Woods: Take 2 horror if you have no actions remaining.</t>
  </si>
  <si>
    <t>Forced - After you reveal Eerie Glade: Discard the top 2 cards of your deck for each action you have remaining.</t>
  </si>
  <si>
    <t>Forced - After you reveal Frozen Spring: Lose the remainder of your actions and immediately end your turn.</t>
  </si>
  <si>
    <t>Dunwich. Woods. Altered.</t>
  </si>
  <si>
    <t>Forced - After you reveal Dimensional Gap: Discard cards from the top of the encounter deck until an enemy is discarded. Spawn that enemy here (instead of its normal spawn location).</t>
  </si>
  <si>
    <t>Forced - After you reveal A Tear in the Path: Take 2 damage if you have no actions remaining.</t>
  </si>
  <si>
    <t>Forced - After you reveal Uprooted Woods: Discard the top 5 cards of your deck if you have no actions remaining.</t>
  </si>
  <si>
    <t>Forced - After you reveal Lost Memories: Take 1 horror for each action you have remaining.</t>
  </si>
  <si>
    <t>Sorcerer of Dunwich</t>
  </si>
  <si>
    <t>Retaliate.</t>
  </si>
  <si>
    <t>Monster. Shoggoth.</t>
  </si>
  <si>
    <t>Revelation - Discard the top 3 cards of each investigator's deck. Each investigator at an Altered location shuffles each weakness in his or her discard pile into his or her deck.</t>
  </si>
  <si>
    <t>Hex. Hazard.</t>
  </si>
  <si>
    <t>Revelation - Flip each non-Sentinel Hill location in play to its unrevealed side, removing all clues from it. Each investigator and enemy at a location flipped in this way immediately moves to the nearest Sentinel Hill location. Shuffle each non-Sentinel Hill location, so the players do not know which is which.</t>
  </si>
  <si>
    <t>Revelation - Each investigator at a Sentinel Hill location tests ά (4). Each investigator who fails takes 2 damage.</t>
  </si>
  <si>
    <t>AI</t>
  </si>
  <si>
    <t>AJ</t>
  </si>
  <si>
    <t>Fast. Play when you are dealt damage and/or horror._x000D_
Cancel up to 5 damage and/or horror just dealt to you. Then, gain that many resources.</t>
  </si>
  <si>
    <t>You can only include this asset in your deck by upgrading it from Strange Solution (Unidentified), and only if you have "identified the solution" in your Campaign Log._x000D_
Uses (4 supplies)._x000D_
η Spend 1 supply: Heal 2 damage from an investigator at your location.</t>
  </si>
  <si>
    <t>You can only include this asset in your deck by upgrading it from Strange Solution (Unidentified), and only if you have "identified the solution" in your Campaign Log._x000D_
Uses (3 supplies)._x000D_
η Spend 1 supply: Fight. Attack with a base ή skill of 6. This attack deals +2 damage.</t>
  </si>
  <si>
    <t>You can only include this asset in your deck by upgrading it from Strange Solution (Unidentified), and only if you have "identified the solution" in your Campaign Log._x000D_
Uses (4 supplies)._x000D_
η Spend 1 supply: Evade. Evade with a base ί skill of 6.</t>
  </si>
  <si>
    <t>Exceptional. Fast. Play only during your turn._x000D_
You may take an additional 3 actions this turn.</t>
  </si>
  <si>
    <t>Commit only to a skill test you are performing._x000D_
After revealing chaos tokens for this test, you may choose to exile Stroke of Luck. If you do, this test is automatically successful (unless a ζ token was revealed).</t>
  </si>
  <si>
    <t>Play only if there are no enemies at your location._x000D_
Heal 3 horror and draw 1 card.</t>
  </si>
  <si>
    <t>The arcane presence masking the path further up the hill has faded. Reveal Ascending Path._x000D_
Remove all clues from each location in play.</t>
  </si>
  <si>
    <t>Clues cannot be placed on non-Altered locations._x000D_
Objective - When an investigator enters Sentinel Peak, advance.</t>
  </si>
  <si>
    <t>Base of the Hill is connected to each copy of Diverging Path._x000D_
η: Investigate. If you succeed, instead of discovering clues, put a random set-aside Diverging Path into play. (Limit once per round.)_x000D_
η: Resign. "This is more than I signed up for!"</t>
  </si>
  <si>
    <t>Ascending Path is connected to each copy of Altered Path._x000D_
η: Investigate. If you succeed, instead of discovering clues, put a random set-aside Altered Path into play. (Limit once per round.)</t>
  </si>
  <si>
    <t>Forced - After you reveal Destroyed Path: Place 1π  doom on it._x000D_
η: Investigate. If you succeed, instead of discovering clues, remove 1 doom from Destroyed Path.</t>
  </si>
  <si>
    <t>Spawn - Base of the Hill._x000D_
Forced - At the end of the enemy phase, Devotee of the Key moves once toward Sentinel Peak. If Devotee of the Key is already at Sentinel Peak, discard it and add 2 doom to the current agenda, instead.</t>
  </si>
  <si>
    <t>Spawn - Nearest Altered location._x000D_
Forced - When Crazed Shoggoth attacks: If this attack would defeat an investigator, that investigator is instead killed.</t>
  </si>
  <si>
    <t>α -2 (-5 instead if you are at an Altered location)._x000D_
β Reveal another token. Cancel the effects and icons of each skill card committed to this test._x000D_
γ -3. If it is Agenda 2, you automatically fail instead._x000D_
δ -X. Discard the top 3 cards of your deck. X is the total printed cost of those discarded cards.</t>
  </si>
  <si>
    <t>α -1 (-3 instead if you are at an Altered location)._x000D_
β Reveal another token. Cancel the effects and icons of each skill card committed to this test._x000D_
γ -2 (-4 instead if it is Agenda 2)._x000D_
δ -X. Discard the top 2 cards of your deck. X is the total printed cost of those discarded cards.</t>
  </si>
  <si>
    <t>In between each game of a campaign, you may swap up to two level 0 cards out of your deck in exchange for an equal number of level 0 cards. (You must still follow all deckbuilding rules for your investigator).</t>
  </si>
  <si>
    <t>θ Spend 2 resources: You get +1 έ until the end of the phase._x000D_θ Spend 2 resources: You get +1 ή until the end of the phase.</t>
  </si>
  <si>
    <t>While you have 5 or more cards in your hand, Higher Education gains:_x000D_θ Spend 1 resource: You get +2 ά for this skill test._x000D_θ Spend 1 resource: You get +2 έ for this skill test.</t>
  </si>
  <si>
    <t>θ Spend 2 resources: You get +3 έ for this skill test._x000D_θ Spend 2 resources: You get +3 ί for this skill test.</t>
  </si>
  <si>
    <t>_x000D_θ Add 1 doom to Blood Pact: You get +3 ά for this skill test. (Limit once per test.)_x000D_θ Add 1 doom to Blood Pact: You get +3 ή for this skill test. (Limit once per test.)</t>
  </si>
  <si>
    <t>θ Spend 1 resource: You get +1 ή for this skill test._x000D_θ Spend 1 resource: You get +1 ί for this skill test.</t>
  </si>
  <si>
    <t>bbf3b538-4cc5-4cba-9ff8-0ccceb308e9f</t>
  </si>
  <si>
    <t>58620fef-9026-4ed0-ab0c-3c3d98c59a10</t>
  </si>
  <si>
    <t>If this skill test is successful during an attack, that attack deals +1 damage (+2 damage instead if it succeeds by 2 or more).</t>
  </si>
  <si>
    <t>cf84e04b-b171-4a3c-be7b-2ce58e72644d</t>
  </si>
  <si>
    <t>Monster Slayer</t>
  </si>
  <si>
    <t>Fight. If this attack succeeds against a non-Elite enemy, defeat that enemy.</t>
  </si>
  <si>
    <t>8c644d58-e63c-4474-88ed-4c5f03ae1338</t>
  </si>
  <si>
    <t>Lightning Gun</t>
  </si>
  <si>
    <t>Uses (3 ammo)._x000D_
η Spend 1 ammo: Fight. You get +5 ή for this attack. This attack deals +2 damage.</t>
  </si>
  <si>
    <t>9e3ca648-0add-4dc2-b02c-140704fcdb96</t>
  </si>
  <si>
    <t>Dr. William T. Maleson</t>
  </si>
  <si>
    <t>Working on Something Big</t>
  </si>
  <si>
    <t>ι When you draw an encounter card, exhaust Dr. William T. Maleson and place 1 of your clues on your location: Cancel the drawing of that card and shuffle it back into the encounter deck. Then, draw a new card from the top of the encounter deck.</t>
  </si>
  <si>
    <t>f9a4e03f-ca69-493c-9eb6-c010f059379f</t>
  </si>
  <si>
    <t>Deciphered Reality</t>
  </si>
  <si>
    <t>έέά</t>
  </si>
  <si>
    <t>Investigate. The difficulty of this skill test is equal to the highest shroud value among revealed locations in play. If you succeed, discover 1 clue from each revealed location in play.</t>
  </si>
  <si>
    <t>1b01a5cb-36ff-4a5d-b444-a7ea0dc56e83</t>
  </si>
  <si>
    <t>Chicago Typewriter</t>
  </si>
  <si>
    <t>Uses (4 ammo)._x000D_
η Spend 1 ammo: Fight. You may spend any number of additional actions when you perform this attack. You get +2 ή for this attack for each action being spent (including this ability's η cost). This attack deals +2 damage.</t>
  </si>
  <si>
    <t>aab36173-1f26-4a9a-80c5-612406b4d348</t>
  </si>
  <si>
    <t>The Gold Pocket Watch</t>
  </si>
  <si>
    <t>Stealing Time</t>
  </si>
  <si>
    <t>Exceptional._x000D_
θ When a phase begins, remove The Gold Pocket Watch from the game: Skip this phase._x000D_
θ After a phase ends, remove The Gold Pocket Watch from the game: Repeat that phase.</t>
  </si>
  <si>
    <t>11a8455a-1639-429d-98b1-018b1d513c77</t>
  </si>
  <si>
    <t>άήή</t>
  </si>
  <si>
    <t>Uses (4 charges)._x000D_
η Spend 1 charge: Fight. This attack uses ά instead of ή. You get +3 ά and deal +2 damage for this attack. If a α, β, γ, δ, or ζ symbol is revealed during this attack, take 2 horror.</t>
  </si>
  <si>
    <t>881972b3-9e39-42a2-aefd-f5578300ab28</t>
  </si>
  <si>
    <t>Fast. Play when you draw a non-weakness encounter card. _x000D_
Cancel all of that card's effects and discard it. Then, take 1 horror.</t>
  </si>
  <si>
    <t>f27bf901-4f99-4820-8f6a-0c2112203943</t>
  </si>
  <si>
    <t>ι When an enemy attacks you, exhaust Aquinnah and deal 1 horror to her: Deal that enemy's damage to any enemy at your location, instead. (You still take horror dealt by the attack.)</t>
  </si>
  <si>
    <t>cef840df-b85b-4823-8176-17568653410b</t>
  </si>
  <si>
    <t>Try and Try Again</t>
  </si>
  <si>
    <t>ι After a skill test is failed, if a skill card you own is committed to that test, exhaust Try and Try Again: Return that skill card to your hand.</t>
  </si>
  <si>
    <t>52a2f169-da24-47c5-aa94-bfb4adde20d5</t>
  </si>
  <si>
    <t>The Red-Gloved Man</t>
  </si>
  <si>
    <t>He Was Never There</t>
  </si>
  <si>
    <t>Ally. Conspirator.</t>
  </si>
  <si>
    <t>Fast._x000D_
ι After The Red-Gloved Man enters play: Choose two of your skills. While The Red-Gloved Man is in play, raise the base value of each of those skills to 6._x000D_
Forced - At the end of the mythos phase: Discard The Red-Gloved Man.</t>
  </si>
  <si>
    <t>6fbfa8ce-a2c5-4507-877f-5418b6a0c124</t>
  </si>
  <si>
    <t>Lost in Time and Space</t>
  </si>
  <si>
    <t>Easy / Standard_x000D_
α -1 for each Extradimensional location in play (max -5)._x000D_
β Reveal another token. If you fail, after this skill test, discard cards from the top of the encounter deck until a location is discarded. Put that location into play and move there._x000D_
γ -3. If Yog-Sothoth is in play, it attacks you after this skill test._x000D_
δ -X. X is the shroud value of your location. If you fail and your location is Extradimensional, discard it.</t>
  </si>
  <si>
    <t>Mythos</t>
  </si>
  <si>
    <t>Hard / Expert_x000D_
α -1 for each Extradimensional location in play._x000D_
β Reveal another token. After this skill test, discard cards from the top of the encounter deck until a location is discarded. Put that location into play and move there._x000D_
γ -5. If Yog-Sothoth is in play, it attacks you after this skill test._x000D_
δ -X. X is twice the shroud value of your location. If you fail and your location is Extradimensional, discard it.</t>
  </si>
  <si>
    <t>ee40c4bb-7167-413a-9f74-f90314347767</t>
  </si>
  <si>
    <t>All is One</t>
  </si>
  <si>
    <t>Forced - After you are moved to a location by an encounter card effect: Take 1 horror.</t>
  </si>
  <si>
    <t>Familiar Echoes</t>
  </si>
  <si>
    <t>Shuffle the encounter discard pile into the encounter deck. Then, discard cards from the top until a location is discarded. The lead investigator resolves that location's 'revelation' effect._x000D_
Check Campaign Log. If the investigators failed to save the students, read the following:_x000D_
"A huge canine creature, alien to your eyes and yet familiar, appears before you. The creature rushes forward, and you prepare to fend it off, but to your surprise it runs through you, towards a building that wasn't behind you moments before: Derby Hall from the Miskatonic University. The creature bursts through the building's front door and you hear screams of panic from inside, followed by the crunch of snapping bones and cries of pain."_x000D_
Each investigator takes 1 horror, regardless of their location.</t>
  </si>
  <si>
    <t>8544cff6-a5a1-4f0d-a592-2277f3fc00cb</t>
  </si>
  <si>
    <t>Past, Present and Future</t>
  </si>
  <si>
    <t>The Price of Failure</t>
  </si>
  <si>
    <t>Shuffle the encounter discard pile into the encounter deck. Then, discard cards from the top until a location is discarded. The lead investigator resolves that location's 'revelation' effect._x000D_
Check Campaign Log. If at least one name is recorded under "Sacrificed to Yog-Sothoth," read the following:_x000D_
"You hear a familiar voice calling out to you, and you enter an impossibly shaped building of cracked stone. "No… don't!" the voice cries. You rush toward the voice, down a set of steep, narrow stairs. Upon reaching the bottom, you find yourself in the hidden chamber from Dunwich. Bound by shackles, you see those you failed to save, bloodied and maimed. A creature with a man's face feeds from a corpse on the ground. The head of the corpse turns to face you, and a sharp pain stabs your heart."_x000D_
Each investigator tests ά (X), where X is the number of names recorded under "Sacrificed to Yog-Sothoth." For each point an investigator fails by, that investigator takes 1 damage.</t>
  </si>
  <si>
    <t>c75d37d6-b5b9-4677-9694-fb78e9c0e193</t>
  </si>
  <si>
    <t>Breaking Through</t>
  </si>
  <si>
    <t>The Key and the Gate</t>
  </si>
  <si>
    <t>Revelation - Spawn the set-aside Yog-Sothoth enemy at The Edge of the Universe. If The Edge of the Universe is not in play, spawn it in Another Dimension, instead. Advance to agenda 4a.</t>
  </si>
  <si>
    <t>4f2f35e2-b7da-4fa4-9c80-085251a5c5b8</t>
  </si>
  <si>
    <t>The End of All Things</t>
  </si>
  <si>
    <t>Forced - After you are moved by an encounter card effect: Take 1 horror._x000D_
Forced - If Yog-Sothoth is defeated, (→R3).</t>
  </si>
  <si>
    <t>Yog-Sothoth Attacks!</t>
  </si>
  <si>
    <t>In player order, Yog-Sothoth attacks each investigator in play, regardless of Yog-Sothoth's current location. Then, flip this agenda back to its "a" side.</t>
  </si>
  <si>
    <t>fc8806c5-7622-4c18-a092-746ed07f7a0d</t>
  </si>
  <si>
    <t>Out of this World</t>
  </si>
  <si>
    <t>η: Discard the top 3 cards of the encounter deck. Choose a location discarded by this effect and resolve its 'revelation' ability.</t>
  </si>
  <si>
    <t>The Nexus of Dimensions</t>
  </si>
  <si>
    <t>Put the set-aside The Edge of the Universe location into play.</t>
  </si>
  <si>
    <t>cb70c7b5-4a85-4999-bbf8-debb00dee317</t>
  </si>
  <si>
    <t>Into the Beyond</t>
  </si>
  <si>
    <t>η: Discard the top 3 cards of the encounter deck. Choose a location discarded by this effect and resolve its 'revelation' ability._x000D_
Objective - If an investigator enters The Edge of the Universe, advance.</t>
  </si>
  <si>
    <t>The World's Edge</t>
  </si>
  <si>
    <t>be48ac3c-fdbc-485a-b052-a7fd0ef89841</t>
  </si>
  <si>
    <t>Close the Rift</t>
  </si>
  <si>
    <t>η: Discard the top 3 cards of the encounter deck. Choose a location discarded by this effect and resolve its 'revelation' ability._x000D_
Objective - Only investigators at The Edge of the Universe may spend the requisite number of clues, as a group, to advance.</t>
  </si>
  <si>
    <t>Mending the Tear</t>
  </si>
  <si>
    <t>Remove the Edge of the Universe from the game._x000D_
Put the set-aside Tear Through Time location into play.</t>
  </si>
  <si>
    <t>1c291c62-0a83-44ff-bc1e-86a4d0219129</t>
  </si>
  <si>
    <t>Finding a New Way</t>
  </si>
  <si>
    <t>η: Discard the top 3 cards of the encounter deck. Choose a location discarded by this effect and resolve its 'revelation' ability._x000D_
Objective - If each undefeated investigator has resigned, advance.</t>
  </si>
  <si>
    <t>Reality Beckons</t>
  </si>
  <si>
    <t>6a9bbf1a-bc69-4a2e-80db-203384bc5a3c</t>
  </si>
  <si>
    <t>Another Dimension</t>
  </si>
  <si>
    <t>Otherworld.</t>
  </si>
  <si>
    <t>Unfettered by Reality</t>
  </si>
  <si>
    <t>Forced - When a location leaves play: Move each investigator and unengaged enemy at that location to Another Dimension. Cannot be canceled.</t>
  </si>
  <si>
    <t>ea62e87a-fc31-43de-9b71-2b551fd0c99f</t>
  </si>
  <si>
    <t>The Edge of the Universe</t>
  </si>
  <si>
    <t>You must have at least 2 clues in order to move to The Edge of the Universe.</t>
  </si>
  <si>
    <t>You must have at least 2 clues in order to move to The Edge of the Universe._x000D_
Investigators at The Edge of the Universe cannot draw cards during the upkeep phase.</t>
  </si>
  <si>
    <t>c9821a47-be23-45a0-bf4a-1e42a6274404</t>
  </si>
  <si>
    <t>Tear Through Time</t>
  </si>
  <si>
    <t>η Spend 2 clues: Resign. You find a new path and hope that it leads back to safety.</t>
  </si>
  <si>
    <t>a798b77c-003c-4f9d-bf25-523751a3b408</t>
  </si>
  <si>
    <t>Yog-Sothoth</t>
  </si>
  <si>
    <t>The Lurker Beyond the Threshold</t>
  </si>
  <si>
    <t>Massive. Hunter. Retaliate._x000D_
Yog-Sothoth gets +6π health._x000D_
Yog-Sothoth cannot be evaded and cannot make attacks of opportunity._x000D_
ι When Yog-Sothoth attacks you: Instead of taking up to X horror, you may discard the top X cards from your deck. Then, if you have no cards in your deck, you are driven insane.</t>
  </si>
  <si>
    <t>25278bfd-85d8-43cf-ad03-21c188123316</t>
  </si>
  <si>
    <t>Tear Through Space</t>
  </si>
  <si>
    <t>Otherworld. Extradimensional.</t>
  </si>
  <si>
    <t>Surge._x000D_
Revelation - Put Tear Through Space into play._x000D_
Forced - At the end of the round: Either place 1 doom on Tear Through Space, or discard it.</t>
  </si>
  <si>
    <t>5f1bb425-00c2-4493-9461-04753f63b60d</t>
  </si>
  <si>
    <t>Prismatic Cascade</t>
  </si>
  <si>
    <t>Revelation - Put Prismatic Cascade into play and discard a random card from your hand._x000D_
Forced - After the last clue on Prismatic Cascade is removed: Discard Prismatic Cascade.</t>
  </si>
  <si>
    <t>4bc24058-926b-4cf9-996c-3b63ad402552</t>
  </si>
  <si>
    <t>Endless Bridge</t>
  </si>
  <si>
    <t>Revelation - Put Endless Bridge into play and lose 2 resources._x000D_
Forced - After an investigator leaves Endless Bridge: Either place 1 doom on Endless Bridge, or discard it.</t>
  </si>
  <si>
    <t>a17fd098-b77d-4936-8fba-2cd87a369ffc</t>
  </si>
  <si>
    <t>Steps of Y'hagharl</t>
  </si>
  <si>
    <t>Revelation - Put Steps of Y'hagharl into play. Then, draw the topmost Madness card in your discard pile._x000D_
Forced - When you would leave Steps of Y'hagharl: Test ά (2). If you fail, shuffle Steps of Y'hagharl into the encounter deck instead of moving to your original destination.</t>
  </si>
  <si>
    <t>90e0012a-63a5-4952-8573-549bf491baac</t>
  </si>
  <si>
    <t>Dimensional Doorway</t>
  </si>
  <si>
    <t>Revelation - Put Dimensional Doorway into play. Then, draw the topmost Hex card in the encounter discard pile._x000D_
Forced - At the end of your turn, if you are at Dimensional Doorway: You must either spend 2 resources or shuffle Dimensional Doorway into the encounter deck.</t>
  </si>
  <si>
    <t>a55bddc2-4df8-4af0-87e2-63c9499b86b4</t>
  </si>
  <si>
    <t>Interstellar Traveler</t>
  </si>
  <si>
    <t>Spawn - Any Extradimensional location._x000D_
Hunter._x000D_
Forced - When Interstellar Traveler enters a location: Flip 1 clue on that location to its doom side and place it on Interstellar Traveler, or place 1 doom on Interstellar Traveler if there are no clues on that location.</t>
  </si>
  <si>
    <t>99b976c9-621f-469e-a8eb-6831e0c07ea4</t>
  </si>
  <si>
    <t>Yithian Starseeker</t>
  </si>
  <si>
    <t>Spawn - Another Dimension._x000D_
Retaliate._x000D_
Forced - When Yithian Starseeker attacks an investigator with more than 10 cards in his or her discard pile: Place 1 doom on Yithian Starseeker.</t>
  </si>
  <si>
    <t>78f8e782-c17d-47ea-a1a8-d82abd6a6b20</t>
  </si>
  <si>
    <t>Collapsing Reality</t>
  </si>
  <si>
    <t>Revelation - If you are at an Extradimensional location, discard it and take 1 damage. Otherwise, take 2 damage.</t>
  </si>
  <si>
    <t>bcda55bb-9512-4584-83da-66bf1614d2ef</t>
  </si>
  <si>
    <t>Wormhole</t>
  </si>
  <si>
    <t>Revelation - Discard cards from the top of the encounter deck until a location is discarded. Resolve that location's 'revelation' ability, then move to that location.</t>
  </si>
  <si>
    <t>d8776d4a-758f-4375-ac00-e07127efd041</t>
  </si>
  <si>
    <t>Vast Expanse</t>
  </si>
  <si>
    <t>Revelation - If there are no Extradimensional locations in play, Vast Expanse gains surge. Otherwise, test ά (X), where X is the number of Extradimensional locations in play (max 5). For each point you fail by, take 1 horror.</t>
  </si>
  <si>
    <t>LITAS</t>
  </si>
  <si>
    <t>Mark Harrigan</t>
  </si>
  <si>
    <t>The Soldier</t>
  </si>
  <si>
    <t>Veteran</t>
  </si>
  <si>
    <t>You begin the game with Sophie (In Loving Memory) in play._x000D_
ι After damage is placed on a card you control: Draw 1 card. (Limit once per phase.)_x000D_
ε effect: +1 for each damage on Mark Harrigan.</t>
  </si>
  <si>
    <t>Deck size: 30._x000D_
Deckbuilding Options: Guardian cards (κ) level 0-5, Neutral cards level 0-5, Tactic cards level 0._x000D_
Deckbuilding Requirements (do not count toward deck size): The Home Front, Shell Shock, Sophie, 1 random basic weakness.</t>
  </si>
  <si>
    <t>Minh Thi Phan</t>
  </si>
  <si>
    <t>The Secretary</t>
  </si>
  <si>
    <t>Assistant.</t>
  </si>
  <si>
    <t>ι After an investigator at your location commits a card to a skill test: That card gains a ΰ icon until the end of the test. (Limit once for each investigator per round.)_x000D_
ε effect: +1. You may choose a skill card committed to this skill test to return to its owner's hand after this test ends.</t>
  </si>
  <si>
    <t>Deck size: 30._x000D_
Deckbuilding Options: Seeker cards (λ) level 0-5, Neutral cards level 0-5, Survivor cards (ξ) level 0-2._x000D_
Deckbuilding Requirements (do not count toward deck size): Analytical Mind, The King in Yellow (Act 1), 1 random basic weakness.</t>
  </si>
  <si>
    <t>Sefina Rousseau</t>
  </si>
  <si>
    <t>The Painter</t>
  </si>
  <si>
    <t>Artist.</t>
  </si>
  <si>
    <t>Forced - When you would draw your opening hand: Draw 13 cards, instead. Choose up to 5 events to place beneath this card and keep 8 cards as your opening hand. Discard the rest. (You cannot mulligan.)_x000D_
η: Choose an event beneath this card and draw it. Does not provoke attacks of opportunity._x000D_
ε effect: +3. You may choose an event beneath this card and draw it.</t>
  </si>
  <si>
    <t>Deck size: 33._x000D_
Deckbuilding Options: Rogue cards (ν) level 0-5, Neutral cards level 0-5, Mystic cards (μ) level 0-2._x000D_
Deckbuilding Requirements (do not count toward deck size): 3 copies of The Painted World, 1 copy of Stars of Hyades, 1 random basic weakness.</t>
  </si>
  <si>
    <t>Akachi Onyele</t>
  </si>
  <si>
    <t>The Shaman</t>
  </si>
  <si>
    <t>Your assets with "uses (charges)" enter play with 1 additional charge on them._x000D_
ε effect: +1. Add 1 charge to an asset with "uses (charges)" you control.</t>
  </si>
  <si>
    <t>Deck size: 30._x000D_
Deckbuilding Options: Mystic cards (μ) level 0-5, Neutral cards level 0-5, cards with "uses (charges)" level 0-4, Occult cards level 0._x000D_
Deckbuilding Requirements (do not count toward deck size): Spirit-Speaker, Angered Spirits, 1 random basic weakness.</t>
  </si>
  <si>
    <t>William Yorick</t>
  </si>
  <si>
    <t>The Gravedigger</t>
  </si>
  <si>
    <t>Warden.</t>
  </si>
  <si>
    <t>ι After you defeat an enemy: Play an asset from your discard pile (paying its cost). (Limit once per round.)_x000D_
ε effect: +2. If this test is successful, return 1 card from your discard pile to your hand.</t>
  </si>
  <si>
    <t>Deck size: 30._x000D_
Deckbuilding Options: Survivor cards (ξ) level 0-5, Neutral cards level 0-5, Guardian cards (κ) level 0-2._x000D_
Deckbuilding Requirements (do not count toward deck size): Bury Them Deep, Graveyard Ghouls, 1 random basic weakness.</t>
  </si>
  <si>
    <t>Lola Hayes</t>
  </si>
  <si>
    <t>The Actress</t>
  </si>
  <si>
    <t>Forced - After you draw your opening hand: Choose a role (ξ, κ
, λ, ν, μ, or Neutral)._x000D_
You can only play, commit, or trigger abilities on Neutral cards or cards of your role._x000D_
θ: Switch your role. (Limit once per round.)_x000D_
ε effect: +2. You may switch roles.</t>
  </si>
  <si>
    <t>Deck size: 35._x000D_
Deckbuilding Options: Survivor, Guardian, Seeker, Rogue, and Mystic cards (ξ, κ, λ, ν, and μ) level 0-3, Neutral cards level 0-5._x000D_
Deckbuilding Requirements (do not count toward deck size): 2 copies of Improvisation, 2 copies of Crisis of Identity, 1 random basic weakness._x000D_
Additional Requirements: Your deck must include at least 7 cards each from 3 different classes (ξ, κ, λ, ν, or μ).</t>
  </si>
  <si>
    <t>The Home Front</t>
  </si>
  <si>
    <t>ήήήή</t>
  </si>
  <si>
    <t>Mark Harrigan deck only._x000D_
If this skill is successful during an attack, move 1 damage from Mark Harrigan to the attacked enemy.</t>
  </si>
  <si>
    <t>Shell Shock</t>
  </si>
  <si>
    <t>Revelation - For every 2 damage on you, take 1 horror.</t>
  </si>
  <si>
    <t>Sophie</t>
  </si>
  <si>
    <t>In Loving Memory</t>
  </si>
  <si>
    <t>Item. Spirit.</t>
  </si>
  <si>
    <t>Mark Harrigan deck only._x000D_
Sophie cannot leave play._x000D_
θ Take 1 direct damage: You get +2 to your skill value for this skill test._x000D_
Forced - If Mark Harrigan has 5 or more damage on him: Flip Sophie.</t>
  </si>
  <si>
    <t>It Was All My Fault</t>
  </si>
  <si>
    <t>Item. Madness.</t>
  </si>
  <si>
    <t>Sophie cannot leave play._x000D_
You get -1 to each of your skills._x000D_
Forced - If Mark Harrigan has 4 or less damage on him: Flip Sophie.</t>
  </si>
  <si>
    <t>Analytical Mind</t>
  </si>
  <si>
    <t>Between the Lines</t>
  </si>
  <si>
    <t>Minh Thi Phan deck only._x000D_
You may commit 1 card to each skill test performed by an investigator at another location._x000D_
ι After you commit exactly 1 card to a skill test, exhaust Analytical Mind: Draw 1 card.</t>
  </si>
  <si>
    <t>The King in Yellow</t>
  </si>
  <si>
    <t>Act 1</t>
  </si>
  <si>
    <t>Tome.</t>
  </si>
  <si>
    <t>Revelation - Put The King in Yellow into play in your threat area. It cannot leave play except through the ι ability below._x000D_
You cannot commit exactly 1 or 2 cards to a skill test._x000D_
ι After a skill test is successful in which Minh Thi Phan has committed at least 6 matching skill icons for that test: Discard The King in Yellow.</t>
  </si>
  <si>
    <t>The Painted World</t>
  </si>
  <si>
    <t>άίΰ</t>
  </si>
  <si>
    <t>Sefina Rousseau deck only._x000D_
Cannot be placed beneath Sefina Rousseau._x000D_
Play The Painted World as an exact copy of a non-exceptional event that is beneath Sefina Rousseau. Remove The Painted World from the game instead of discarding it.</t>
  </si>
  <si>
    <t>Stars of Hyades</t>
  </si>
  <si>
    <t>Revelation - Randomly choose an event beneath Sefina Rousseau and remove it from the game. If you cannot, take 1 damage and 1 horror. If your deck has 5 or more cards in it, shuffle Stars of Hyades back into your deck instead of discarding it.</t>
  </si>
  <si>
    <t>Spirit-Speaker</t>
  </si>
  <si>
    <t>Envoy of the Alusi</t>
  </si>
  <si>
    <t>άέΰ</t>
  </si>
  <si>
    <t>Ritual.</t>
  </si>
  <si>
    <t>Akachi Onyele deck only._x000D_
θ Exhaust Spirit-Speaker: Choose an asset you control with "uses (charges)." Either return that asset to your hand, or move all charges from that asset to your resource pool (as resources) and discard that asset.</t>
  </si>
  <si>
    <t>Angered Spirits</t>
  </si>
  <si>
    <t>Revelation - Put Angered Spirits into play in your threat area._x000D_
θ Exhaust a Spell asset: Move 1 charge from that asset to Angered Spirits._x000D_
Forced - When the game ends, if Angered Spirits has fewer than 4 charges on it: You suffer 1 physical trauma.</t>
  </si>
  <si>
    <t>Bury Them Deep</t>
  </si>
  <si>
    <t>άήΰ</t>
  </si>
  <si>
    <t>William Yorick deck only._x000D_
Fast. Play after a non-Elite enemy at your location is defeated._x000D_
Add that enemy (and this card) to the victory display.</t>
  </si>
  <si>
    <t>Graveyard Ghouls</t>
  </si>
  <si>
    <t>Prey - William Yorick only._x000D_
Hunter._x000D_
While Graveyard Ghouls is engaged with you, cards cannot leave your discard pile.</t>
  </si>
  <si>
    <t>Improvisation</t>
  </si>
  <si>
    <t>Lola Hayes deck only._x000D_
Fast. Play only during your turn._x000D_
Switch your role. Until the end of your turn, reduce the resource cost of the next card you play of your role by 3. Draw 1 card.</t>
  </si>
  <si>
    <t>Crisis of Identity</t>
  </si>
  <si>
    <t>Revelation - Discard all cards you control of your current role. Then, discard the top card of your deck. Switch your role to the class of the discarded card (if the discarded card is a weakness, switch your role to neutral).</t>
  </si>
  <si>
    <t>.32 Colt</t>
  </si>
  <si>
    <t>Uses (6 ammo)._x000D_
η Spend 1 ammo: Fight. You deal +1 damage for this attack.</t>
  </si>
  <si>
    <t>True Grit</t>
  </si>
  <si>
    <t>True Grit may be assigned damage dealt to other investigators at your location.</t>
  </si>
  <si>
    <t>"Let me handle this!"</t>
  </si>
  <si>
    <t>Fast. Play after another investigator draws a non-peril encounter card, but before resolving that card's effects._x000D_
You are considered to have drawn that encounter card, instead. You get +2 to each of your skills while resolving that card's revelation effect.</t>
  </si>
  <si>
    <t>Ever Vigilant</t>
  </si>
  <si>
    <t>One at a time, play up to 3 assets from your hand, reducing the resource cost of each by 1.</t>
  </si>
  <si>
    <t>Fieldwork</t>
  </si>
  <si>
    <t>ι After you move to a location, if that location has at least 1 clue on it, exhaust Fieldwork: You get +2 skill value for the next skill test you perform this phase.</t>
  </si>
  <si>
    <t>Archaic Glyphs</t>
  </si>
  <si>
    <t>Untranslated</t>
  </si>
  <si>
    <t>Item. Occult. Tome.</t>
  </si>
  <si>
    <t>η Discard a card with at least 1 έ skill icon from your hand: Place 1 resource on Archaic Glyphs from the token pool, as a secret._x000D_
Forced - After the third secret is placed on Archaic Glyphs: Discard Archaic Glyphs and gain 5 resources. Record in your Campaign Log that "you have translated the glyphs."</t>
  </si>
  <si>
    <t>No Stone Unturned</t>
  </si>
  <si>
    <t>Choose an investigator at your location. That investigator searches the top 6 cards of his or her deck for a card, draws it, and shuffles his or her deck.</t>
  </si>
  <si>
    <t>In the Know</t>
  </si>
  <si>
    <t>Uses (3 secrets)._x000D_
η Spend 1 secret: Investigate. Investigate any revealed location in play as if you were at that location.</t>
  </si>
  <si>
    <t>Stealth</t>
  </si>
  <si>
    <t>η Exhaust Stealth: Evade. The chosen enemy gets -2 evade for this evasion attempt. If you successfully evade the enemy, disengage with it but do not exhaust it. Until the end of your turn, that enemy cannot engage you.</t>
  </si>
  <si>
    <t>Sleight of Hand</t>
  </si>
  <si>
    <t>Fast. Play only during your turn._x000D_
Put an Item asset into play from your hand. At the end of your turn, if that asset is still in play, return it to your hand.</t>
  </si>
  <si>
    <t>Daring Maneuver</t>
  </si>
  <si>
    <t>Gambit.</t>
  </si>
  <si>
    <t>Fast. Play when you would succeed at a skill test._x000D_
You get +2 skill value for this test.</t>
  </si>
  <si>
    <t>Lockpicks</t>
  </si>
  <si>
    <t>Item. Tool. Illicit.</t>
  </si>
  <si>
    <t>Uses (3 supplies). If Lockpicks has no supplies, discard it._x000D_
η Exhaust Lockpicks: Investigate. Add your ί value to your skill value for this investigation. If you do not succeed by at least 2, remove 1 supply from Lockpicks.</t>
  </si>
  <si>
    <t>Alchemical Transmutation</t>
  </si>
  <si>
    <t>Uses (3 charges)._x000D_
η Exhaust Alchemical Transmutation, spend 1 charge: Test ά (1). For each point you succeed by, gain 1 resource (to a maximum of 3). If a α, β, γ, δ, or ζ symbol is revealed during this test, take 1 damage.</t>
  </si>
  <si>
    <t>Uncage the Soul</t>
  </si>
  <si>
    <t>Play a Spell or Ritual card from your hand, reducing its resource cost by 3.</t>
  </si>
  <si>
    <t>Astral Travel</t>
  </si>
  <si>
    <t>Move. Move to any revealed location and reveal a random token from the chaos bag. If you reveal a α, β, γ, δ, or ζ symbol, you must discard an Item or Ally asset you control (if you cannot, take 1 damage).</t>
  </si>
  <si>
    <t>Spirit Athame</t>
  </si>
  <si>
    <t>Item. Relic. Weapon. Melee.</t>
  </si>
  <si>
    <t>θ During a skill test on a Spell card, exhaust Spirit Athame: You get +2 skill value for this test._x000D_
η Exhaust Spirit Athame: Fight. You get +2 ή for this attack.</t>
  </si>
  <si>
    <t>Lantern</t>
  </si>
  <si>
    <t>η: Investigate. Your location gets -1 shroud for this investigation._x000D_
η Discard Lantern: Deal 1 damage to an enemy at your location. This action does not provoke attacks of opportunity.</t>
  </si>
  <si>
    <t>Gravedigger's Shovel</t>
  </si>
  <si>
    <t>Item. Tool. Weapon. Melee.</t>
  </si>
  <si>
    <t>η: Fight. You get +2 ή for this attack._x000D_
η Discard Gravedigger's Shovel: Discover 1 clue at your location.</t>
  </si>
  <si>
    <t>Hiding Spot</t>
  </si>
  <si>
    <t>Tactic. Trick.</t>
  </si>
  <si>
    <t>Fast. Attach Hiding Spot to any location._x000D_
Each non-Elite enemy at attached location gains aloof._x000D_
Forced - At the end of the enemy phase, if a ready enemy is at attached location: Discard Hiding Spot.</t>
  </si>
  <si>
    <t>Resourceful</t>
  </si>
  <si>
    <t>έήί</t>
  </si>
  <si>
    <t>If this skill test is successful, choose a ξ card not named Resourceful in your discard pile. Add the chosen card to your hand.</t>
  </si>
  <si>
    <t>Overzealous</t>
  </si>
  <si>
    <t>Revelation - Draw the top card of the encounter deck. That card gains surge.</t>
  </si>
  <si>
    <t>Drawing the Sign</t>
  </si>
  <si>
    <t>Pact. Madness.</t>
  </si>
  <si>
    <t>Revelation - Put Drawing the Sign into play in your threat area._x000D_
Your maximum hand size is reduced by 5 while checking your hand size during the upkeep phase._x000D_
ηη: Discard Drawing the Sign.</t>
  </si>
  <si>
    <t>The Thing That Follows</t>
  </si>
  <si>
    <t>Monster. Curse.</t>
  </si>
  <si>
    <t>Spawn - Location farthest from you._x000D_
Prey - Bearer only._x000D_
Hunter._x000D_
Forced - When The Thing That Follows would be defeated: Instead shuffle it into its bearer's deck.</t>
  </si>
  <si>
    <t>Curtain Call</t>
  </si>
  <si>
    <t>Easy / Standard_x000D_
α -1 (-3 instead if you have 3 or more horror on you)._x000D_
β γ δ -4. If your location has at least 1 horror on it, take 1 horror (from the token pool). If your location has no horror on it, place 1 horror on it instead.</t>
  </si>
  <si>
    <t>Hard / Expert_x000D_
α -X, where X is the amount of horror on you. (If you have no horror on you, X is 1.)_x000D_
β γ δ -5. If your location has at least 1 horror on it, take 1 horror (from the token pool). If your location has no horror on it, place 1 horror on it instead.</t>
  </si>
  <si>
    <t>The Third Act</t>
  </si>
  <si>
    <t>The Emissary's Message</t>
  </si>
  <si>
    <t>Search all set-aside cards and the victory display for the Royal Emissary enemy, and spawn it in the Theatre.</t>
  </si>
  <si>
    <t>Encore</t>
  </si>
  <si>
    <t>Forced - After Royal Emissary is added to the victory display: Remove all doom from play and reset the agenda deck to agenda 1a. Then, place 3 doom on that agenda.</t>
  </si>
  <si>
    <t>"Exit Now"</t>
  </si>
  <si>
    <t>Each investigator takes 100 horror (cannot be prevented).</t>
  </si>
  <si>
    <t>Awakening</t>
  </si>
  <si>
    <t>His Final Bow</t>
  </si>
  <si>
    <t>Choose one of the set-aside locations, at random. Put that location into play, and spawn the set-aside The Man in the Pallid Mask enemy at that location (instead of his normal spawn location)._x000D_
Advance to one of the 3 copies of act 2a, at random. Remove the other 2 copies of act 2a from the game without looking at them.</t>
  </si>
  <si>
    <t>The Stranger</t>
  </si>
  <si>
    <t>Objective - When The Man in the Pallid Mask would be discarded from play, advance.</t>
  </si>
  <si>
    <t>A City Aflame</t>
  </si>
  <si>
    <t>Instead of discarding The Man in the Pallid Mask, move him to the Lobby._x000D_
Add 2 β tokens to the chaos bag._x000D_
Place 1 horror on the Theatre. Until the end of the scenario, horror on locations represents spreading flames, and each location with horror gains: "Forced - After you enter this location or end your turn at this location: Test ί (3). If you fail, take 1 damage. (Limit once per round.)"_x000D_
Keep this card next to the act deck as a reminder, and advance to act 3a.</t>
  </si>
  <si>
    <t>The Path is Mine</t>
  </si>
  <si>
    <t>Instead of discarding The Man in the Pallid Mask, move him to the Lobby._x000D_
Add 2 γ tokens to the chaos bag._x000D_
Place 1 horror on the location The Man in the Pallid Mask was moved from. Until the end of the scenario, horror on locations represents the advancing ooze, and each location with horror gains: "Forced - After you leave this location: Test ί (4). If you fail, take 1 horror and 1 damage."_x000D_
Keep this card next to the act deck as a reminder, and advance to act 3a.</t>
  </si>
  <si>
    <t>The Shores of Hali</t>
  </si>
  <si>
    <t>Instead of discarding The Man in the Pallid Mask, move him to the Lobby._x000D_
Add 2 δ tokens to the chaos bag._x000D_
Place 1 horror on each Private location. Until the end of the scenario, horror on locations represents flooding water, and each location with horror gains: "Forced - When you would leave this location: Test ί (2). If you fail, take 1 damage and cancel the effects of the move. (Limit once per round.)"_x000D_
Keep this card next to the act deck as a reminder, and advance to act 3a.</t>
  </si>
  <si>
    <t>While The Man in the Pallid Mask is not in play, the Lobby gains: "η: Resign."_x000D_
Forced - At the end of the round: Place 1 horror on each location with no horror that is connected to a location with horror._x000D_
Objective - If each undefeated investigator has resigned, advance.</t>
  </si>
  <si>
    <t>Escaping the Theatre</t>
  </si>
  <si>
    <t>The investigators must decide (choose one):_x000D_
- We have to warn the police about what's going on! (→R1)_x000D_
- The police won't believe us. We have to solve this mystery on our own. (→R2)</t>
  </si>
  <si>
    <t>Theatre</t>
  </si>
  <si>
    <t>Lobby</t>
  </si>
  <si>
    <t>Forced - When Lobby is revealed: Put 2 of the set-aside Lobby Doorway locations into play, at random._x000D_
η η: Draw 3 cards.</t>
  </si>
  <si>
    <t>Balcony</t>
  </si>
  <si>
    <t>Forced - After you perform a move action during which you move from the Balcony to the Theatre: Take 2 damage.</t>
  </si>
  <si>
    <t>Backstage</t>
  </si>
  <si>
    <t>Forced - When Backstage is revealed: Put 2 of the set-aside Backstage Doorway locations into play, at random._x000D_
While you are at Backstage, each hidden treachery in your hand counts as 3 cards instead of 1 for the purposes of counting your hand size.</t>
  </si>
  <si>
    <t>Lobby Doorway</t>
  </si>
  <si>
    <t>Private.</t>
  </si>
  <si>
    <t>Lighting Box</t>
  </si>
  <si>
    <t>While you are in the Lighting Box, increase the resource cost of each card in your hand by 2.</t>
  </si>
  <si>
    <t>Box Office</t>
  </si>
  <si>
    <t>η: Gain 5 resources. Remember that you "stole from the box office." (Group limit once per game.)</t>
  </si>
  <si>
    <t>Green Room</t>
  </si>
  <si>
    <t>η Investigate. You get +3 έ for this investigation. After this skill test ends, discard each card in your hand.</t>
  </si>
  <si>
    <t>Backstage Doorway</t>
  </si>
  <si>
    <t>Dressing Room</t>
  </si>
  <si>
    <t>η η η: Heal 3 horror.</t>
  </si>
  <si>
    <t>Rehearsal Room</t>
  </si>
  <si>
    <t>Forced - After you succeed by 2 or more while investigating the Rehearsal Room: Take 1 horror.</t>
  </si>
  <si>
    <t>Trap Room</t>
  </si>
  <si>
    <t>Forced - After you reveal the Trap Room: Search the encounter deck and discard pile for 1 copy of Swarm of Rats and put it into play engaged with you (2 copies instead if there are 3 or 4 investigators in the game). Shuffle the encounter deck if it is searched.</t>
  </si>
  <si>
    <t>The Man in the Pallid Mask</t>
  </si>
  <si>
    <t>Humanoid. Elite.</t>
  </si>
  <si>
    <t>Spawn - Location farthest from all investigators._x000D_
Aloof._x000D_
η: Investigate. Your location gets +2 shroud for this investigation. If you succeed, instead of discovering clues, defeat The Man in the Pallid Mask.</t>
  </si>
  <si>
    <t>Royal Emissary</t>
  </si>
  <si>
    <t>Messenger from Aldebaran</t>
  </si>
  <si>
    <t>Prey - Lowest ά._x000D_
Massive. Hunter. Retaliate._x000D_
Forced - At the end of the enemy phase: Each investigator at Royal Emissary's location or a connecting location takes 1 horror.</t>
  </si>
  <si>
    <t>The Last King</t>
  </si>
  <si>
    <t>Easy / Standard_x000D_
α Reveal another token. If you fail, place 1 doom on a Lunatic enemy in play._x000D_
β -2. If you fail, place 1 of your clues on your location._x000D_
γ: -4. If you fail, take 1 horror._x000D_
δ: -X. X is the shroud value of your location.</t>
  </si>
  <si>
    <t>Hard / Expert_x000D_
α Reveal another token. If you fail, place 1 doom on the Lunatic enemy in play with the most remaining health._x000D_
β -3. Place 1 of your clues on your location._x000D_
γ -4. Take 1 horror._x000D_
δ -X. X is the shroud value of your location. If you fail, take 1 damage.</t>
  </si>
  <si>
    <t>Fashionably Late</t>
  </si>
  <si>
    <t>The Final Guest</t>
  </si>
  <si>
    <t>Find the Bystander asset with the fewest clues on it. Spawn the set-aside Dianne Devine enemy at that asset's location._x000D_
Shuffle the encounter discard pile into the encounter deck.</t>
  </si>
  <si>
    <t>The Terrifying Truth</t>
  </si>
  <si>
    <t>Forced - When this agenda would advance by reaching its doom threshold: Instead, remove all doom in play and randomly resolve one of the Sickening Reality cards underneath the scenario reference card. If there are no cards underneath the scenario reference card, advance to agenda 2b instead.</t>
  </si>
  <si>
    <t>If You Can't Beat Them…</t>
  </si>
  <si>
    <t>Discovering the Truth</t>
  </si>
  <si>
    <t>Forced - When an investigator is eliminated (by defeat or resignation): Place each of that investigator's clues on this act, instead of placing them at his or her location._x000D_
Objective - Find as many clues as you can, then get out of this awful place!</t>
  </si>
  <si>
    <t>…?</t>
  </si>
  <si>
    <t>Madness. noun. mad.ness._x000D_
The state of being mentally ill, especially severely._x000D_
- Extremely foolish behavior._x000D_
- A state of frenzied or chaotic activity._x000D_
- Why are you looking at this side?_x000D_
- There is no reason to flip to Act 1b._x000D_
- Flip back to Act 1a.</t>
  </si>
  <si>
    <t>Sickening Reality</t>
  </si>
  <si>
    <t>Story</t>
  </si>
  <si>
    <t>Each investigator at Constance Dumaine's location takes 1 horror.
Move each clue from Constance Dumaine to her location.
Flip this card to its enemy side, and switch it with the Bystander asset version of Constance Dumaine, removing that version from the game.</t>
  </si>
  <si>
    <t>Constance Dumaine</t>
  </si>
  <si>
    <t>A Little Too Sociable</t>
  </si>
  <si>
    <t>Monster. Lunatic. Elite.</t>
  </si>
  <si>
    <t>Hunter.
While Constance Dumaine is exhuasted, she gets +3 fight.</t>
  </si>
  <si>
    <t>Each investigator at Jordan Perry's location takes 1 horror.
Move each clue from Jordan Perry to his location.
Flip this card to its enemy side, and switch it with the Bystander asset version of Jordan Perry, removing that version from the game.</t>
  </si>
  <si>
    <t>Jordan Perry</t>
  </si>
  <si>
    <t>An Imposing Presence</t>
  </si>
  <si>
    <t>Hunter.
Forced - At the beginning of the enemy phase: Heal 1 damage from Jordan Perry.</t>
  </si>
  <si>
    <t>Each investigator at Ishimaru Haruko's location takes 1 horror.
Move each clue from Ishimaru Haruko to her location.
Flip this card to its enemy side, and switch it with the Bystander asset version of Ishimaru Haruko, removing that version from the game.</t>
  </si>
  <si>
    <t>Ishimaru Haruko</t>
  </si>
  <si>
    <t>Just Skin and Bones</t>
  </si>
  <si>
    <t>Hunter.
Forced - After you deal damage to Ishimaru Haruko by an effect other than an attack: Draw the top card of the encounter deck.</t>
  </si>
  <si>
    <t>Each investigator at Sebastien Moreau's location takes 1 horror.
Move each clue from Sebastien Moreau to his location.
Flip this card to its enemy side, and switch it with the Bystander asset version of Sebastien Moreau, removing that version from the game.</t>
  </si>
  <si>
    <t>Sebastien Moreau</t>
  </si>
  <si>
    <t>Savage Hysteria</t>
  </si>
  <si>
    <t>Hunter. Retaliate.
Sebastien Moreau's attacks cannot be canceled.</t>
  </si>
  <si>
    <t>Each investigator at Ashleigh Clarke's location takes 1 horror.
Move each clue from Ashleigh Clarke to her location.
Flip this card to its enemy side, and switch it with the Bystander asset version of Ashleigh Clarke, removing that version from the game.</t>
  </si>
  <si>
    <t>Ashleigh Clarke</t>
  </si>
  <si>
    <t>Songs Die Unheard</t>
  </si>
  <si>
    <t>Hunter.
Each investigator at Ashleigh  Clarke's location does not draw cards during the upkeep phase.</t>
  </si>
  <si>
    <t>Foyer</t>
  </si>
  <si>
    <t>η: Resign. Having found valuable information about the production, you depart and plan your next move. (If each undefeated investigator has resigned, proceed to "if no resolution was reached" in the Campaign Guide.)</t>
  </si>
  <si>
    <t>Ballroom</t>
  </si>
  <si>
    <t>ι After you perform a parley action in the Ballroom: Gain 2 resources. (Group limit once per phase.)</t>
  </si>
  <si>
    <t>Living Room</t>
  </si>
  <si>
    <t>ι After you perform a parley action in the Living Room: Draw 1 card. (Group limit once per phase.)</t>
  </si>
  <si>
    <t>Gallery</t>
  </si>
  <si>
    <t>Forced - After you end your turn at the Gallery: Test ά (2). If you fail, place 1 of your clues on the Gallery.</t>
  </si>
  <si>
    <t>Courtyard</t>
  </si>
  <si>
    <t>Forced - After you enter the Courtyard: Discard the top card of the encounter deck. If that card is an enemy, draw it.</t>
  </si>
  <si>
    <t>Dining Room</t>
  </si>
  <si>
    <t>η: Heal 1 horror. Then, reveal a random token from the chaos bag. If a α or ζ symbol is revealed, take 1 horror and place 1 doom on the Dining Room.</t>
  </si>
  <si>
    <t>Sociable Hostess</t>
  </si>
  <si>
    <t>Bystander.</t>
  </si>
  <si>
    <t>η: Parley. Test έ (3) to ask Constance about the play. If you succeed, take control of 1 of the clues on Constance Dumaine._x000D_
Forced - When the last clue is removed from Constance Dumaine: Flip this card over and resolve its text.</t>
  </si>
  <si>
    <t>Engram's Oath</t>
  </si>
  <si>
    <t>Remember that you "interviewed Constance."
Flip this card back over to its Bystander asset side.</t>
  </si>
  <si>
    <t>Dignified Financier</t>
  </si>
  <si>
    <t>η If you have 10 or more resources: Parley. Test έ (2) to fraternize with Jordan. If you succeed, take control of 1 of the clues on Jordan Perry._x000D_
Forced - When the last clue is removed from Jordan Perry: Flip this card over and resolve its text.</t>
  </si>
  <si>
    <t>L'agneau Perdu</t>
  </si>
  <si>
    <t>Remember that you "interviewed Jordan."
Flip this card back over to its Bystander asset side.</t>
  </si>
  <si>
    <t>Costume Designer</t>
  </si>
  <si>
    <t>η If you have 6 or more cards in your hand: Parley. Test ά (2) to question Haruko about the play. If you succeed, take control of 1 of the clues on Ishimaru Haruko._x000D_
Forced - When the last clue is removed from Ishimaru Haruko: Flip this card over and resolve its text.</t>
  </si>
  <si>
    <t>The Pattern</t>
  </si>
  <si>
    <t>Remember that you "interviewed Haruko."
Flip this card back over to its Bystander asset side.</t>
  </si>
  <si>
    <t>Impassioned Producer</t>
  </si>
  <si>
    <t>η: Parley. Test ά (3) to get information about the production from Sebastien. If you succeed, take control of 1 of the clues on Sebastien Moreau._x000D_
Forced - When the last clue is removed from Sebastien Moreau: Flip this card over and resolve its text.</t>
  </si>
  <si>
    <t>The First Show</t>
  </si>
  <si>
    <t>Remember that you "interviewed Sebastien."
Flip this card back over to its Bystander asset side.</t>
  </si>
  <si>
    <t>Talented Entertainer</t>
  </si>
  <si>
    <t>ηη: Parley. You listen to Ashleigh perform. Take control of 1 of the clues on Ashleigh Clarke._x000D_
Forced - When the last clue is removed from Ashleigh Clarke: Flip this card over and resolve its text.</t>
  </si>
  <si>
    <t>Above and Below</t>
  </si>
  <si>
    <t>Remember that you "interviewed Ashleigh."
Flip this card back over to its Bystander asset side.</t>
  </si>
  <si>
    <t>Dianne Devine</t>
  </si>
  <si>
    <t>Mercurial and Mischevious</t>
  </si>
  <si>
    <t>Aloof._x000D_
Each investigator at Dianne Devine's location cannot discover or take control of clues._x000D_
Forced - At the beginning of the enemy phase: Find the Bystander asset with the fewest clues on it. Move Dianne Devine to that asset's location, if able.</t>
  </si>
  <si>
    <t>Fine Dining</t>
  </si>
  <si>
    <t>Peril._x000D_
Revelation - You must either place 1 of your clues on a Bystander asset in play or take 1 horror and 1 damage.</t>
  </si>
  <si>
    <t>Tough Crowd</t>
  </si>
  <si>
    <t>Revelation - Put Tough Crowd into play next to the agenda deck._x000D_
Each investigator must spend 1 additional action to parley._x000D_
Forced - At the end of the round: Discard Tough Crowd.</t>
  </si>
  <si>
    <t>Delusions</t>
  </si>
  <si>
    <t>Whispers in Your Head (Anxiety)</t>
  </si>
  <si>
    <t>Peril. Hidden._x000D_
Revelation - Secretly add Whispers in Your Head (Anxiety) to your hand._x000D_
YYou cannot trigger θ abilities._x000D_
ηη: Discard Whispers in Your Head (Anxiety) from your hand.</t>
  </si>
  <si>
    <t>Whispers in Your Head (Dismay)</t>
  </si>
  <si>
    <t>Peril. Hidden._x000D_
Revelation - Secretly add Whispers in Your Head (Dismay) to your hand._x000D_
You cannot commit skill cards to skill tests._x000D_
ηη: Discard Whispers in Your Head (Dismay) from your hand.</t>
  </si>
  <si>
    <t>Whispers in Your Head (Doubt)</t>
  </si>
  <si>
    <t>Peril. Hidden._x000D_
Revelation - Secretly add Whispers in Your Head (Doubt) to your hand._x000D_
You cannot play events._x000D_
ηη: Discard Whispers in Your Head (Doubt) from your hand.</t>
  </si>
  <si>
    <t>Whispers in Your Head (Dread)</t>
  </si>
  <si>
    <t>Peril. Hidden._x000D_
Revelation - Secretly add Whispers in Your Head (Dread) to your hand._x000D_
You cannot move more than once each turn._x000D_
ηη: Discard Whispers in Your Head (Dread) from your hand.</t>
  </si>
  <si>
    <t>Descent into Madness</t>
  </si>
  <si>
    <t>Surge._x000D_
Revelation - If you have at least 3 horror on you, lose 1 action.</t>
  </si>
  <si>
    <t>Byakhee</t>
  </si>
  <si>
    <t>Swift Byakhee</t>
  </si>
  <si>
    <t>Prey - Lowest remaining sanity._x000D_
Hunter. Retaliate._x000D_
Forced - When Swift Byakhee would move via the hunter keyword: Instead, move it (one location at a time) until it enters its prey's location. If it moved more than one location by this effect, it does not attack this phase.</t>
  </si>
  <si>
    <t>Hunted by Byakhee</t>
  </si>
  <si>
    <t>Revelation - Test ί (6). If you fail, reveal the top X cards of the encounter deck, where X is the amount you failed by. If at least 1 Byakhee enemy is revealed by this effect, choose and draw 1 of them. If at least 1 Omen treachery is revealed by this effect, take 1 horror. Shuffle the encounter deck.</t>
  </si>
  <si>
    <t>Inhabitants of Carcosa</t>
  </si>
  <si>
    <t>Beast of Aldebaran</t>
  </si>
  <si>
    <t>Massive._x000D_
While assigning damage and horror from Beast of Aldebaran's attack, you must assign as much damage and horror as possible to a single card before assigning it to another card.</t>
  </si>
  <si>
    <t>Spawn of Hali</t>
  </si>
  <si>
    <t>Monster.</t>
  </si>
  <si>
    <t>Prey - Most horror._x000D_
Retaliate._x000D_
Forced - After you successfully evade Spawn of Hali by 2 or less: Take 1 horror.</t>
  </si>
  <si>
    <t>Evil Portents</t>
  </si>
  <si>
    <t>Black Stars Rise</t>
  </si>
  <si>
    <t>Revelation - Test έ (4). If you fail, you must either place 1 doom on the current agenda or take 1 horror for each point you failed by. This effect can cause the current agenda to advance.</t>
  </si>
  <si>
    <t>Spires of Carcosa</t>
  </si>
  <si>
    <t>Revelation - Attach to your location, then place 2 doom on that location._x000D_
If there is no doom on attached location, discard Spires of Carcosa._x000D_
η: Investigate. If you succeed, instead of discovering clues here, remove 1 doom from attached location.</t>
  </si>
  <si>
    <t>Twisted to His Will</t>
  </si>
  <si>
    <t>Revelation - If there is no doom in play, Twisted to His Will gains surge. Otherwise, test ά (X), where X is the amount of doom in play. If you fail, discard 2 cards from your hand at random.</t>
  </si>
  <si>
    <t>Hauntings</t>
  </si>
  <si>
    <t>Poltergeist</t>
  </si>
  <si>
    <t>Monster. Geist.</t>
  </si>
  <si>
    <t>Cannot be damaged except by Spell, Relic, or encounter cards._x000D_
η Parley. Test έ (3) to attempt to banish the geist. If you succeed, deal it 1 damage.</t>
  </si>
  <si>
    <t>Spirit's Torment</t>
  </si>
  <si>
    <t>Curse. Geist.</t>
  </si>
  <si>
    <t>Revelation - Attach to your location._x000D_
Forced - After you leave attached location: You must either take 1 horror or lose 1 action._x000D_
η Place 1 of your clues on attached location: Discard Spirit's Torment.</t>
  </si>
  <si>
    <t>Hastur's Gift</t>
  </si>
  <si>
    <t>Maniac</t>
  </si>
  <si>
    <t>Humanoid. Lunatic.</t>
  </si>
  <si>
    <t>Forced - After Maniac engages you: Take 1 damage and deal 1 damage to Maniac.</t>
  </si>
  <si>
    <t>Young Psychopath</t>
  </si>
  <si>
    <t>Forced - After Young Psychopath engages you: You must either take 1 horror, or Young Psychopath gets +3 fight until the end of the investigation phase.</t>
  </si>
  <si>
    <t>Dance of the Yellow King</t>
  </si>
  <si>
    <t>Revelation - If there are no Lunatic enemies in play, Dance of the Yellow King gains surge. Otherwise, test ά (3). If you fail, the nearest Lunatic enemy readies, moves (one location at a time) until it reaches your location, engages you, and makes an immediate attack.</t>
  </si>
  <si>
    <t>Cult of the Yellow Sign</t>
  </si>
  <si>
    <t>Fanatic</t>
  </si>
  <si>
    <t>Spawn - Revealed location with the most clues._x000D_
Forced - After Fanatic enters play: Move 1 clue from Fanatic's location to Fanatic._x000D_
Forced - When you defeat Fanatic: Take control of all of its clues.</t>
  </si>
  <si>
    <t>Agent of the King</t>
  </si>
  <si>
    <t>Prey - Most clues._x000D_
Hunter._x000D_
Forced - After Agent of the King attacks you: Move 1 of your clues to Agent of the King._x000D_
Forced - When you defeat Agent of the King: Take control of all of its clues.</t>
  </si>
  <si>
    <t>The King's Edict</t>
  </si>
  <si>
    <t>Revelation - For each Cultist enemy in play, move 1 clue from that enemy's location to that enemy. Until the end of the round, each Cultist enemy in play gets +1 fight for each clue and/or doom on it. If no clues are moved by this effect, The King's Edict gains surge.</t>
  </si>
  <si>
    <t>Decay &amp; Filth</t>
  </si>
  <si>
    <t>Ooze and Filth</t>
  </si>
  <si>
    <t>Revelation - Put Ooze and Filth into play next to the agenda deck._x000D_
Each location gets +1 shroud._x000D_
Forced - At the end of the round: Discard Ooze and Filth.</t>
  </si>
  <si>
    <t>Corrosion</t>
  </si>
  <si>
    <t>Revelation - Discard Item assets from play and/or from your hand with a total printed resource cost of at least X, where X is the shroud value of your location. If no cards are discarded by this effect, Corrosion gains surge.</t>
  </si>
  <si>
    <t>Roach Swarm</t>
  </si>
  <si>
    <t>X is the shroud value of Roach Swarm's location.</t>
  </si>
  <si>
    <t>Marked by the Sign</t>
  </si>
  <si>
    <t>Peril._x000D_
Revelation - Test ά (2). If you fail, take 2 horror. If The Man in the Pallid Mask is in play, horror dealt by this effect is considered direct horror, and this test has +2 difficulty.</t>
  </si>
  <si>
    <t>The Pale Mask Beckons</t>
  </si>
  <si>
    <t>Omen. Pact.</t>
  </si>
  <si>
    <t>Revelation - If The Man in the Pallid Mask is in play, he attacks each investigator in player order, regardless of his current location. If The Man in the Pallid Mask is not in play, search his bearer's deck and discard pile for him, draw him, and shuffle his bearer's deck (resolve this effect even if his bearer is currently eliminated, searching all out-of-play areas).</t>
  </si>
  <si>
    <t>d1c3d07c-d9fe-4fec-96fe-0eb1376dfb14</t>
  </si>
  <si>
    <t>e720a73f-d12d-413a-866a-56e348d00957</t>
  </si>
  <si>
    <t>b12ecfb5-132a-4cee-a501-a9f0ef597029</t>
  </si>
  <si>
    <t>e84da7a4-4354-4ca9-bf7f-98db4bc71b51</t>
  </si>
  <si>
    <t>10797ed5-43a5-432f-b85d-05937226cf86</t>
  </si>
  <si>
    <t>fe9917ce-ecf1-4a22-8183-5de72fb08f8a</t>
  </si>
  <si>
    <t>adecc9da-1548-45cf-ba74-101f24571d83</t>
  </si>
  <si>
    <t>4b4c7be5-789f-47b0-a827-4d7193747c98</t>
  </si>
  <si>
    <t>cb508b5e-a72c-4a04-92b1-3db45054202a</t>
  </si>
  <si>
    <t>30fb3e52-6e01-47c9-af3f-794f0846669f</t>
  </si>
  <si>
    <t>775403be-3ab9-4307-959c-433013d4bd41</t>
  </si>
  <si>
    <t>77762bba-feb8-4bc3-924f-11f7873847c4</t>
  </si>
  <si>
    <t>0edbea65-8d12-43dc-ad58-56fd907d12a8</t>
  </si>
  <si>
    <t>b5652d99-7ea7-44ea-981d-c048bd1c85c0</t>
  </si>
  <si>
    <t>b2245888-7a35-4bb1-a9d2-8e965f48b068</t>
  </si>
  <si>
    <t>569aa886-e35c-4743-ab28-580054aa3acf</t>
  </si>
  <si>
    <t>0545b58a-e4e5-47de-a1e0-fd9add65f674</t>
  </si>
  <si>
    <t>efcb1bf8-2856-40e2-b929-dc9778c01584</t>
  </si>
  <si>
    <t>1364260b-3c1d-4931-bb8d-8cc976640d7f</t>
  </si>
  <si>
    <t>e26cc034-0541-4fd3-af1a-c40380d81ad3</t>
  </si>
  <si>
    <t>4941435b-faf8-4e07-867c-294b760eea02</t>
  </si>
  <si>
    <t>c3533456-7808-400d-8fcf-8e947dcd85b7</t>
  </si>
  <si>
    <t>b296130f-a3b4-4fc3-8edc-65da229b0e45</t>
  </si>
  <si>
    <t>0f3770fb-ba7b-4191-a1e2-8e1f26983d53</t>
  </si>
  <si>
    <t>38b19e4f-1a9e-4581-a8ac-2284d61c43a1</t>
  </si>
  <si>
    <t>9f87d218-df29-47d5-b26f-2daf0b90b167</t>
  </si>
  <si>
    <t>083dc573-7765-41fb-bb03-fc4d557c4fa6</t>
  </si>
  <si>
    <t>12f25e42-e409-47d0-88ae-3724d35d25a8</t>
  </si>
  <si>
    <t>31c82a7c-e642-4c53-a1ad-13b589edac18</t>
  </si>
  <si>
    <t>578fe576-2c45-45a9-b987-3f44993e0ec5</t>
  </si>
  <si>
    <t>3ab5db6c-682a-4b06-bc8d-a37aaff0903f</t>
  </si>
  <si>
    <t>a36a85e5-e71e-4956-99fc-b999fc04444e</t>
  </si>
  <si>
    <t>f48a875b-cc5d-496f-8833-0bf6f08a03c5</t>
  </si>
  <si>
    <t>1b216f49-5472-4f2c-b2ad-ed2ba4856da9</t>
  </si>
  <si>
    <t>3025513f-3b4f-416e-bf16-022df897908e</t>
  </si>
  <si>
    <t>e05e3860-418a-4295-8c8b-78953d572e5a</t>
  </si>
  <si>
    <t>09f04897-4e28-4b96-bcf7-a9e22f661625</t>
  </si>
  <si>
    <t>2c08f9a1-3ee5-41fd-aef1-3269d61ad7b7</t>
  </si>
  <si>
    <t>5cae3396-1b75-42ae-82cf-3e54b0e11f37</t>
  </si>
  <si>
    <t>6c7f104b-f07c-423e-b221-5218affead2b</t>
  </si>
  <si>
    <t>d73c20b0-f661-4d33-a932-9db730708916</t>
  </si>
  <si>
    <t>74c2e15a-6d3b-42d1-8c07-e9330d50bc43</t>
  </si>
  <si>
    <t>4f27752a-ef71-47c0-9b1e-2d4a192dd8af</t>
  </si>
  <si>
    <t>d2a7406a-71f5-470d-99e5-a66f03696117</t>
  </si>
  <si>
    <t>2c6187a9-76e7-4b1c-8a43-2c19a8b5c50c</t>
  </si>
  <si>
    <t>a93be08b-0678-47ce-8495-2fcf4f592e12</t>
  </si>
  <si>
    <t>bcac7d95-9727-48a6-9637-8b1cea4e9d09</t>
  </si>
  <si>
    <t>25789be3-7924-4834-bf85-093a010025a9</t>
  </si>
  <si>
    <t>362b14dc-33b6-438f-a880-0e1de96d2d15</t>
  </si>
  <si>
    <t>fda5fc52-3076-45e0-aa8c-7438bbc8d763</t>
  </si>
  <si>
    <t>9ea44e62-15f5-4a17-84e1-397faeed100a</t>
  </si>
  <si>
    <t>c30724d5-13d5-483e-9bc5-50e0a825100d</t>
  </si>
  <si>
    <t>e1d22038-00da-429e-930f-8ad7bf245bfe</t>
  </si>
  <si>
    <t>4d77df3a-b331-41c1-aacc-0b647595333f</t>
  </si>
  <si>
    <t>651dcc09-5555-4116-a5e7-1fc268f747ce</t>
  </si>
  <si>
    <t>4b6c39f1-489d-4865-a8c3-a06f501032d4</t>
  </si>
  <si>
    <t>5eb519b3-1c37-42fa-979f-85ee71f4d712</t>
  </si>
  <si>
    <t>b883c3ab-1f79-4f66-8189-331f49eeed51</t>
  </si>
  <si>
    <t>b58d6e53-4dda-4a2a-9895-fafe78e0cb52</t>
  </si>
  <si>
    <t>54652fd6-0f52-419b-a56c-262587e974f4</t>
  </si>
  <si>
    <t>0b579bc9-d109-441d-a684-107bd0074f4c</t>
  </si>
  <si>
    <t>85b2ef57-9d11-41f7-a65b-a648df0c6870</t>
  </si>
  <si>
    <t>8ccc73e7-0522-40ab-a2ce-8f2840118c14</t>
  </si>
  <si>
    <t>decc0b1b-abfa-4f69-8c34-e6ca0dfb4d43</t>
  </si>
  <si>
    <t>62b1be18-861f-4c79-850b-f65181aaaa75</t>
  </si>
  <si>
    <t>2783c24c-09ee-40ea-bf94-c176b1c875e3</t>
  </si>
  <si>
    <t>d46cc2e1-a35d-43d0-8d97-6191c036c752</t>
  </si>
  <si>
    <t>d70b4ee5-f019-41e3-b646-5877ed6ed546</t>
  </si>
  <si>
    <t>28cb5d3e-f01b-45bb-855d-c485ee013856</t>
  </si>
  <si>
    <t>e2a657d8-5022-4c24-a583-db5af2f0ffe9</t>
  </si>
  <si>
    <t>cb30e8bc-cd3f-458d-8ed7-a862aca101b1</t>
  </si>
  <si>
    <t>1a2e05a3-449d-42ee-9acb-bcbcb74b8fb8</t>
  </si>
  <si>
    <t>817c6c3c-a012-4cb6-a971-7f635b9a40c9</t>
  </si>
  <si>
    <t>fa39401d-1c22-48b3-90a3-491fdc3986a8</t>
  </si>
  <si>
    <t>e8c328f7-614e-4cca-9bc0-5a8c98b17191</t>
  </si>
  <si>
    <t>1e3ae66b-e3b2-4c47-b01b-74a84a7199d9</t>
  </si>
  <si>
    <t>55d22c8d-180a-4f65-a976-2578b32004fa</t>
  </si>
  <si>
    <t>95e0c5b0-e5c0-447b-a56c-cd3e0c33ed48</t>
  </si>
  <si>
    <t>d857e12b-849f-4d96-ac84-6b4800b22d33</t>
  </si>
  <si>
    <t>618a7e11-07d9-4cd3-ae9e-51c655675115</t>
  </si>
  <si>
    <t>7468dc22-72ba-440f-b2c6-db5e996c439b</t>
  </si>
  <si>
    <t>16cf8478-335a-4a07-9367-5ef3b984bf5d</t>
  </si>
  <si>
    <t>6c253516-6ee4-4de9-8a4d-29c9f70b34aa</t>
  </si>
  <si>
    <t>89caa5e2-c572-41ba-ac2d-d9fb15776ccc</t>
  </si>
  <si>
    <t>f3ba042e-0168-42c5-b8cb-3f7c6db9aa18</t>
  </si>
  <si>
    <t>ee0b0617-fb92-4044-8c5b-4557d585a57f</t>
  </si>
  <si>
    <t>9a97899b-05b3-48c8-a887-d81e51ad7b9a</t>
  </si>
  <si>
    <t>dadb5b8c-ae6d-461d-beab-3c9bbda307f9</t>
  </si>
  <si>
    <t>b142edb8-97d6-4509-ba14-7c99a0ee7692</t>
  </si>
  <si>
    <t>ce65fdd4-895d-424f-b5f6-0832c37bdbc9</t>
  </si>
  <si>
    <t>3e6c4fca-7904-4011-9e5c-c7f326b70fca</t>
  </si>
  <si>
    <t>2c2200a9-17cc-4623-9681-707f91f4f67a</t>
  </si>
  <si>
    <t>06c32bd9-6555-4ba4-8cd6-32f0d24c89d9</t>
  </si>
  <si>
    <t>5cd3a00a-e928-4d2b-b39f-9195c52c39ad</t>
  </si>
  <si>
    <t>7e5ba644-8dc9-4979-8941-05cb8c1fcaba</t>
  </si>
  <si>
    <t>312db589-3f66-4154-b361-d1e733091b74</t>
  </si>
  <si>
    <t>9b117a79-6e5e-4d03-bf60-73ac95886a2d</t>
  </si>
  <si>
    <t>25f2b043-9b84-4462-911d-42dbaaea2a35</t>
  </si>
  <si>
    <t>4e1d5bce-18f2-49ec-9832-02a57a5ea992</t>
  </si>
  <si>
    <t>8edcf3f3-0cb5-4ba6-8fe1-3386835a0b15</t>
  </si>
  <si>
    <t>95a412a2-e6d5-4adc-ab32-d6c15578680d</t>
  </si>
  <si>
    <t>45be8e5a-86ba-4461-81b5-b26ed5667d83</t>
  </si>
  <si>
    <t>f2583909-73ce-4141-8a26-8bf7b86bba4e</t>
  </si>
  <si>
    <t>f6577476-6f0f-452e-b689-1b0cbcb06701</t>
  </si>
  <si>
    <t>fb264d2c-d8ff-4b19-b87f-c6146763873f</t>
  </si>
  <si>
    <t>3cba18b0-e2d2-4583-a7fe-f42dc278e847</t>
  </si>
  <si>
    <t>757ba65c-af72-40b0-a8e6-bf5828260733</t>
  </si>
  <si>
    <t>1b887e33-712e-457c-b62d-2c16a4495f3e</t>
  </si>
  <si>
    <t>f341e477-11b0-498b-b1e4-fbf6822e9097</t>
  </si>
  <si>
    <t>a7ec26bc-91c9-4351-a54e-7f13a0ed0a73</t>
  </si>
  <si>
    <t>ca208949-a47c-4454-9f74-f3ca630c7ed7</t>
  </si>
  <si>
    <t>The Path to Carcosa</t>
  </si>
  <si>
    <t>TPC</t>
  </si>
  <si>
    <t>ed4e6058-f8f6-4872-b689-9be56bf36495</t>
  </si>
  <si>
    <t>Echoes of the Past</t>
  </si>
  <si>
    <t>EOTP</t>
  </si>
  <si>
    <t>f29b59ec-ec43-4a28-b0ef-2328f98366b0</t>
  </si>
  <si>
    <t>Heroic Rescue</t>
  </si>
  <si>
    <t>Spirit. Tactic.</t>
  </si>
  <si>
    <t>Fast. Play when a non-Elite enemy would attack another investigator at your location._x000D_
Engage that enemy and resolve its attack against you instead. Then, deal it 1 damage.</t>
  </si>
  <si>
    <t>389a1f02-8576-40e9-ab01-7831c42d8469</t>
  </si>
  <si>
    <t>Combat Training</t>
  </si>
  <si>
    <t>Talent. Composure.</t>
  </si>
  <si>
    <t>Fast. Limit 1 Composure in play._x000D_
Non-direct horror must be assigned to Combat Training before it can be assigned to your investigator card._x000D_
[free] Spend 1 resource: You get +1 ή for this skill test._x000D_
[free] Spend 1 resource: You get +1 ί for this skill test.</t>
  </si>
  <si>
    <t>5ad22d80-e0fb-4bd7-a238-e1b45d049f44</t>
  </si>
  <si>
    <t>Anatomical Diagrams</t>
  </si>
  <si>
    <t>Fast. Play during any investigator's turn. Play only if you have 5 or more remaining sanity._x000D_
Choose a non-Elite enemy at your location. Until the end of the active investigator's turn, that enemy gets -2 fight and -2 evade.</t>
  </si>
  <si>
    <t>5ae2824d-d778-44a3-bd1b-c77c8dd3a1b8</t>
  </si>
  <si>
    <t>Scientific Theory</t>
  </si>
  <si>
    <t>Fast. Limit 1 Composure in play._x000D_
Non-direct horror must be assigned to Scientific Theory before it can be assigned to your investigator card._x000D_
[free] Spend 1 resource: You get +1 έ for this skill test._x000D_
[free] Spend 1 resource: You get +1 ή for this skill test.</t>
  </si>
  <si>
    <t>6af41cf6-266c-48e2-b119-9fbd61829752</t>
  </si>
  <si>
    <t>Knuckleduster</t>
  </si>
  <si>
    <t>η: Fight. This attack deals +1 damage. The attacked enemy gains retaliate for this attack.</t>
  </si>
  <si>
    <t>87b827ac-303c-4967-a965-e37896f65e29</t>
  </si>
  <si>
    <t>Moxie</t>
  </si>
  <si>
    <t>Fast. Limit 1 Composure in play._x000D_
Non-direct horror must be assigned to Moxie before it can be assigned to your investigator card._x000D_
[free] Spend 1 resource: You get +1 ά for this skill test._x000D_
[free] Spend 1 resource: You get +1 ί for this skill test.</t>
  </si>
  <si>
    <t>83fc44d4-edfe-4fb3-a7f8-8e42244c7064</t>
  </si>
  <si>
    <t>David Renfield</t>
  </si>
  <si>
    <t>Esteemed Eschatologist</t>
  </si>
  <si>
    <t>Ally. Patron.</t>
  </si>
  <si>
    <t>While David Renfield has at least 1 doom on him, you get +1 ά._x000D_
[fast] Exhaust David Renfield: You may place 1 doom on David Renfield. Gain 1 resource for each doom on David Renfield.</t>
  </si>
  <si>
    <t>4c8b511f-49bd-4e6d-9dca-97db8f533e6f</t>
  </si>
  <si>
    <t>Grounded</t>
  </si>
  <si>
    <t>Fast. Limit 1 Composure in play._x000D_
Non-direct horror must be assigned to Grounded before it can be assigned to your investigator card._x000D_
[free] During a skill test on a Spell card, spend 1 resource: You get +1 skill value for this test.</t>
  </si>
  <si>
    <t>b2be6512-0e1c-43f2-a2e0-899757f43d17</t>
  </si>
  <si>
    <t>Cherished Keepsake</t>
  </si>
  <si>
    <t>177fa98c-3792-4f59-a809-139467475fe5</t>
  </si>
  <si>
    <t>Plucky</t>
  </si>
  <si>
    <t>Fast. Limit 1 Composure in play._x000D_
Non-direct horror must be assigned to Plucky before it can be assigned to your investigator card._x000D_
[free] Spend 1 resource: You get +1 ά for this skill test._x000D_
[free] Spend 1 resource: You get +1 έ for this skill test.</t>
  </si>
  <si>
    <t>ff3b2a54-6aa9-49b3-bf27-9ca88fbfdb3c</t>
  </si>
  <si>
    <t>Say Your Prayers</t>
  </si>
  <si>
    <t>άάάά</t>
  </si>
  <si>
    <t>Desperate.</t>
  </si>
  <si>
    <t>Max 1 committed per skill test._x000D_
Commit to a skill test only if you have 3 or fewer remaining sanity.</t>
  </si>
  <si>
    <t>9864c7ca-1bdf-4b40-adb6-c5fb0b3ee232</t>
  </si>
  <si>
    <t>Desperate Search</t>
  </si>
  <si>
    <t>έέέέ</t>
  </si>
  <si>
    <t>650d7373-7c5e-4058-be76-18b6b557798a</t>
  </si>
  <si>
    <t>Reckless Assault</t>
  </si>
  <si>
    <t>7a4cd64c-8a1a-4551-8a4c-cb3a463e6cf4</t>
  </si>
  <si>
    <t>Run For Your Life</t>
  </si>
  <si>
    <t>ίίίί</t>
  </si>
  <si>
    <t>d789bb63-a4a4-478c-800f-9b618b76d0d9</t>
  </si>
  <si>
    <t>Easy / Standard_x000D_
α: -X. X is the highest number of doom on an enemy in play._x000D_
β: -2. If you fail, place 1 doom on the nearest enemy._x000D_
γ: -2. If you fail, discard a random card from your hand._x000D_
δ: -2. If you fail and there is an enemy at your location, take 1 horror.</t>
  </si>
  <si>
    <t xml:space="preserve"> Hard / Expert _x000D_
α: -X. X is the total number of doom on enemies in play._x000D_
β: -4. Place 1 doom on the nearest enemy._x000D_
γ: -4. Discard a random card from your hand._x000D_
δ: -4. If there is an enemy at your location, take 1 horror.</t>
  </si>
  <si>
    <t>db645ddc-72b0-4ada-9e05-49bcae6f85a5</t>
  </si>
  <si>
    <t>The Truth is Hidden</t>
  </si>
  <si>
    <t>Do not add doom to this agenda during the Mythos phase._x000D_
Forced - After 1 or more clues are placed on an enemy in play: Flip those clues to their doom side.</t>
  </si>
  <si>
    <t>f675c7f0-b292-414f-a2a1-7dc24a573544</t>
  </si>
  <si>
    <t>Ransacking the Manor</t>
  </si>
  <si>
    <t>Spawn the set-aside Possessed Oathspeaker enemy at the Entry Hall._x000D_
Check Campaign Log. If Sebastien Moreau is not listed under "VIPs Slain," search the collection for Sebastien Moreau (Savage Hysteria) and spawn him in the Entry Hall.</t>
  </si>
  <si>
    <t>edc8c61e-8bfa-4123-827a-19639d957f18</t>
  </si>
  <si>
    <t>Secrets Better Left Hidden</t>
  </si>
  <si>
    <t>(→R4).</t>
  </si>
  <si>
    <t>b353bda0-77b4-405f-ac95-56421a5b81ad</t>
  </si>
  <si>
    <t>Race for Answers</t>
  </si>
  <si>
    <t>For each revealed Historical Society location, add 1 [per_investigator] clues to it (to a maximum of its clue value).</t>
  </si>
  <si>
    <t>2bd1ff6e-8bc1-4cbe-bb80-6b84be81f509</t>
  </si>
  <si>
    <t>Mistakes of the Past</t>
  </si>
  <si>
    <t>For each revealed Historical Society location, add 1 [per_investigator] clues to it (to a maximum of its clue value)._x000D_
Choose an investigator to take control of the set-aside Mr. Peabody asset._x000D_
Put the set-aside Hidden Library location into play.</t>
  </si>
  <si>
    <t>2c12ad8f-8b49-43e3-9481-eae4c5704b39</t>
  </si>
  <si>
    <t>The Oath</t>
  </si>
  <si>
    <t>Locations with the Passageway trait are connected to one another._x000D_
Objective - Only investigators in the Hidden Library may spend the requisite number of clues, as a group, to advance.</t>
  </si>
  <si>
    <t>The investigators must decide (choose one):_x000D_
- This is an important discovery! We should take it with us. (→R1)._x000D_
- It's just a silly trinket, and it would be wrong to steal from the Historical Society. Leave it behind. (→R2)</t>
  </si>
  <si>
    <t>e539a9e8-b1f7-47c7-be85-8e2d1b07da19</t>
  </si>
  <si>
    <t>Entry Hall</t>
  </si>
  <si>
    <t>Ground Floor.</t>
  </si>
  <si>
    <t>Entry Hall is connected to each other Ground Floor location.</t>
  </si>
  <si>
    <t>Entry Hall is connected to each other Ground Floor location._x000D_
η: Resign. You flee, leaving the mysteries of the past to the mysterious cultists.</t>
  </si>
  <si>
    <t>7a50f11d-59c1-4109-86c4-06d483df7891</t>
  </si>
  <si>
    <t>Forced - When an enemy spawns at this location: Reveal this location.</t>
  </si>
  <si>
    <t>Meeting Room</t>
  </si>
  <si>
    <t>η Exhaust an Ally asset: Discover a clue at this location. (Limit once per round.)</t>
  </si>
  <si>
    <t>b60cff3c-de68-440f-95a7-ad5f0563bff8</t>
  </si>
  <si>
    <t>Record Office</t>
  </si>
  <si>
    <t>Each enemy at this location gets +1 fight and +1 evade.</t>
  </si>
  <si>
    <t>2eb3f14e-8a82-44e3-8919-83e505af71d8</t>
  </si>
  <si>
    <t>Historical Museum</t>
  </si>
  <si>
    <t>While investigating this location, your έ cannot be modified.</t>
  </si>
  <si>
    <t>a13cbbd4-e860-48df-bd05-55e7959a47ae</t>
  </si>
  <si>
    <t>Second Floor.</t>
  </si>
  <si>
    <t>Quiet Halls is connected to each other Second Floor location.</t>
  </si>
  <si>
    <t>Quiet Halls is connected to each other Second Floor location._x000D_
η If each location in play is revealed and there are no clues on locations in play: Place 1 [per_investigator] clues on Quiet Halls (from the token bank).</t>
  </si>
  <si>
    <t>3c1beb7e-4080-45e9-bc25-fbedb75586bc</t>
  </si>
  <si>
    <t>8bf4b009-1ba2-4535-804c-d1df7b8bc01a</t>
  </si>
  <si>
    <t>Second Floor. Passageway.</t>
  </si>
  <si>
    <t>Historical Library</t>
  </si>
  <si>
    <t>ι After you successfully investigate this location, take 2 horror: Discover 1 clue at this location. (Limit once per round).</t>
  </si>
  <si>
    <t>a46dd824-28ef-4e50-a08b-6615f606e9d5</t>
  </si>
  <si>
    <t>Reading Room</t>
  </si>
  <si>
    <t>η: Investigate. If you succeed, instead of discovering clues, choose an enemy with doom on it. Take 1 of that enemy's doom, flip it to its clue side, and place it on your investigator. (Group limit once per round).</t>
  </si>
  <si>
    <t>55d2f185-d653-4853-a20b-0699c10f85ca</t>
  </si>
  <si>
    <t>Third Floor.</t>
  </si>
  <si>
    <t>Quiet Halls is connected to each other Third Floor location.</t>
  </si>
  <si>
    <t>Quiet Halls is connected to each other Third Floor location._x000D_
η If each location in play is revealed and there are no clues on locations in play: Place 1 [per_investigator] clues on Quiet Halls (from the token bank).</t>
  </si>
  <si>
    <t>92d52f13-6801-4c56-92dd-871fe8eddb17</t>
  </si>
  <si>
    <t>Third Floor. Passageway.</t>
  </si>
  <si>
    <t>f40bcedc-8679-4525-b267-8acda4017da9</t>
  </si>
  <si>
    <t>Peabody's Office</t>
  </si>
  <si>
    <t>While an investigator at this location controls Mr. Peabody, this location gets -2 shroud.</t>
  </si>
  <si>
    <t>993bb8e9-34d5-40c3-a203-16527e8041b5</t>
  </si>
  <si>
    <t>0e4d0bcf-ff36-4d5d-849d-64d6914e43e8</t>
  </si>
  <si>
    <t>Hidden Library</t>
  </si>
  <si>
    <t>While an enemy is moving, Hidden Library gains the Passageway trait.</t>
  </si>
  <si>
    <t>6ad7589a-4c69-4376-ab12-eeac1deee852</t>
  </si>
  <si>
    <t>Possessed Oathspeaker</t>
  </si>
  <si>
    <t>A Damnable Fate</t>
  </si>
  <si>
    <t>Monster. Servitor. Elite.</t>
  </si>
  <si>
    <t>Hunter. Retaliate._x000D_
Cannot be damaged during act 1 or act 2._x000D_
Forced - At the beginning of the enemy phase: The investigators must either ready Possessed Oathspeaker or place 1 doom on it._x000D_
Objective - If Possessed Oathspeaker is defeated: (→R3)</t>
  </si>
  <si>
    <t>cc41dfc7-71be-4b1e-a88b-24127b9f0318</t>
  </si>
  <si>
    <t>Mr. Peabody</t>
  </si>
  <si>
    <t>Historical Society Curator</t>
  </si>
  <si>
    <t>Ally. Historical Society.</t>
  </si>
  <si>
    <t>η Exhaust Mr. Peabody: Choose a location. Until Mr. Peabody readies, that location gets -1 shroud and gains the Passageway trait.</t>
  </si>
  <si>
    <t>ca68f0da-59e9-45d8-8ba4-10d1339ac0f4</t>
  </si>
  <si>
    <t>Clasp of Black Onyx</t>
  </si>
  <si>
    <t>A Gift Unlooked For</t>
  </si>
  <si>
    <t>While Clasp of Black Onyx is in your hand, increase the cost of each other card in your hand by 1.</t>
  </si>
  <si>
    <t>73f0528f-9fd5-4ba1-8680-d67ac2c4fae2</t>
  </si>
  <si>
    <t>The Tattered Cloak</t>
  </si>
  <si>
    <t>Regalia Dementia</t>
  </si>
  <si>
    <t>You get -1 sanity._x000D_
You get +1 ά, +1 ή, and +1 ί while you have 3 or fewer remaining sanity.</t>
  </si>
  <si>
    <t>d79af316-217c-452b-8929-9b88efa8182b</t>
  </si>
  <si>
    <t>Seeker of Carcosa</t>
  </si>
  <si>
    <t>Spawn - Any empty Historical Society location._x000D_
Aloof._x000D_
Forced - At the end of the mythos phase: Move 1 clue from Seeker of Carcosa's location to Seeker of Carcosa (if you cannot, place 1 doom on Seeker of Carcosa, instead).</t>
  </si>
  <si>
    <t>4caf5b58-a20e-4f5b-a1af-889225a55a53</t>
  </si>
  <si>
    <t>Led Astray</t>
  </si>
  <si>
    <t>Peril._x000D_
Revelation - You must decide (choose one):_x000D_
- Place 1 of your clues on a Cultist enemy._x000D_
- Place 1 doom on the current agenda (this effect may cause the current agenda to advance).</t>
  </si>
  <si>
    <t>e488c8da-e380-40b1-9dd9-535772418241</t>
  </si>
  <si>
    <t>The Cult's Search</t>
  </si>
  <si>
    <t>Revelation - If there is a Cultist enemy in play with doom on it, move all doom from each Cultist enemy to the current agenda (this effect may cause the current agenda to advance). If there are no Cultist enemies in play with doom on them, search the encounter deck and discard pile for a Cultist enemy and draw it (shuffle the encounter deck).</t>
  </si>
  <si>
    <t>72aaa287-d9fe-4725-ade1-c03ebd7ab4b3</t>
  </si>
  <si>
    <t>1f90d985-0c1d-4c50-afe8-67be3d0f795e</t>
  </si>
  <si>
    <t>79942a3f-d40c-41be-b613-d87b1f6a9a9d</t>
  </si>
  <si>
    <t>7ee388a4-4533-4b46-bfbe-43471f73a92f</t>
  </si>
  <si>
    <t>ac16fd9d-15a3-4ff7-9441-644859039af6</t>
  </si>
  <si>
    <t>1a12c904-4aa7-42e2-9636-df0fff19fc2f</t>
  </si>
  <si>
    <t>Dark Ritual</t>
  </si>
  <si>
    <t>Oathbreaking</t>
  </si>
  <si>
    <t>The Way Forward</t>
  </si>
  <si>
    <t>Late-Night Studies</t>
  </si>
  <si>
    <t>Secret Passageways</t>
  </si>
  <si>
    <t>The Clasp</t>
  </si>
  <si>
    <t>Trench Knife</t>
  </si>
  <si>
    <t>Engage actions you perform do not provoke attacks of opportunity._x000D_
η: Fight. You get +X ή for this attack. X is the number of enemies engaged with you.</t>
  </si>
  <si>
    <t>Ambush</t>
  </si>
  <si>
    <t>Attach to your location._x000D_
If there are no investigators at attached location, discard Ambush._x000D_
Forced - After an enemy spawns at attached location: Deal 2 damage to that enemy and discard Ambush.</t>
  </si>
  <si>
    <t>Charles Ross, Esq.</t>
  </si>
  <si>
    <t>Acquisitions and Solicitation</t>
  </si>
  <si>
    <t>You may spend resources to pay for Item assets played by other investigators at your location._x000D_
θ Exhaust Charles Ross, Esq.: Reduce the cost of the next Item asset played by an investigator at your location by 1.</t>
  </si>
  <si>
    <t>Forewarned</t>
  </si>
  <si>
    <t>Fast. Play when you draw a non-weakness treachery card._x000D_
Place 1 of your clues on your location. Then, cancel that card's revelation effect.</t>
  </si>
  <si>
    <t>Dario El-Amin</t>
  </si>
  <si>
    <t>Unscrupulous Investor</t>
  </si>
  <si>
    <t>While you have 10 or more resources, you get +1 ά and +1 έ._x000D_
η If there are no enemies at your location, exhaust Dario El-Amin: Gain 2 resources.</t>
  </si>
  <si>
    <t>Deal 2 damage to an enemy not engaged with you at your location.</t>
  </si>
  <si>
    <t>Storm of Spirits</t>
  </si>
  <si>
    <t>Fight. This attack uses ά instead of ή. If you succeed, instead of its standard damage, this attack deals 2 damage to each enemy at your location (any additional damage is dealt to the attacked enemy). If a α, β, γ, δ, or ζ token is revealed during this attack, deal 1 damage to each investigator at your location.</t>
  </si>
  <si>
    <t>η Exhaust Book of Shadows and spend 1 resource: Add 1 charge to a Spell asset you control.</t>
  </si>
  <si>
    <t>Fight or Flight</t>
  </si>
  <si>
    <t>Fast. Play only during your turn._x000D_
Until the end of the round, you get +X ή and +X ί, where X is the amount of horror on you.</t>
  </si>
  <si>
    <t>A Test of Will</t>
  </si>
  <si>
    <t>Fast. Play when an investigator at your location draws a non-weakness treachery card._x000D_
Cancel that card's revelation effect. Exile A Test of Will.</t>
  </si>
  <si>
    <t>Devil's Luck</t>
  </si>
  <si>
    <t>Fast. Play when you are dealt damage and/or horror._x000D_
Cancel up to 10 damage and/or horror just dealt to you. Exile Devil's Luck.</t>
  </si>
  <si>
    <t>Calling in Favors</t>
  </si>
  <si>
    <t>Favor.</t>
  </si>
  <si>
    <t>Choose an Ally asset you control and return it to your hand. Then, search the top 9 cards of your deck for an Ally asset and play it, reducing its cost by X. X is the cost of the Ally asset returned to your hand. Shuffle your deck.</t>
  </si>
  <si>
    <t>The Unspeakable Oath</t>
  </si>
  <si>
    <t>Easy / Standard_x000D_
α: -1. If you fail, randomly choose an enemy from among the set-aside Monster enemies and place it beneath the act deck without looking at it._x000D_
β: -X. X is the amount of horror on you._x000D_
γ: -X. X is the base shroud value of your location._x000D_
δ: 0. Either randomly choose an enemy from among the set-aside Monster enemies and place it beneath the act deck without looking at it, or this test automatically fails instead.</t>
  </si>
  <si>
    <t>Hard / Expert_x000D_
α: Reveal another token. If you fail, randomly choose an enemy from among the set-aside Monster enemies and place it beneath the act deck without looking at it. (Limit once per test.)_x000D_
β: -X. X is the amount of horror on you. If you fail, take 1 horror._x000D_
γ: -X. X is the base shroud value of your location. If you fail, take 1 horror._x000D_
δ: 0. Either randomly choose an enemy from among the set-aside Monster enemies and place it beneath the act deck without looking at it, or this test automatically fails instead.</t>
  </si>
  <si>
    <t>Locked Inside</t>
  </si>
  <si>
    <t>The Patients</t>
  </si>
  <si>
    <t>Shuffle the encounter discard pile and each of the set-aside Lunatic enemies into the encounter deck._x000D_
The lead investigator must randomly choose an enemy from among the set-aside Monster enemies and place it beneath the act deck without looking at it.</t>
  </si>
  <si>
    <t>Torturous Descent</t>
  </si>
  <si>
    <t>The lead investigator must randomly choose an enemy from among the set-aside Monster enemies and shuffle it into the encounter deck without looking at it._x000D_
Check Campaign Log. If Constance Dumaine is not listed under "VIPs Slain," search the collection for Constance Dumaine (A Litte Too Sociable) and spawn her in the Garden.</t>
  </si>
  <si>
    <t>His Domain</t>
  </si>
  <si>
    <t>Forced - When you would place an enemy beneath the act deck: Shuffle that enemy into the encounter deck, instead.</t>
  </si>
  <si>
    <t>Masks, Masks, Masks</t>
  </si>
  <si>
    <t>Each investigator who has not resigned is defeated. (If any investigators resigned, those investigators may immediately advance to act 4b.)</t>
  </si>
  <si>
    <t>Key to the Basement</t>
  </si>
  <si>
    <t>The investigators must decide (choose one):_x000D_
- Any investigator tests ή (4) to intimidate her into giving you the keys. If successful, advance to act 2a. If failed, you must choose an option you have yet to choose._x000D_
- Any investigator tests ί (4) to steal the keys from her. If successful, advance to act 2a. If failed, you must choose an option you have yet to choose._x000D_
- Any investigator tests έ (4) to persuade her to give you the keys. If successful, advance to act 2a. If failed, you must choose an option you have yet to choose._x000D_
- You knock her over and grab the keys. Remember that "you took the keys by force." Advance to act 2a.</t>
  </si>
  <si>
    <t>"The Really Bad Ones" (v. I)</t>
  </si>
  <si>
    <t>Ignore the text on the unrevealed side of Arkham Asylum locations._x000D_
Objective - Find the Patient Confinement location with Daniel Chesterfield. (You will be instructed when to advance.)</t>
  </si>
  <si>
    <t>Three Geese in a Flock</t>
  </si>
  <si>
    <t>Choose an investigator at Patient Confinement (Daniel's Cell). Put the set-aside Daniel Chesterfield card (asset side faceup) into play under that investigator's control._x000D_
Shuffle the encounter discard pile and each enemy beneath the act deck into the encounter deck.</t>
  </si>
  <si>
    <t>"The Really Bad Ones" (v. II)</t>
  </si>
  <si>
    <t>Daniel's Warning</t>
  </si>
  <si>
    <t>Spawn the set-aside Daniel Chesterfield (enemy side faceup) at Patient Confinement (Daniel's Cell).</t>
  </si>
  <si>
    <t>Planning the Escape</t>
  </si>
  <si>
    <t>Ignore the text on the unrevealed side of Arkham Asylum locations._x000D_
Objective - If investigators have performed 4 of the following, you must advance._x000D_
- "Know the guards' patrols."_x000D_
- "Set a fire in the kitchen."_x000D_
- "Incited a fight amongst the patients."_x000D_
- "Released a dangerous patient."_x000D_
- "Recalled the way out."_x000D_
- "Distracted the guards."</t>
  </si>
  <si>
    <t>A Way Out</t>
  </si>
  <si>
    <t>Shuffle the encounter discard pile and each enemy beneath the act deck into the encounter deck._x000D_
If at least 3 Monster enemies were shuffled into the encounter deck by this effect, the investigator with the lowest ά discards cards from the top of the encounter deck until a Monster enemy is discarded and draws that enemy.</t>
  </si>
  <si>
    <t>No Asylum</t>
  </si>
  <si>
    <t>Ignore the text on the unrevealed side of Arkham Asylum locations._x000D_
Garden gains: "η If there is no ready enemy in the Garden: Resign. Finally, a way out!"_x000D_
Objective - If each undefeated investigator has resigned, advance.</t>
  </si>
  <si>
    <t>Escape</t>
  </si>
  <si>
    <t>If "you took the keys by force," read the following:_x000D_
As you attempt to escape, you are spotted by the nurse you attacked earlier, leading a group of guards. "There they are! Quickly, restrain them!"_x000D_
(→R2)_x000D_
_x000D_
Otherwise, read the following:_x000D_
The guards are too busy controlling the situation and restraining the asylum's patients to notice your escape._x000D_
(→R3)</t>
  </si>
  <si>
    <t>Asylum Halls</t>
  </si>
  <si>
    <t>Western Patient Wing</t>
  </si>
  <si>
    <t>Arkham Asylum.</t>
  </si>
  <si>
    <t>ι After you defeat a Lunatic enemy at this location: Draw 1 card.</t>
  </si>
  <si>
    <t>Each Lunatic enemy at this location gets +1 horror value.</t>
  </si>
  <si>
    <t>Eastern Patient Wing</t>
  </si>
  <si>
    <t>η Take 1 horror: Evade. Automatically evade a Lunatic enemy at this location.</t>
  </si>
  <si>
    <t>Forced - After you end your turn at this location: Take 1 horror and gain 2 resources.</t>
  </si>
  <si>
    <t>Kitchen</t>
  </si>
  <si>
    <t>The door leading into the Kitchen is locked. You cannot enter the Kitchen.</t>
  </si>
  <si>
    <t>η If there are no clues on the Kitchen: Test ά (2). If you succeed, remember that you "set a fire in the kitchen."</t>
  </si>
  <si>
    <t>Mess Hall</t>
  </si>
  <si>
    <t>Forced - After you successfully investigate the Mess Hall: Choose and discard 1 card from your hand.</t>
  </si>
  <si>
    <t>Infirmary</t>
  </si>
  <si>
    <t>η: Heal 1 damage and take 1 direct horror, or heal 1 horror and take 1 direct damage. (Limit once per round.)</t>
  </si>
  <si>
    <t>Yard</t>
  </si>
  <si>
    <t>While you are investigating the Yard, it gets +1 shroud for each horror on you._x000D_
η If there are no clues on Yard, take 1 damage: Remember that you "incited a fight amongst the patients."</t>
  </si>
  <si>
    <t>Garden</t>
  </si>
  <si>
    <t>The gate leading into the Garden is locked. You cannot enter the Garden.</t>
  </si>
  <si>
    <t>η If there are no clues on Garden: Test ί (2). If you succeed, remember that you "distracted the guards."</t>
  </si>
  <si>
    <t>Basement Hall</t>
  </si>
  <si>
    <t>The door leading into the Basement Hall is locked. You cannot enter the Basement Hall.</t>
  </si>
  <si>
    <t>Forced - After the Basement Hall is revealed: Put the 4 set-aside Patient Confinement locations into play.</t>
  </si>
  <si>
    <t>Patient Confinement</t>
  </si>
  <si>
    <t>As an additional cost to enter Patient Confinement, you must spend 1 clue.</t>
  </si>
  <si>
    <t>Daniel's Cell</t>
  </si>
  <si>
    <t>Forced - After Patient Confinement is revealed: Advance to act 2b.</t>
  </si>
  <si>
    <t>Occupied Cell</t>
  </si>
  <si>
    <t>η: Test ή (2) to release the patient here from his bonds. If you succeed, he howls like a wolf and tears off through the basement; remember that you "released a dangerous patient."</t>
  </si>
  <si>
    <t>Dreary Cell</t>
  </si>
  <si>
    <t>η: Test έ (2) to speak to the patient here. If you succeed, you are able to interpret her ravings; remember that you "know the guards' patrols."</t>
  </si>
  <si>
    <t>Familiar Cell</t>
  </si>
  <si>
    <t>η: Test ά (X), where X is the amount of horror on you. If you succeed, you recognize the room; remember that you "recalled the way out."</t>
  </si>
  <si>
    <t>Daniel Chesterfield</t>
  </si>
  <si>
    <t>…Or At Least, What's Left of Him</t>
  </si>
  <si>
    <t>Humanoid. Lunatic. Elite.</t>
  </si>
  <si>
    <t>Prey - Highest ή._x000D_
η If you control Clasp of Black Onyx: Parley. You show Daniel the clasp, and he staggers backward, collapsing into a motionless husk. Add him to the victory display.</t>
  </si>
  <si>
    <t>He's Not Doing All Too Well</t>
  </si>
  <si>
    <t xml:space="preserve">ο
</t>
  </si>
  <si>
    <t>Ally. Lunatic.</t>
  </si>
  <si>
    <t>θ Exhaust Daniel Chesterfield: Give control of him to another investigator at your location.
Forced - When you take horror, if at least 1 of that horror is not assigned to Daniel Chesterfield: Take 1 damage.
Forced - If Daniel Chesterfield leaves play: Remove him from the game.</t>
  </si>
  <si>
    <t>Asylum Gorger</t>
  </si>
  <si>
    <t>Spawn - Basement Halls._x000D_
Hunter._x000D_
Asylum Gorger cannot make attacks of opportunity, and cannot attack during the same phase it moved from its hunter keyword.</t>
  </si>
  <si>
    <t>Mad Patient</t>
  </si>
  <si>
    <t>Spawn - Nearest Asylum Halls._x000D_
Prey - Most remaining sanity._x000D_
Forced - When you attack Mad Patient: Take 1 horror.</t>
  </si>
  <si>
    <t>Straitjacket</t>
  </si>
  <si>
    <t>Revelation - If there is no copy of Straitjacket in your threat area, put Straitjacket into play in your threat area as an asset that takes up a body slot and 2 hand slots. Return each asset in those slots to your hand. This card cannot leave play except by the ability below._x000D_
η η: Discard Straitjacket.</t>
  </si>
  <si>
    <t>Gift of Madness (Pity)</t>
  </si>
  <si>
    <t>Peril. Hidden._x000D_
Revelation - Secretly add Gift of Madness (Pity) to your hand._x000D_
You cannot attack Lunatic enemies._x000D_
η: Randomly choose 1 enemy from among the set-aside Monster enemies and place it beneath the act deck without looking at it. Discard Gift of Madness (Pity) from your hand.</t>
  </si>
  <si>
    <t>Gift of Madness (Misery)</t>
  </si>
  <si>
    <t>Peril. Hidden._x000D_
Revelation - Secretly add Gift of Madness (Misery) to your hand._x000D_
You cannot trigger η abilities on locations._x000D_
η: Randomly choose 1 enemy from among the set-aside Monster enemies and place it beneath the act deck without looking at it. Discard Gift of Madness (Misery) from your hand.</t>
  </si>
  <si>
    <t>Walls Closing In</t>
  </si>
  <si>
    <t>Revelation - Test ά (X), where X is the shroud value of your location. If you fail, you must either take 1 horror for each point you failed by, or randomly choose 1 enemy from among the set-aside Monster enemies and place it beneath the act deck without looking at it.</t>
  </si>
  <si>
    <t>998b5cb5-2db8-4b1a-a370-58cc99c54c32</t>
  </si>
  <si>
    <t>06ec46c1-40a0-4ab7-83d0-c13f7735790c</t>
  </si>
  <si>
    <t>4e6b8ed1-328e-49ac-8295-abbf5394f5c5</t>
  </si>
  <si>
    <t>981822e5-8240-4b18-ae9e-84f6134d24c4</t>
  </si>
  <si>
    <t>41a7be04-e8d7-4ea8-a150-aa417261429e</t>
  </si>
  <si>
    <t>ec2ff3ea-d12f-4e9c-b811-ef397a632560</t>
  </si>
  <si>
    <t>1eabdaea-685a-42e9-a95b-570d93fa3855</t>
  </si>
  <si>
    <t>76173fb9-6092-42e4-9e4a-de4d06f86d8d</t>
  </si>
  <si>
    <t>ef794407-b986-40a0-b612-736691133bc2</t>
  </si>
  <si>
    <t>87181bf1-0915-4a0e-bd69-6b4a33409332</t>
  </si>
  <si>
    <t>c2f3d8c6-ecb3-4e78-b1ee-71b5533ff09d</t>
  </si>
  <si>
    <t>16f5d9f3-0020-45b5-a06d-1a89a5b16f50</t>
  </si>
  <si>
    <t>dcd97279-1eac-4e61-9529-fb081a248459</t>
  </si>
  <si>
    <t>195987b5-9d93-41ef-be97-6c53e31abb47</t>
  </si>
  <si>
    <t>a3789f6e-a6a7-48e6-838b-8bec7ae6a952</t>
  </si>
  <si>
    <t>8768248d-47b1-486c-ac58-b113aa5f064d</t>
  </si>
  <si>
    <t>a33d6c98-1ba6-4b53-9563-907c0a9befb7</t>
  </si>
  <si>
    <t>d31514c4-857d-4e12-b7fb-3053f9d6e666</t>
  </si>
  <si>
    <t>852b225a-6cbf-4411-b6c7-068d06b61aa6</t>
  </si>
  <si>
    <t>8644bddf-92a7-4b68-92da-2e1b51a4b8b0</t>
  </si>
  <si>
    <t>6a6c9ca8-1459-4107-b0ef-5b93073a01fe</t>
  </si>
  <si>
    <t>775b67de-0345-4890-97ba-61d8787b2fc5</t>
  </si>
  <si>
    <t>b337f881-96c3-47c2-8809-b3c2d25e6ec4</t>
  </si>
  <si>
    <t>118a89f4-9f3f-4500-a4e7-4ccdad37ad24</t>
  </si>
  <si>
    <t>e85a3cc5-276b-4a43-bb1d-f7c5db005720</t>
  </si>
  <si>
    <t>48039487-b26d-4f47-bfdd-e67fb4243890</t>
  </si>
  <si>
    <t>3a519bc1-d5aa-4a5b-84af-23708105bac0</t>
  </si>
  <si>
    <t>d78962fb-277e-43bd-890e-03748aca281e</t>
  </si>
  <si>
    <t>b2a2948a-7d38-479b-84f4-d3cdc5a988ca</t>
  </si>
  <si>
    <t>ceb53eef-495e-4f9f-a2ce-bd277cf79e41</t>
  </si>
  <si>
    <t>e301eb71-4a94-4ff3-baa1-22eee71467d6</t>
  </si>
  <si>
    <t>016ceae0-74d5-433c-82ae-845093efe794</t>
  </si>
  <si>
    <t>ac42f9fc-e6aa-40e6-bd9f-53ed444ae2f5</t>
  </si>
  <si>
    <t>23cec76d-39ea-4801-acc2-2955fc620732</t>
  </si>
  <si>
    <t>3752a8a3-037b-43be-bcd8-b88e29c0a58d</t>
  </si>
  <si>
    <t>fad29500-4419-41e6-91ee-3530e68652ec</t>
  </si>
  <si>
    <t>f7a4ab83-879c-46a0-ad77-c792926db949</t>
  </si>
  <si>
    <t>27a9be8b-70cf-46e9-95c0-80c97f0f03db</t>
  </si>
  <si>
    <t>8a7740ae-ddc6-41ce-b84c-56dab5bd7144</t>
  </si>
  <si>
    <t>8cede627-5fec-4bbd-98dd-a4e2414470ce</t>
  </si>
  <si>
    <t>c7f8720a-8a22-44e9-acc2-e1a2b7ccb9ce</t>
  </si>
  <si>
    <t>7a1ae47d-8355-453d-b744-95be6bf32718</t>
  </si>
  <si>
    <t>74e7d326-0543-444b-a4f7-8c2a0332f4f9</t>
  </si>
  <si>
    <t>TUO</t>
  </si>
  <si>
    <t>"I'll see you in hell!"</t>
  </si>
  <si>
    <t>Each non-Elite enemy engaged with you is defeated. You are defeated and suffer 1 physical trauma. This action does not provoke attacks of opportunity.</t>
  </si>
  <si>
    <t>Uses (4 ammo)._x000D_
η Spend 1 ammo: Fight. You get +2 combat for this attack. This attack deals +1 damage. Ignore the retaliate keyword for this attack.</t>
  </si>
  <si>
    <t>Logical Reasoning</t>
  </si>
  <si>
    <t>Play only if you have at least 1 clue._x000D_
Choose an investigator at your location. That investigator either heals 2 horror or discards a Terror card from his or her threat area.</t>
  </si>
  <si>
    <t>Guiding Stones</t>
  </si>
  <si>
    <t>You can only include this asset in your deck by upgrading it from Archaic Glyphs (Untranslated), and only if "you have translated the glyphs" in your Campaign Log._x000D_
Uses (3 charges)._x000D_
η Spend 1 charge: Investigate. For every 2 points you succeed by, discover 1 additional clue at your location.</t>
  </si>
  <si>
    <t>Prophecy Foretold</t>
  </si>
  <si>
    <t>You can only include this asset in your deck by upgrading it from Archaic Glyphs (Untranslated), and only if "you have translated the glyphs" in your Campaign Log._x000D_
Uses (3 charges)._x000D_
η Spend 1 charge: Investigate. If you succeed, you may automatically evade an engaged enemy. This action does not provoke attacks of opportunity.</t>
  </si>
  <si>
    <t>Cheap Shot</t>
  </si>
  <si>
    <t>Fight. Add your ί value to your skill value for this attack. If you succeed by 2 or more, automatically evade the attacked enemy.</t>
  </si>
  <si>
    <t>Fast._x000D_
ι After you evade an enemy, exhaust Pickpocketing: Draw 1 card or gain 1 resource. If you succeeded by 2 or more, do both instead.</t>
  </si>
  <si>
    <t>Quantum Flux</t>
  </si>
  <si>
    <t>Shuffle your discard pile into your deck and draw 1 card. Remove Quantum Flux from the game.</t>
  </si>
  <si>
    <t>Recharge</t>
  </si>
  <si>
    <t>Choose a Spell or Relic asset controlled by an investigator at your location and reveal a random chaos token from the chaos bag. If you reveal a α, β, γ, δ, or ζ symbol, discard the chosen asset. Otherwise, add 3 charges to the chosen asset.</t>
  </si>
  <si>
    <t>Madame Labranche</t>
  </si>
  <si>
    <t>Mysterious Benefactress</t>
  </si>
  <si>
    <t>θ If you have no cards in your hand, exhaust Madame Labranche: Draw 1 card._x000D_
θ If you have no resources, exhaust Madame Labranche: Gain 1 resource.</t>
  </si>
  <si>
    <t>Snare Trap</t>
  </si>
  <si>
    <t>Trap. Improvised.</t>
  </si>
  <si>
    <t>Attach to your location. Limit 1 per location._x000D_
Forced - After a non-Elite enemy enters attached location: Exhaust that enemy, disengage it from all investigators, and attach Snare Trap to it._x000D_
Forced - When attached enemy would ready: Instead, discard Snare Trap.</t>
  </si>
  <si>
    <t>A Phantom of Truth</t>
  </si>
  <si>
    <t>Easy / Standard_x000D_
α: -X. X is the amount of doom in play (max 5)._x000D_
β: -2. If you fail, move each unengaged Byakhee in play once toward the nearest investigator._x000D_
γ: -3. Cancel the effects and icons of each skill card committed to this test._x000D_
δ: -2. If you fail, lose 1 resource for each point you failed by.</t>
  </si>
  <si>
    <t>Hard / Expert_x000D_
α: -X. X is the amount of doom in play._x000D_
β: -2. Move each unengaged Byakhee in play once toward the nearest investigator._x000D_
γ: -4. Cancel the effects and icons of each skill card committed to this test._x000D_
δ: -3. If you fail, lose 1 resource for each point you failed by.</t>
  </si>
  <si>
    <t>The First Night</t>
  </si>
  <si>
    <t>While you have more Conviction than Doubt, this agenda gains:_x000D_
"When checking the doom threshold, doom on cards other than this agenda subtract from the total doom in play instead of adding to it."</t>
  </si>
  <si>
    <t>Daybreak</t>
  </si>
  <si>
    <t>Each investigator disengages from each enemy engaged with him or her and may move to a connecting location. Move The Organist 1 location away from the nearest investigator (to a location with no investigators, if possible).</t>
  </si>
  <si>
    <t>The Second Night</t>
  </si>
  <si>
    <t>A Red Sun Rises</t>
  </si>
  <si>
    <t>Each investigator disengages from each enemy engaged with him or her and may move to a connecting location. Move The Organist 1 location away from the nearest investigator (to a location with no investigators, if possible)._x000D_
Check Campaign Log. If Jordan Perry is not listed under "VIPs Slain," search the collection for Jordan Perry (An Imposing Presence) and spawn him in Montparnasse.</t>
  </si>
  <si>
    <t>The Third Night</t>
  </si>
  <si>
    <t>Dawn At Last</t>
  </si>
  <si>
    <t>Check Campaign Log._x000D_
-If you have more (or equal) Doubt than Conviction, proceed to (→R3)._x000D_
-If you have more Conviction than Doubt, advance to act 2b.</t>
  </si>
  <si>
    <t>The Parisian Conspiracy (v. I)</t>
  </si>
  <si>
    <t>Objective - Spend the requisite number of clues to advance._x000D_
Objective - At the end of the round, if there are 3 or more doom in play, advance.</t>
  </si>
  <si>
    <t>St. Barnabé</t>
  </si>
  <si>
    <t>If you spent clues to advance:_x000D_
You nearly bump into a tall man, his coat and hat as black as his skin is pale. You remember seeing him through the windows of St. Barnabé Church. His organ playing continues to haunt you…_x000D_
Spawn the set-aside The Organist enemy at the lead investigator's location, (Draped in Mystery) side face-up. Advance to Act 2a - Pursuing Shadows._x000D_
Otherwise:_x000D_
The organ you heard earlier continues to haunt you. No matter where you are, the torturous chords play over and over in your head. Startled, you ask a passerby about the church. "St. Barnabé?" she replies in a thick accent. "There is no such place."_x000D_
Each investigator takes 2 horror._x000D_
Spawn the set-aside The Organist enemy at the location farthest from all investigators, (Draped in Mystery) side face-up. Advance to Act 2a - Pursuing Shadows.</t>
  </si>
  <si>
    <t>The Parisian Conspiracy (v. II)</t>
  </si>
  <si>
    <t>True Evil</t>
  </si>
  <si>
    <t>If you spent clues to advance:_x000D_
The organ you heard earlier continues to haunt you. No matter where you are, the torturous chords play over and over in your head. The sensation that you are being watched tugs at your mind._x000D_
Spawn the set-aside The Organist enemy at the location farthest from all investigators, (Hopeless, I Defied Him) side face-up. Advance to Act 2a - Stalked by Shadows._x000D_
Otherwise:_x000D_
You nearly bump into a tall man, his coat and hat as black as his skin is pale. He gives you a look of hatred, as intense and as deadly as you have ever seen. You recoil at the mere sight of him, and shadows gather around his feet as he marches towards you._x000D_
Each investigator takes 2 horror._x000D_
Spawn the set-aside The Organist enemy at the lead investigator's location, (Hopeless, I Defied Him) side face-up. Advance to Act 2a - Stalked by Shadows.</t>
  </si>
  <si>
    <t>Pursuing Shadows</t>
  </si>
  <si>
    <t>ι After you successfully attack The Organist: An investigator at your location may place 1 of his or her clues on The Organist. (Group limit 1π times per round.)_x000D_
Objective - If there are 3π clues on The Organist, advance.</t>
  </si>
  <si>
    <t>Lost Lamb</t>
  </si>
  <si>
    <t>Check Campaign Log._x000D_
-If you intruded on a secret meeting, proceed to (→R2)._x000D_
-Otherwise, proceed to (→R1).</t>
  </si>
  <si>
    <t>Stalked by Shadows</t>
  </si>
  <si>
    <t>θ Spend 1π clues, as a group: Either place 1 doom on the current agenda, or automatically evade The Organist. (Group limit once per round.)_x000D_
Objective - Survive three nights. (Do not advance until you are instructed.)</t>
  </si>
  <si>
    <t>Shepherd's Crook</t>
  </si>
  <si>
    <t>Montparnasse</t>
  </si>
  <si>
    <t>Paris. Rail.</t>
  </si>
  <si>
    <t>θ Discard a card from your hand: Gain resources equal to the number of ά icons on the discarded card. (Limit once per round.)</t>
  </si>
  <si>
    <t>Montmartre</t>
  </si>
  <si>
    <t>η: Reveal the top card of each investigator's deck. You may play an asset revealed by this effect (paying its cost), under your control. Shuffle each investigator's deck. (Group limit once per round.)</t>
  </si>
  <si>
    <t>η Spend 1 resource: Add 1 supply or ammo token to a card you control. (Limit once per round.)</t>
  </si>
  <si>
    <t>Grand Guignol</t>
  </si>
  <si>
    <t>Theatre of the Great Puppet</t>
  </si>
  <si>
    <t>Paris.</t>
  </si>
  <si>
    <t>Forced - After you reveal Grand Guignol: You must either take 2 horror, or shuffle all non-weakness cards from your hand into your deck, then draw an equal number of cards.</t>
  </si>
  <si>
    <t>Opéra Garnier</t>
  </si>
  <si>
    <t>While you are investigating Opéra Garnier, double the number of skill icons on cards committed to this skill test.</t>
  </si>
  <si>
    <t>While you are investigating Opéra Garnier, double the base value of your skill.</t>
  </si>
  <si>
    <t>Gare d'Orsay</t>
  </si>
  <si>
    <t>η Spend 1 resource: Move to any Rail location.</t>
  </si>
  <si>
    <t>Père Lachaise Cemetery</t>
  </si>
  <si>
    <t>Forced - After you successfully investigate Père Lachaise Cemetery: You cannot leave Père Lachaise Cemetery until the end of the round.</t>
  </si>
  <si>
    <t>Canal Saint-Martin</t>
  </si>
  <si>
    <t>ι After you evade an enemy at Canal Saint-Martin: Move that enemy to a connecting location. (Limit once per round.)</t>
  </si>
  <si>
    <t>Le Marais</t>
  </si>
  <si>
    <t>ι When your turn begins, if you are in Le Marais: Draw 1 card. (Group limit once per round.)</t>
  </si>
  <si>
    <t>Forced - After you enter Le Marais: For the remainder of the round, you cannot leave Le Marais.</t>
  </si>
  <si>
    <t>Notre-Dame</t>
  </si>
  <si>
    <t>Each enemy at Notre-Dame gets -1 fight and +1 evade._x000D_
η: Test ά (6). If you succeed, either place 1 doom on the current agenda, or remove 1 doom from the current agenda. (Group limit once per game.)</t>
  </si>
  <si>
    <t>Gardens of Luxembourg</t>
  </si>
  <si>
    <t>While a Byakhee enemy is moving, if there is an investigator at Gardens of Luxembourg, that enemy's location is considered to be connected to Gardens of Luxembourg.</t>
  </si>
  <si>
    <t>The Organist</t>
  </si>
  <si>
    <t>Draped in Mystery</t>
  </si>
  <si>
    <t>Humanoid. Avatar. Elite.</t>
  </si>
  <si>
    <t>Aloof. Cannot be damaged._x000D_
Forced - At the end of the enemy phase: If The Organist is unengaged, move it 1 location away from the nearest investigator (to a location with no investigators, if possible). If it is engaged, disengage it instead.</t>
  </si>
  <si>
    <t>Hopeless, I Defied Him</t>
  </si>
  <si>
    <t>Hunter. Cannot be damaged.
Forced - After The Organist moves from the hunter keyword, if it is unengaged: Resolve its hunter keyword again. The Organist cannot attack this phase. (Limit once per round).</t>
  </si>
  <si>
    <t>Stealthy Byakhee</t>
  </si>
  <si>
    <t>Hunter._x000D_
While Stealthy Byakhee is exhausted, it gets -3 fight.</t>
  </si>
  <si>
    <t>Twin Suns</t>
  </si>
  <si>
    <t>Revelation - Test έ (4). If you fail, you must either remove 1 doom from the current agenda, or take 1 horror for each point you failed by.</t>
  </si>
  <si>
    <t>Deadly Fate</t>
  </si>
  <si>
    <t>Revelation - Test ά (3). If you fail, discard cards from the top of the encounter deck until an enemy is discarded. You must either draw that enemy, or that enemy attacks you (from the discard pile). If no enemy is discarded, take 1 horror instead.</t>
  </si>
  <si>
    <t>Torturous Chords</t>
  </si>
  <si>
    <t>Revelation - Test ά (5). If you fail, put Torturous Chords into play in your threat area with 1 resource on it for each point you failed by._x000D_
Each time you play a card, increase the cost of that card by 1 and remove 1 resource from Torturous Chords._x000D_
If Torturous Chords has no resources, discard it.</t>
  </si>
  <si>
    <t>Lost Soul</t>
  </si>
  <si>
    <t>Madness. Pact.</t>
  </si>
  <si>
    <t>Revelation - Check Campaign Log. _x000D_
-If you have more (or equal) Doubt than Conviction, test έ (X), where X is your ά. If you fail, take 2 damage._x000D_
-If you have more Conviction than Doubt, test ά (X), where X is your έ. If you fail, take 2 damage.</t>
  </si>
  <si>
    <t>APOT</t>
  </si>
  <si>
    <t>AK</t>
  </si>
  <si>
    <t>AL</t>
  </si>
  <si>
    <t>d740b66f-3983-45e4-9b6c-0dcc35f6ed13</t>
  </si>
  <si>
    <t>cee018b0-cbf5-411b-a67c-c3f949bb02b3</t>
  </si>
  <si>
    <t>12c9ed22-e9b5-41a1-9d26-d193470ef674</t>
  </si>
  <si>
    <t>a6a4b649-4263-42de-b703-02fbfc801a67</t>
  </si>
  <si>
    <t>f1958711-fd4b-4ea9-bfad-e15e476f7420</t>
  </si>
  <si>
    <t>01ca79ac-1c9b-406f-b1bf-fc6366b5752a</t>
  </si>
  <si>
    <t>94cfb893-22fa-4913-8d54-7c85a1352c43</t>
  </si>
  <si>
    <t>14ac735d-2620-4062-82bf-e87c0da58330</t>
  </si>
  <si>
    <t>f0275981-86c3-43b3-b6e2-f3fbfee542c9</t>
  </si>
  <si>
    <t>29de29b6-dd56-4183-a4f0-9bd0d503ba62</t>
  </si>
  <si>
    <t>1ec325ea-be6f-4227-92ae-acd90a5193b5</t>
  </si>
  <si>
    <t>d5bd3471-2114-475c-bae6-572d64c21b1b</t>
  </si>
  <si>
    <t>2f2b29d1-5d89-4249-9a09-3e84d24f7590</t>
  </si>
  <si>
    <t>157a0781-961a-454e-9d54-15e69ece8ebe</t>
  </si>
  <si>
    <t>324ee029-91bc-47c5-8e10-fcad2d3feb81</t>
  </si>
  <si>
    <t>9de8ddb2-2338-438b-984e-eaea32ebd3a2</t>
  </si>
  <si>
    <t>fc98bb4c-d45c-4c79-b836-9fb9c82afc71</t>
  </si>
  <si>
    <t>96937b09-fd4f-482e-82c8-458c11c48f98</t>
  </si>
  <si>
    <t>1e4c5f96-2a48-48cf-bcaa-a74c21a716e8</t>
  </si>
  <si>
    <t>202449e9-2c91-441b-b54a-9541371e419a</t>
  </si>
  <si>
    <t>495872f9-5461-435b-bd1b-f830279b18bc</t>
  </si>
  <si>
    <t>96eca2b7-5f82-42a0-a4c8-58b5fe7fda73</t>
  </si>
  <si>
    <t>4987715d-a84d-4380-a478-3ad0b1ac0bfa</t>
  </si>
  <si>
    <t>42ae82fa-d26b-4b30-ae93-7cc3f2b81cea</t>
  </si>
  <si>
    <t>a1e75f9c-befb-4cfb-aab4-5397f8f62c81</t>
  </si>
  <si>
    <t>c5d57cb3-ceb7-4c8b-800e-818d65414cc0</t>
  </si>
  <si>
    <t>851280fa-b807-493c-9c3d-048f70e8a05d</t>
  </si>
  <si>
    <t>05f0bf91-29ce-4925-8e3e-38d3b03e2542</t>
  </si>
  <si>
    <t>cc707388-cd37-4fbd-a38d-b4ef160569d2</t>
  </si>
  <si>
    <t>83e73174-af32-4f5a-be59-24013a471171</t>
  </si>
  <si>
    <t>0a3df1e4-0f7b-43de-be8a-808f2008f1a1</t>
  </si>
  <si>
    <t>945d67fb-f8f4-4fe1-b646-9a2894acda75</t>
  </si>
  <si>
    <t>095ec4ac-d52e-4893-808d-acdaf9d97e47</t>
  </si>
  <si>
    <t>bd054df1-3678-49d3-9d47-077ef4718d48</t>
  </si>
  <si>
    <t>25536baa-19ef-414a-bd5d-24f3d690250f</t>
  </si>
  <si>
    <t>4e4fa455-091c-491e-8e2b-74c6c0ff53f3</t>
  </si>
  <si>
    <t>cc9074b9-0052-4233-8896-28222361b47d</t>
  </si>
  <si>
    <t>ecba1d09-d125-4463-89f6-5ac24ce8e1a7</t>
  </si>
  <si>
    <t>5606fe5d-d328-419f-9819-d81e55d056dc</t>
  </si>
  <si>
    <t>791a6d1e-844d-4078-b4cb-c005483a1790</t>
  </si>
  <si>
    <t>93fa51a1-d0c3-4fd8-9663-64c97f8fcd2e</t>
  </si>
  <si>
    <t>6e7236d8-cb03-4494-98de-975ac20271dd</t>
  </si>
  <si>
    <t>AM</t>
  </si>
  <si>
    <t>Inspiring Presence</t>
  </si>
  <si>
    <t>άέή</t>
  </si>
  <si>
    <t>If this skill test is successful, ready an Ally asset at your location and heal 1 damage or 1 horror from it.</t>
  </si>
  <si>
    <t>322cd89f-9d2d-45c1-8f1b-847f2dbc7403</t>
  </si>
  <si>
    <t>Mano a Mano</t>
  </si>
  <si>
    <t>Spirit. Bold.</t>
  </si>
  <si>
    <t>Play only as your first action._x000D_
Deal 1 damage to an enemy engaged with you. This action does not provoke attacks of opportunity.</t>
  </si>
  <si>
    <t>c089bea0-8109-4535-a04a-015371d126db</t>
  </si>
  <si>
    <t>Uses (4 supplies). If First Aid has no supplies, discard it._x000D_
η Spend 1 supply: Heal 1 damage and 1 horror from an investigator or Ally asset in your location.</t>
  </si>
  <si>
    <t>7507796f-f2a6-4928-a27e-2f0d87e3f728</t>
  </si>
  <si>
    <t>Eureka!</t>
  </si>
  <si>
    <t>άέί</t>
  </si>
  <si>
    <t>If this skill test is successful, the investigator performing this test searches the top 3 cards of his or her deck for a card, draws it, and shuffles his or her deck.</t>
  </si>
  <si>
    <t>60468858-3e2e-4de3-a6a3-dc1f5ae6feae</t>
  </si>
  <si>
    <t>Fast. Play only during your turn._x000D_
Attach to your location. Attached location gains:_x000D_
"θ Exhaust Shortcut: Move (to a connecting location)."</t>
  </si>
  <si>
    <t>7efd724b-2fee-42c5-ad12-aadacc46407a</t>
  </si>
  <si>
    <t>"Watch this!"</t>
  </si>
  <si>
    <t>άήί</t>
  </si>
  <si>
    <t>Commit only to a skill test you are performing. As an additional cost to commit "Watch this!" to a skill test, spend up to 3 resources._x000D_
If you succeed by 1 or more, gain twice that many resources.</t>
  </si>
  <si>
    <t>2bec215c-82bb-48a2-9509-421718a34891</t>
  </si>
  <si>
    <t>Uses (3 ammo)._x000D_
η Spend 1 ammo: Fight. You get +2 ή for this attack. If you succeed by 1 or more, this attack deals +1 damage. Once per turn, if you succeed by 3 or more, you may take an additional action this turn.</t>
  </si>
  <si>
    <t>8f7cf0ff-2036-443f-9081-a3ec46d641cc</t>
  </si>
  <si>
    <t>Torrent of Power</t>
  </si>
  <si>
    <t>As an additional cost to commit Torrent of Power to a skill test, spend up to 3 charges from among assets you control._x000D_
For each charge spent in this way, Torrent of Power gains ά ΰ.</t>
  </si>
  <si>
    <t>2b556a9e-4d94-413e-b145-1dae5e42b4e0</t>
  </si>
  <si>
    <t>Uses (3 charges)._x000D_
θ Exhaust Scrying and spend 1 charge: Look at the top 3 cards of any investigator's deck, or the encounter deck. Return them to the top of that deck, in any order. If a Terror or Omen card is among the looked-at cards, take 1 horror.</t>
  </si>
  <si>
    <t>f7324923-c567-427a-8d1d-7a5588899015</t>
  </si>
  <si>
    <t>Waylay</t>
  </si>
  <si>
    <t>Choose an exhausted non-Elite enemy at your location and test ί (X), where X is that enemy's evade value. If you succeed, defeat that enemy.</t>
  </si>
  <si>
    <t>3370deff-77fa-4dac-9a88-2696af6aa11b</t>
  </si>
  <si>
    <t>Choose an Ally asset with printed resource cost X in any player's discard pile. Put that asset into play under your control.</t>
  </si>
  <si>
    <t>9a051acb-589b-4d66-b6b0-be5f0928691c</t>
  </si>
  <si>
    <t>Gain 4 resources or place 4 supply tokens among assets controlled by investigators at your location, or any combination thereof.</t>
  </si>
  <si>
    <t>e748e010-c470-4757-913b-3cdbd22ead1d</t>
  </si>
  <si>
    <t>The Pallid Mask</t>
  </si>
  <si>
    <t>Easy / Standard_x000D_
α: -X. X is the number of locations away from the starting location you are (max 5)._x000D_
β: -2. If this token is revealed during an attack, and this skill test is successful, this attack deals 1 less damage._x000D_
γ: -2. If there is a ready Ghoul or Geist enemy at your location, it attacks you (if there is more than one, choose one)._x000D_
δ: -3. If you fail, search the encounter deck and discard pile for a Ghoul or Geist enemy and draw it.</t>
  </si>
  <si>
    <t>Hard / Expert_x000D_
α: -X. X is the number of locations away from the starting location you are._x000D_
β: -3. If this token is revealed during an attack and this skill test is successful, this attack deals no damage._x000D_
γ: -3. If there is a Ghoul or Geist enemy at your location, it readies and attacks you (if there is more than one, choose one)._x000D_
δ: -4. If you fail, search the encounter deck and discard pile for a Ghoul or Geist enemy and draw it.</t>
  </si>
  <si>
    <t>7cc80dae-6a90-4d31-9e4b-b892ad1ff4ba</t>
  </si>
  <si>
    <t>Empire of the Dead</t>
  </si>
  <si>
    <t>Each location is connected to each location adjacent to it.</t>
  </si>
  <si>
    <t>Specter of Death</t>
  </si>
  <si>
    <t>A Force From Beyond</t>
  </si>
  <si>
    <t xml:space="preserve">5π </t>
  </si>
  <si>
    <t>Monster. Geist. Elite.</t>
  </si>
  <si>
    <t>Spawn - The starting location.
Hunter. Retaliate.
While Specter of Death is exhausted, it takes 1 less damage from each attack made against it.
Forced - After you fail a skill test while attempting to evade Specter of Death: It attacks you.</t>
  </si>
  <si>
    <t>ecc3ad11-fd0a-4ca3-ac7b-e8288cc31bad</t>
  </si>
  <si>
    <t>Empire of the Undead</t>
  </si>
  <si>
    <t>Join Them In Death</t>
  </si>
  <si>
    <t>Each investigator is defeated and suffers 1 physical trauma.</t>
  </si>
  <si>
    <t>45060741-a8c0-42b7-bea0-7866c7a08161</t>
  </si>
  <si>
    <t>Through the Catacombs</t>
  </si>
  <si>
    <t>Objective - Find The Man in the Pallid Mask. He is somewhere in the Catacombs. (Do not advance until you are instructed.)</t>
  </si>
  <si>
    <t>The Stranger's Shadow</t>
  </si>
  <si>
    <t>Spawn the set-aside The Man in the Pallid Mask weakness in the Tomb of Shadows (instead of its normal spawn location)._x000D_
Check the Campaign Log. If Ishimaru Haruko is not listed under "VIPs Slain," search the collection for Ishimaru Haruko (Just Skin and Bones) and spawn her at the starting location.</t>
  </si>
  <si>
    <t>ae5a7d71-a5dd-4ecb-b6b2-ff27959910cd</t>
  </si>
  <si>
    <t>The Path is Barred</t>
  </si>
  <si>
    <t>Objective - "Tell us how to stop the path from opening!" If The Man in the Pallid Mask is defeated, advance._x000D_
Objective - "What is he trying to show us?" Investigators in the Tomb of Shadows may spend the requisite number of clues, as a group, to advance.</t>
  </si>
  <si>
    <t>Behind the Mask</t>
  </si>
  <si>
    <t>cf404925-6636-47c0-ac77-f57c19ad8731</t>
  </si>
  <si>
    <t>The Way Out</t>
  </si>
  <si>
    <t>Forced - At the end of the round, if The Gate to Hell is in play: Discard the location that is farthest from The Gate to Hell. Move each investigator and enemy that was at that location to a connecting location and deal 2 damage to each of them._x000D_
Objective - If each undefeated investigator is at The Gate to Hell, advance.</t>
  </si>
  <si>
    <t>The Catacombs Collapse</t>
  </si>
  <si>
    <t>0404de0a-b415-4347-9df0-6541cf57011f</t>
  </si>
  <si>
    <t>Leading the Way</t>
  </si>
  <si>
    <t>Ignore the Forced ability on Blocked Passage._x000D_
Objective - If each undefeated investigator is at Blocked Passage, advance.</t>
  </si>
  <si>
    <t>The Secret Exit</t>
  </si>
  <si>
    <t>2633cdbb-a532-47f2-ad6c-8a92237984aa</t>
  </si>
  <si>
    <t>Catacombs</t>
  </si>
  <si>
    <t>As an additional cost for you to enter Catacombs, investigators at your location must spend 1π clues, as a group.</t>
  </si>
  <si>
    <t>The Gate to Hell</t>
  </si>
  <si>
    <t>Forced - When The Gate to Hell is revealed: Put the top 2 Catacombs in the Catacombs deck into play above and below The Gate to Hell.</t>
  </si>
  <si>
    <t>a2d57d45-fb42-4968-80d0-feb751d6f3e5</t>
  </si>
  <si>
    <t>Stone Archways</t>
  </si>
  <si>
    <t>Ignore the text on unrevealed locations adjacent to Stone Archways._x000D_
Forced - When Stone Archways is revealed: Put the topmost Catacombs in the Catacombs deck into play to the right of Stone Archways.</t>
  </si>
  <si>
    <t>bbce8064-cb86-4697-b45f-89cb1834f88f</t>
  </si>
  <si>
    <t>Crypt of the Sepulchral Lamp</t>
  </si>
  <si>
    <t>Crypt of the Sepulchral Lamp is investigated using ά instead of the skill indicated by the investigation attempt._x000D_
Forced - When Crypt of the Sepulchral Lamp is revealed: Put the top 2 Catacombs in the Catacombs deck into play above and to the right of Crypt of the Sepulchral Lamp.</t>
  </si>
  <si>
    <t>76b0fffe-f335-4b93-90e6-37def05e571b</t>
  </si>
  <si>
    <t>Bone-Filled Caverns</t>
  </si>
  <si>
    <t>While you are investigating Bone-Filled Cavern, you have 1 fewer hand slot._x000D_
Forced - When Bone-Filled Cavern is revealed: Put the top 2 Catacombs in the Catacombs deck into play below and to the right of Bone-Filled Cavern.</t>
  </si>
  <si>
    <t>3fd6834d-59b3-4aeb-a5af-67383323277e</t>
  </si>
  <si>
    <t>Well of Souls</t>
  </si>
  <si>
    <t>Forced - After you end your turn at Well of Souls: You must either take 1 direct horror or discard 2 random cards from your hand._x000D_
Forced - When Well of Souls is revealed: Put the topmost Catacombs in the Catacombs deck into play above, below, or to the right of Well of Souls.</t>
  </si>
  <si>
    <t>0d60acc3-fff6-4bbe-99f9-13beb68e2031</t>
  </si>
  <si>
    <t>Candlelit Tunnels</t>
  </si>
  <si>
    <t>η: Test έ (3) to read an ancient sign. If you succeed, look at the revealed side of any Catacombs location in play. (Group limit once per game.)_x000D_
Forced - When Candlelit Tunnels is revealed: Put the top 2 Catacombs in the Catacombs deck into play to the left and right of Candlelit Tunnels.</t>
  </si>
  <si>
    <t>024e7f53-cc5d-4f3f-a2f9-fcbf02c67e56</t>
  </si>
  <si>
    <t>Labyrinth of Bones</t>
  </si>
  <si>
    <t>Forced - When Labyrinth of Bones is revealed: Put the top 3 Catacombs in the Catacombs deck into play above, below, and to the right of Labyrinth of Bones.</t>
  </si>
  <si>
    <t>29e1e060-81b3-49fd-ba16-bc9cbf7ff0c9</t>
  </si>
  <si>
    <t>Narrow Shaft</t>
  </si>
  <si>
    <t>Forced - When you would move from Narrow Shaft to an unrevealed location: Test ί (3). If you fail, take 1 damage and cancel the effects of the move._x000D_
Forced - When Narrow Shaft is revealed: Put the topmost Catacombs in the Catacombs deck into play above or to the right of Narrow Shaft.</t>
  </si>
  <si>
    <t>94b94f6c-ce58-4602-a872-9e8c3a59ccaf</t>
  </si>
  <si>
    <t>Shivering Pools</t>
  </si>
  <si>
    <t>Forced - After you end your turn at Shivering Pools: You must either take 1 direct damage or lose 5 resources._x000D_
Forced - When Shivering Pools is revealed: Put the topmost Catacombs in the Catacombs deck into play below or to the right of Shivering Pools.</t>
  </si>
  <si>
    <t>91849ee0-abf0-45a9-b354-e90cd10c1a6d</t>
  </si>
  <si>
    <t>Blocked Passage</t>
  </si>
  <si>
    <t>Forced - When you reveal Blocked Passage: Take 2 damage. You cannot leave Blocked Passage this round.</t>
  </si>
  <si>
    <t>2cf0e837-8ba9-4944-9d75-65d8e4cebb14</t>
  </si>
  <si>
    <t>Tomb of Shadows</t>
  </si>
  <si>
    <t>Forced - When Tomb of Shadows is revealed: Advance to act 1b._x000D_
While The Man in the Pallid Mask is at the Tomb of Shadows, he gets +1π health and cannot be defeated by his η ability.</t>
  </si>
  <si>
    <t>52b647ba-c414-4fc2-a3c0-5da370427300</t>
  </si>
  <si>
    <t>Catacombs Docent</t>
  </si>
  <si>
    <t>Spawn - Nearest unrevealed location._x000D_
η: Parley. Test έ (4) to interpret the guide's ravings. If you succeed, look at the revealed side of any Catacombs location in play. (Group limit once per game.)</t>
  </si>
  <si>
    <t>71b7fd40-4335-4ef7-a6de-c48fc90b2f67</t>
  </si>
  <si>
    <t>Corpse Dweller</t>
  </si>
  <si>
    <t>Spawn - Discard a Humanoid enemy at any location and spawn Corpse Dweller at that location (if there are no Humanoid enemies in play, discard Corpse Dweller and it gains surge instead)._x000D_
Hunter. Retaliate.</t>
  </si>
  <si>
    <t>bdf84381-48fb-4db5-9f61-3d7f9cf7485e</t>
  </si>
  <si>
    <t>Eyes in the Walls</t>
  </si>
  <si>
    <t>Revelation - Test ά (3). For each point you fail by, take 1 horror. When assigning horror from this effect, it must be divided as evenly as possible among eligible cards.</t>
  </si>
  <si>
    <t>52f586da-4322-4596-8088-c246e0e47f1c</t>
  </si>
  <si>
    <t>The Shadow Behind You</t>
  </si>
  <si>
    <t>Revelation - Put The Shadow Behind You into play in your threat area. Limit 1 per investigator._x000D_
η: You look behind you._x000D_
Forced - At the end of your turn, if you did not perform the above η ability: You must either discard all of your resources or discard all cards in your hand. Then, discard The Shadow Behind You.</t>
  </si>
  <si>
    <t>b70c4133-557d-46f0-a048-b12183ce9017</t>
  </si>
  <si>
    <t>The Pit Below</t>
  </si>
  <si>
    <t>Revelation - Attach to your location if there is no copy of The Pit Below attached (if there is, discard The Pit Below and it gains surge instead)._x000D_
Attached location gets +1 shroud._x000D_
Forced - At the end of the round: Each investigator at attached location takes 3 damage. Discard The Pit Below.</t>
  </si>
  <si>
    <t>TPM</t>
  </si>
  <si>
    <t>If The Man in the Pallid Mask was defeated:_x000D_
The Stranger drops to one knee, visibly wounded. Your knuckles whiten with anger, and you shout, "We know about Carcosa and Hastur. Now tell us how to stop this madness!" The Stranger digs his fingers into the cold stone floor, and the catacombs shake…_x000D_
Mark two Conviction in your Campaign Log._x000D_
Remove The Man in the Pallid Mask from the game._x000D_
Advance to Act 3a - The Way Out._x000D_
If you spent clues to advance:
Recognizing that the Stranger poses no immediate danger to you, you study your surroundings and the strange shadows twist and distort once more, revealing a strange diagram…_x000D_
Mark two Doubt in your Campaign Log._x000D_
Remove The Man in the Pallid Mask from the game._x000D_
Advance to Act 3a - Leading the Way.</t>
  </si>
  <si>
    <t>8cfb4199-332a-4d2e-8dfe-617ea3f04dea</t>
  </si>
  <si>
    <t>1ad0b82e-12ca-4fdf-bc44-3c73bfbacf12</t>
  </si>
  <si>
    <t>On the Hunt</t>
  </si>
  <si>
    <t>Fast. Play when you would draw an encounter card during the mythos phase._x000D_
Instead, search the top 9 cards of the encounter deck for an enemy, spawn it engaged with you (instead of its normal spawn location), and shuffle the encounter deck. If you cannot, draw the top card of the encounter deck.</t>
  </si>
  <si>
    <t>26d95465-991f-4886-9ac6-de2abe08138a</t>
  </si>
  <si>
    <t>Stick to the Plan</t>
  </si>
  <si>
    <t>4deadac0-8415-4190-9e25-70624c7a6210</t>
  </si>
  <si>
    <t>Guidance</t>
  </si>
  <si>
    <t>Choose another investigator at your location who has yet to take his or her turn this round. That investigator may take an additional action during his or her turn this round.</t>
  </si>
  <si>
    <t>02808b3b-0245-445d-8dda-488c5f0efb30</t>
  </si>
  <si>
    <t>Arcane Insight</t>
  </si>
  <si>
    <t>Uses (3 charges)._x000D_
θ While an investigator is taking his or her turn, spend 1 charge: Your location gets -2 shroud until the end of this turn. (Limit once per turn.)</t>
  </si>
  <si>
    <t>8ba88c3a-9a34-4b6a-aae5-a2febbc3dd0d</t>
  </si>
  <si>
    <t>Narrow Escape</t>
  </si>
  <si>
    <t>Fast. Play when an enemy makes an attack of opportunity against you._x000D_
Cancel that attack. You get +2 skill value for the next skill test you perform this turn.</t>
  </si>
  <si>
    <t>9f04e6f9-c8fb-4a20-97e9-45b9c1174141</t>
  </si>
  <si>
    <t>Suggestion</t>
  </si>
  <si>
    <t>Uses (3 charges)._x000D_
η Exhaust Suggestion: Evade. Add your ά value to your skill value for this evasion attempt. If you do not succeed by at least 2, remove 1 charge from Suggestion._x000D_
ι When a non-Elite enemy would attack you, spend 1 charge: Cancel that attack.</t>
  </si>
  <si>
    <t>f1a0bd1b-6be0-4d7f-8a9c-da26ebb3061f</t>
  </si>
  <si>
    <t>St. Hubert's Key</t>
  </si>
  <si>
    <t>Cleansing Fire</t>
  </si>
  <si>
    <t>You get +1 ά, +1 έ, and -2 sanity._x000D_
ι When you would be defeated by horror, discard St. Hubert's Key: Immediately heal 2 horror.</t>
  </si>
  <si>
    <t>1fcbfc2d-8abc-48c1-b262-4857cb40abcf</t>
  </si>
  <si>
    <t>Fast. Play when an investigator at any location draws a non-weakness treachery card._x000D_
Cancel that card's revelation effect. Then, take 1 horror.</t>
  </si>
  <si>
    <t>f38579a6-210e-4437-8944-d8f18b0d2066</t>
  </si>
  <si>
    <t>Forced - After Arcane Initiate enters play: Place 1 doom or 2 horror on it._x000D_
θ Exhaust Arcane Initiate: Search the top 3 cards of your deck for a Spell card and draw it. Shuffle your deck.</t>
  </si>
  <si>
    <t>0c95e29d-5667-45ed-963e-e4693709e66b</t>
  </si>
  <si>
    <t>"Not without a fight!"</t>
  </si>
  <si>
    <t>Commit to a skill test only if you are engaged with an enemy._x000D_
For each enemy engaged with you, "Not without a fight!" gains ά ή ί.</t>
  </si>
  <si>
    <t>2b551797-e19e-447c-acfc-677c909e109e</t>
  </si>
  <si>
    <t>True Survivor</t>
  </si>
  <si>
    <t>Return 3 Innate skills from your discard pile to your hand.</t>
  </si>
  <si>
    <t>0d7300da-ddb1-4d9b-81b0-ceab0a459f54</t>
  </si>
  <si>
    <t>Easy / Standard_x000D_
α: -X. X is the highest amount of doom on an agenda in play._x000D_
β: Reveal another token. If this token is revealed during an attack or evasion attempt against an enemy with doom on it, this skill test automatically fails instead._x000D_
γ: Reveal another token. If you fail, place 1 doom on each agenda._x000D_
δ: -2. If you fail, search the encounter deck and discard pile for a Byakhee enemy and draw it.</t>
  </si>
  <si>
    <t>Hard / Expert_x000D_
α: -X. X is the total amount of doom on agendas in play._x000D_
β: Reveal another token. If there is an enemy with 1 or more doom on it at your location, this test automatically fails instead._x000D_
γ: Reveal another token. If you do not succeed by at least 1, place 1 doom on each agenda._x000D_
δ: -3. If you fail, search the encounter deck and discard pile for a Byakhee enemy and draw it.</t>
  </si>
  <si>
    <t>e435831f-c721-49a5-988f-1fe5f59cac1c</t>
  </si>
  <si>
    <t>The Tide Rises</t>
  </si>
  <si>
    <t>θ The investigators spend 1π  clues, as a group: Place 1 doom on this agenda (this effect can cause this agenda to advance). Each investigator gains 2 resources. (Group limit once per round.)</t>
  </si>
  <si>
    <t>Red Dawn's Sunrise</t>
  </si>
  <si>
    <t>Shuffle the encounter discard pile and both set-aside copies of Tidal Terror into the encounter deck._x000D_
Check the current "c" agenda._x000D_
- If agenda 1c has 2 or fewer doom on it, mark one Conviction in your Campaign Log._x000D_
- If agenda 1c has 3 or more doom on it, mark one Doubt in your Campaign Log._x000D_
- If agenda 1c is not the current "c" agenda, do not mark any Conviction or Doubt.</t>
  </si>
  <si>
    <t>fada603a-e868-4c93-9ada-1a2d61e9b43c</t>
  </si>
  <si>
    <t>The Vortex Above</t>
  </si>
  <si>
    <t>Let The Storm Rage</t>
  </si>
  <si>
    <t>Each copy of Ancient Evils gains surge._x000D_
θ The investigators spend 1π clues, as a group: Place 1 doom on this agenda (this effect can cause this agenda to advance). Each investigator gains 2 resources. (Group limit once per round.)</t>
  </si>
  <si>
    <t>Worlds Intertwine</t>
  </si>
  <si>
    <t>Spawn the set-aside Beast of Aldebaran enemy in the Abbey Tower._x000D_
Check Campaign Log. If Ashleigh Clarke is not listed under "VIPs Slain," search the collection for Ashleigh Clarke (Songs Die Unheard) and spawn her at Porte de l'Avancée._x000D_
Remove the set-aside act 3a card from the game. Advance to agenda 3a._x000D_
Your objective lies within the other agenda deck.</t>
  </si>
  <si>
    <t>330ea796-9967-4d58-9331-c52a88235d66</t>
  </si>
  <si>
    <t>The Flood Below</t>
  </si>
  <si>
    <t>Remove the remainder of this agenda deck from the game and replace it with the set-aside act 3a card. Advance to that act card.</t>
  </si>
  <si>
    <t>40c07bf1-1fa7-4366-a64a-5ce0e2b1d04a</t>
  </si>
  <si>
    <t>The City Floods</t>
  </si>
  <si>
    <t>Each copy of Ancient Evils gains surge.</t>
  </si>
  <si>
    <t>Die Unheard</t>
  </si>
  <si>
    <t>4fe98f3f-a6ca-42d1-8601-a25d620e2c95</t>
  </si>
  <si>
    <t>θ The investigators spend 1π clues, as a group: Place 1 doom on this agenda (this effect can cause this agenda to advance). Each investigator draws 1 card. (Group limit once per round.)</t>
  </si>
  <si>
    <t>Blue Star's Demise</t>
  </si>
  <si>
    <t>Shuffle the encounter discard pile and both set-aside copies of Rift Seeker into the encounter deck._x000D_
Check the current "a" agenda._x000D_
- If agenda 1a has 2 or fewer doom on it, mark one Conviction in your Campaign Log._x000D_
- If agenda 1a has 3 or more doom on it, mark one Doubt in your Campaign Log._x000D_
- If agenda 1a is not the current "a" agenda, do not mark any Conviction or Doubt.</t>
  </si>
  <si>
    <t>e5af2b0f-1c64-4419-bc1d-4f6b49b027fb</t>
  </si>
  <si>
    <t>The Entity Above</t>
  </si>
  <si>
    <t>Each Monster enemy gets +1 fight._x000D_
θ The investigators spend 1π clues, as a group: Place 1 doom on this agenda (this effect can cause this agenda to advance). Each investigator draws 1 card. (Group limit once per round.)</t>
  </si>
  <si>
    <t>Spawn the set-aside Beast of Aldebaran enemy in the Chapel of St. Aubert._x000D_
Check Campaign Log. If Ashleigh Clarke is not listed under "VIPs Slain," search the collection for Ashleigh Clarke (Songs Die Unheard) and spawn her at Porte de l'Avancée._x000D_
Remove the set-aside act 3c card from the game. Advance to agenda 3c._x000D_
Your objective lies within the other agenda deck.</t>
  </si>
  <si>
    <t>6b5e4477-4b8f-4913-b799-1d2e2b497f6c</t>
  </si>
  <si>
    <t>Remove the remainder of this agenda deck from the game and replace it with the set-aside act 3c card. Advance to that act card.</t>
  </si>
  <si>
    <t>004121d4-33ab-4b6e-8815-f01ebecf442d</t>
  </si>
  <si>
    <t>Swallowed Sky</t>
  </si>
  <si>
    <t>Each Monster enemy gets +1 fight.</t>
  </si>
  <si>
    <t>c93ae0ee-1732-450f-aae0-f773f0729ae3</t>
  </si>
  <si>
    <t>Open The Path Below</t>
  </si>
  <si>
    <t>Objective - If each undefeated investigator is at the Chapel of St. Aubert and there are no clues on that location, advance.</t>
  </si>
  <si>
    <t>To Carcosa</t>
  </si>
  <si>
    <t>32d8e03f-15f2-42eb-b5df-09142ae5304a</t>
  </si>
  <si>
    <t>Open The Path Above</t>
  </si>
  <si>
    <t>Objective - If each undefeated investigator is at the Abbey Tower and there are no clues on that location, advance.</t>
  </si>
  <si>
    <t>d4d2d531-fac1-4dfe-817d-9d83f4bf269c</t>
  </si>
  <si>
    <t>Porte de l'Avancée</t>
  </si>
  <si>
    <t>η η: Move 1 doom from one agenda deck to the other. Then, place 2 clues on Porte de l'Avancée (from the token bank).</t>
  </si>
  <si>
    <t>20662bde-0b4e-4bc8-b7ce-9b4d28663871</t>
  </si>
  <si>
    <t>Grand Rue</t>
  </si>
  <si>
    <t>Forced - After you succeed at a skill test by 1 or less while investigating Grand Rue: Place 1 doom on the agenda with the most doom (if they are tied for the most doom, choose one to place 1 doom on).</t>
  </si>
  <si>
    <t>c946f0fc-fbf3-4bc1-9b16-b05336f7ef52</t>
  </si>
  <si>
    <t>Outer Wall</t>
  </si>
  <si>
    <t>Forced - After 1 or more doom is placed on the "a" agenda deck: Each investigator at the Outer Wall takes 1 damage.</t>
  </si>
  <si>
    <t>6582dde5-ac08-4e4a-9be3-323e57ccc4de</t>
  </si>
  <si>
    <t>While the current "c" agenda has more doom on it than the current "a" agenda, double the number of skill icons on cards committed to skill tests at the Outer Wall.</t>
  </si>
  <si>
    <t>53d6ccfb-ff2b-4227-b98e-a123b4b9b6b2</t>
  </si>
  <si>
    <t>North Tower</t>
  </si>
  <si>
    <t>Forced - After 1 or more doom is placed on the "c" agenda deck: Each investigator at North Tower takes 1 horror.</t>
  </si>
  <si>
    <t>76a9d31a-7568-44ff-88f3-e1b6fb6b2a75</t>
  </si>
  <si>
    <t>While the current "a" agenda has more doom on it than the current "c" agenda, reduce the difficulty of each skill test at North Tower by 1.</t>
  </si>
  <si>
    <t>0697e1cf-7cb3-442b-a57c-6b29aa820ede</t>
  </si>
  <si>
    <t>Broken Steps</t>
  </si>
  <si>
    <t>Forced - After you enter Broken Steps: You must either lose 1 action or draw the topmost Omen treachery in the encounter discard pile.</t>
  </si>
  <si>
    <t>23975c27-fd1d-4506-a467-d5ea277c0eb4</t>
  </si>
  <si>
    <t>Forced - After you enter Broken Steps: You must either discard an asset you control or draw the topmost Cultist enemy in the encounter discard pile.</t>
  </si>
  <si>
    <t>af4ffe21-8410-4476-98b6-3ef1ccdb04ba</t>
  </si>
  <si>
    <t>Abbey Church</t>
  </si>
  <si>
    <t>The path leading to the Abbey Church is blocked. As an additional cost for you to enter the Abbey Church, investigators at Broken Steps must spend 3π clues, as a group.</t>
  </si>
  <si>
    <t>If there are two agendas in play with different agenda numbers, Abbey Church gets +2 shroud._x000D_
Forced - When Abbey Church is revealed: Put the set-aside Chœur Gothique, Knight's Hall, Cloister, Chapel of St. Aubert, and Abbey Tower locations into play.</t>
  </si>
  <si>
    <t>6a9f0196-38f7-4043-8661-822c36c59ab4</t>
  </si>
  <si>
    <t>Chœur Gothique</t>
  </si>
  <si>
    <t>η Place 1 doom on the current "a" agenda: Heal 2 damage. (Group limit once per game).</t>
  </si>
  <si>
    <t>eedf9d37-e12f-4b7d-a3e4-812b102be6ee</t>
  </si>
  <si>
    <t>η Place 1 doom on the current "c" agenda: Heal 2 horror. (Group limit once per game).</t>
  </si>
  <si>
    <t>d8d74a85-4a6a-48ed-a1fb-757426ff9345</t>
  </si>
  <si>
    <t>Cloister</t>
  </si>
  <si>
    <t>η If there are no clues on Cloister: Parley. Test ά (3). If you succeed, remember that you have "found a guide."</t>
  </si>
  <si>
    <t>65db3c0e-b915-4bec-b787-9171a354487d</t>
  </si>
  <si>
    <t>Knight's Hall</t>
  </si>
  <si>
    <t>η If there are no clues on Knight's Hall: Investigate. Investigate using ί instead of έ. If you succeed, instead of discovering clues, remember that you have "found the tower key."</t>
  </si>
  <si>
    <t>a4ad2173-5ec7-44ea-af72-a00d99a072bb</t>
  </si>
  <si>
    <t>Chapel of St. Aubert</t>
  </si>
  <si>
    <t>The way to the Chapel of St. Aubert is hidden. You cannot enter the Chapel of St. Aubert unless you have "found a guide."</t>
  </si>
  <si>
    <t>The Path is Open</t>
  </si>
  <si>
    <t>You can only discover clues in the Chapel of St. Aubert if you have 3 or fewer remaining sanity._x000D_
η: Take up to 3 horror.</t>
  </si>
  <si>
    <t>ee818778-2024-4969-b030-0e5855802f96</t>
  </si>
  <si>
    <t>Waters Forbidden</t>
  </si>
  <si>
    <t>2caaba71-47a4-4c07-b60f-298b7a9d7e87</t>
  </si>
  <si>
    <t>Abbey Tower</t>
  </si>
  <si>
    <t>The door leading up to the Abbey Tower is locked. You cannot enter the Abbey Tower unless you have "found the tower key."</t>
  </si>
  <si>
    <t>You can only discover clues in the Abbey Tower if you have no cards in your hand._x000D_
η: Discard up to 3 cards from your hand.</t>
  </si>
  <si>
    <t>255c32f0-5c83-41c1-adb6-50c0dddc5fb7</t>
  </si>
  <si>
    <t>Spires Forbidden</t>
  </si>
  <si>
    <t>612c29d9-ad33-4f88-bc3e-54a60fe853cf</t>
  </si>
  <si>
    <t>Tidal Terror</t>
  </si>
  <si>
    <t>Spawn - Porte de l'Avancée or Chapel of St. Aubert._x000D_
Hunter.</t>
  </si>
  <si>
    <t>58d141c9-57fb-4cde-8cb9-adba229e78f7</t>
  </si>
  <si>
    <t>Rift Seeker</t>
  </si>
  <si>
    <t>Monster. Byakhee. Cultist.</t>
  </si>
  <si>
    <t>Forced - After Rift Seeker attacks you: You must either take 1 additional damage and 1 additional horror, or place 1 doom on each agenda in play._x000D_
η Place 1 doom on each agenda in play and take 2 horror: Parley. Discard Rift Seeker.</t>
  </si>
  <si>
    <t>247c2cdc-5a68-4c69-b25e-a45765dae307</t>
  </si>
  <si>
    <t>Crashing Floods</t>
  </si>
  <si>
    <t>Revelation - Test ί (3). If you fail:_x000D_
- If agenda 1a is in play, take 1 damage and lose 1 action._x000D_
- If agenda 2a is in play, take 2 damage and lose 2 actions._x000D_
- If act 3a or agenda 3a is in play, take 3 damage and lose 3 actions.</t>
  </si>
  <si>
    <t>b538f838-3f1a-4a70-984e-16bcaff53527</t>
  </si>
  <si>
    <t>Worlds Merge</t>
  </si>
  <si>
    <t>Revelation - Test ά (3). If you fail:_x000D_
- If agenda 1c is in play, take 1 horror and discard 1 card from your hand._x000D_
- If agenda 2c is in play, take 2 horror and discard 2 cards from your hand._x000D_
- If act 3c or agenda 3c is in play, take 3 horror and discard 3 cards from your hand.</t>
  </si>
  <si>
    <t>AN</t>
  </si>
  <si>
    <t>BSR</t>
  </si>
  <si>
    <t>d0cd3353-990c-4549-957b-d1642fc3a71b</t>
  </si>
  <si>
    <t>fddf5708-0c3c-4ccd-8b0a-5e4f8dc2bba5</t>
  </si>
  <si>
    <t>AO</t>
  </si>
  <si>
    <t>"Eat lead!"</t>
  </si>
  <si>
    <t>Fast. Play when you activate the Fight ability on a Firearm asset.
You may spend X additional ammo tokens from that asset. When you reveal chaos tokens for this attack, reveal X additional tokens. Choose one to resolve and ignore the rest.</t>
  </si>
  <si>
    <t>cb0f6bfa-a39a-4fb6-ac2b-697d278503e2</t>
  </si>
  <si>
    <t>Armor of Ardennes</t>
  </si>
  <si>
    <t>άάήή</t>
  </si>
  <si>
    <t>Item. Armor. Relic.</t>
  </si>
  <si>
    <t>ι When damage is assigned to Armor of Ardennes, exhaust Armor of Ardennes: Cancel 1 of that damage.</t>
  </si>
  <si>
    <t>a0e10bb8-eb66-4453-8383-e03bc498ad40</t>
  </si>
  <si>
    <t>Eidetic Memory</t>
  </si>
  <si>
    <t>Play Eidetic Memory as an exact copy of an Insight event in any investigator's discard pile (including its resource cost). Remove that event from the game. Remove Eidetic Memory from the game instead of discarding it.</t>
  </si>
  <si>
    <t>a04ad572-d992-47ce-bc9e-59b78fdabda5</t>
  </si>
  <si>
    <t>ΰέ</t>
  </si>
  <si>
    <t>Fast. Play during any θ player window.
Choose an investigator at your location. That investigator searches his or her deck for a card, draws it, and shuffles his or her deck.</t>
  </si>
  <si>
    <t>39a8396b-dbf5-4de9-a6b9-36ba55c85062</t>
  </si>
  <si>
    <t>Charon's Obol</t>
  </si>
  <si>
    <t>The Ferryman's Pay</t>
  </si>
  <si>
    <t>Permanent. Exceptional.</t>
  </si>
  <si>
    <t>When earning experience during the resolution of a scenario, if you were not defeated during that scenario, you earn 2 additional experience. If you were defeated during that scenario, you are killed.</t>
  </si>
  <si>
    <t>d37eab40-1b08-4dde-8990-74c5b083d560</t>
  </si>
  <si>
    <t>Lupara</t>
  </si>
  <si>
    <t>Uses (2 ammo).</t>
  </si>
  <si>
    <t>Playing Lupara does not provoke attacks of opportunity.
η Spend 1 ammo: Fight. You get +1 ή and deal +1 damage for this attack. If Lupara entered play this turn, you get and additional +1 ή and deal an additional +1 damage for this attack.</t>
  </si>
  <si>
    <t>43944ccf-7640-4571-9513-e41bb08863c0</t>
  </si>
  <si>
    <t>Cheat Death</t>
  </si>
  <si>
    <t>Trick. Fated.</t>
  </si>
  <si>
    <t>Fast. Play when you would be defeated.
Disengage from each enemy engaged with you, discard all cards in your threat area, heal 2 horror and 2 damage, and move to any revealed location with no enemies. If it is your turn, end your turn. Remove Cheat Death from the game.</t>
  </si>
  <si>
    <t>04325a25-67fd-4b21-bc24-524fd8ea3299</t>
  </si>
  <si>
    <t>Time Warp</t>
  </si>
  <si>
    <t>Spell. Paradox.</t>
  </si>
  <si>
    <t>Fast. Play immediately after an investigator at your location finishes resolving an action during his or her turn.
Undo that action (return the game state to exactly the way it was before that action was performed, including that action’s cost).</t>
  </si>
  <si>
    <t>31137dab-c15f-444c-941a-b6227c89b970</t>
  </si>
  <si>
    <t>Seal of the Elder Sign</t>
  </si>
  <si>
    <t>Spell. Expert.</t>
  </si>
  <si>
    <t>Do not reveal chaos tokens from the chaos bag for this test. Treat the chaos token revealed for this test as an ε. 
When this test ends, remove Seal of the Elder Sign from the game.</t>
  </si>
  <si>
    <t>625d7afc-6fd1-4a24-aed2-44c94485dc58</t>
  </si>
  <si>
    <t>You get +2 έ while investigating if you have no clues.
ι When you would discover 1 or more clues at your location, if you have no clues: Discover an additional clue at your location.</t>
  </si>
  <si>
    <t>d22ff268-9026-4b8c-bf4c-df3cb6ed3605</t>
  </si>
  <si>
    <t>Infighting</t>
  </si>
  <si>
    <t>έέίί</t>
  </si>
  <si>
    <t>Fast. Play after the enemy phase begins.
Cancel all attacks made by non-Elite enemies against you this phase.</t>
  </si>
  <si>
    <t>aeadfc53-16cd-4869-89eb-0f47908d7fe2</t>
  </si>
  <si>
    <t>Key of Ys</t>
  </si>
  <si>
    <t>Let the Storm Rage</t>
  </si>
  <si>
    <t>ΰά</t>
  </si>
  <si>
    <t>You get +1 to each of your skills for each horror on Key of Ys.
Forced – When any amount of horror would be placed on you: Place 1 of that horror on Key of Ys.
Forced – When Key of Ys leaves play: Discard the top 10 cards of your deck.</t>
  </si>
  <si>
    <t>7b719e54-f67a-4246-b4be-a71576be036c</t>
  </si>
  <si>
    <t>Dim Carcosa</t>
  </si>
  <si>
    <t>Easy / Standard_x000D_
α: -2 (-4 instead if you have no sanity remaining).
β: Reveal another token. If you fail, take 1 horror.
γ: -3. If you fail and Hastur is in play, place 1 clue on your location (from the token bank).
δ: -3. If this token is revealed during an attack or evasion attempt against a Monster or Ancient One enemy, lose 1 action.</t>
  </si>
  <si>
    <t xml:space="preserve"> Hard / Expert _x000D_
α: -X. X is the amount of horror on you.
β: Reveal another token. If you fail, take 2 horror.
γ: -5. If you fail and Hastur is in play, place 1 clue on your location (from the token bank).
δ: -5. If this token is revealed during an attack or evasion attempt against a Monster or Ancient One enemy, lose 1 action.</t>
  </si>
  <si>
    <t>58c35bbb-2bee-4931-a1e3-0d56ece7f152</t>
  </si>
  <si>
    <t>Madness Coils</t>
  </si>
  <si>
    <t>Hastur cannot be defeated.
Forced – If there is at least 3π damage on Hastur: Advance this agenda.</t>
  </si>
  <si>
    <t>Key to the…?</t>
  </si>
  <si>
    <t>The investigators must decide (choose one):
—Any investigator tests ά (4) to snap out of it. If successful, advance to agenda 2a. If failed, you must choose an option you have yet to choose.
—Any investigator tests έ (4) to remember that you’ve done this before. If successful, advance to agenda 2a. If failed, you must choose an option you have yet to choose.
—This can’t be real. This can’t be real. This can’t be real. Each investigator takes 2 horror. Advance to agenda 2a.
—The investigators faint and awaken some time later. Advance to agenda 2a and place 1 doom on it.</t>
  </si>
  <si>
    <t>f5fa0bb2-ca31-49a6-9582-bb5eda16b49c</t>
  </si>
  <si>
    <t>Madness Drowns</t>
  </si>
  <si>
    <t>Hastur gets +1 fight and cannot be defeated.
Forced – If there is at least 5π damage on Hastur: Advance this agenda.</t>
  </si>
  <si>
    <t>The Final Guest…?</t>
  </si>
  <si>
    <t>Spawn the set-aside Beast of Aldebaran enemy at the Palace of the King.
Shuffle the encounter discard pile into the encounter deck.</t>
  </si>
  <si>
    <t>6464280b-9716-4e4e-a239-dd3b13ebd63b</t>
  </si>
  <si>
    <t>Madness Dies</t>
  </si>
  <si>
    <t>Hastur gets +2 fight.
Hastur cannot be defeated unless you “know the secret.”</t>
  </si>
  <si>
    <t>Earth and Carcosa</t>
  </si>
  <si>
    <t>Check Campaign Log.
—If you have more (or equal) Conviction than Doubt, proceed to (-&gt;R4).
—If you have more Doubt than Conviction, proceed to (-&gt;R5).</t>
  </si>
  <si>
    <t>08e81b42-7a27-47f5-8b47-5291d913d12f</t>
  </si>
  <si>
    <t>In Lost Carcosa</t>
  </si>
  <si>
    <t>Objective – When the investigators have collected the requisite number of clues, they must immediately spend them and advance.</t>
  </si>
  <si>
    <t>His Final Bow…?</t>
  </si>
  <si>
    <t>Spawn the set-aside The Man in the Pallid Mask enemy at the Palace of the King.</t>
  </si>
  <si>
    <t>fe0630df-63cd-4a6b-8cd4-dc98474511d5</t>
  </si>
  <si>
    <t>Search For the Stranger (v.I)</t>
  </si>
  <si>
    <t>Each investigator cannot discover clues.
The Man in the Pallid Mask cannot be defeated.
Objective – While the lead investigator is at The Man in the Pallid Mask’s location, he or she may spend ηηη to advance.</t>
  </si>
  <si>
    <t>The Palid Mask</t>
  </si>
  <si>
    <t>Chasing Tails</t>
  </si>
  <si>
    <t>Revelation – Put The Pallid Mask into play, under the lead investigator’s control. Remove The Man in the Pallid Mask from the game. Spawn the set-aside Hastur (Lord of Carcosa) enemy at the Palace of the King.
The Pallid Mask cannot leave play.
You get –2 sanity.</t>
  </si>
  <si>
    <t>119b94f1-7553-47b8-8a32-b565fd818cc1</t>
  </si>
  <si>
    <t>Search For the Stranger (v.II)</t>
  </si>
  <si>
    <t>Each investigator cannot discover clues.
The Man in the Pallid Mask cannot be defeated except by his η ability.
Objective – When The Man in the Pallid Mask would be defeated by his η ability, advance.</t>
  </si>
  <si>
    <t>Figment of Your Imagination</t>
  </si>
  <si>
    <t>Put the set-aside Hastur (The King in Yellow) enemy into play next to the act deck. For the remainder of the scenario, Hastur is considered to be in play but is not at any location. Remove The Man in the Pallid Mask from the game.</t>
  </si>
  <si>
    <t>a1f3e489-d0f3-4250-8579-e01c1a15640a</t>
  </si>
  <si>
    <t>Search For the Stranger (v.III)</t>
  </si>
  <si>
    <t>Each investigator cannot discover clues.
The Man in the Pallid Mask cannot be defeated except by damage.
Objective – When The Man in the Pallid Mask would be defeated by damage, advance.</t>
  </si>
  <si>
    <t>The Disguise is Laid Aside</t>
  </si>
  <si>
    <t>Spawn the set-aside Hastur (Lord of Carcosa) enemy at The Man in the Pallid Mask’s location. Remove The Man in the Pallid Mask from the game.</t>
  </si>
  <si>
    <t>97f3f853-20a4-407c-b684-808d761480f2</t>
  </si>
  <si>
    <t>The King in Tatters</t>
  </si>
  <si>
    <t>θ If there are no clues on your location: Remove each investigator’s clues from the game. Flip your location over and resolve the text on the other side.
Objective – If Hastur is defeated, advance.</t>
  </si>
  <si>
    <t>Fin</t>
  </si>
  <si>
    <t>—If Hastur (The Tattered King) was the version of Hastur that was defeated, proceed to (-&gt;R1).
—If Hastur (The King in Yellow) was the version of Hastur that was defeated, proceed to (-&gt;R2).
—If Hastur (Lord of Carcosa) was the version of Hastur that was defeated, proceed to (-&gt;R3).</t>
  </si>
  <si>
    <t>e9a2a67a-4d57-447c-9538-7785e962a90f</t>
  </si>
  <si>
    <t>Shores of Hali</t>
  </si>
  <si>
    <t>Otherworld</t>
  </si>
  <si>
    <t>Songs That the Hyades Shall Sing</t>
  </si>
  <si>
    <t>Deal 1π damage to Hastur, exhaust him, and disengage him from all investigators.
Flip this card back over. For the remainder of the game, it cannot be flipped over again.</t>
  </si>
  <si>
    <t>d225829b-d858-49d1-ad39-4edee7e61b0f</t>
  </si>
  <si>
    <t>Bleak Plains</t>
  </si>
  <si>
    <t>While you are at Bleak Plains, you cannot play Ally assets.</t>
  </si>
  <si>
    <t>Stars of Aldebaran</t>
  </si>
  <si>
    <t>Each investigator heals 3 horror. 
Deal 4 damage to an enemy in play other than Hastur.
Remove this card from the game, and replace it with another set-aside copy of Bleak Plains (move all investigators, enemies, and attachments from this location to the new copy of Bleak Plains). Add clues to that copy of Bleak Plains until it has clues on it equal to its clue value.</t>
  </si>
  <si>
    <t>a0af22ff-e118-41f9-a5bf-f9493755d14f</t>
  </si>
  <si>
    <t>Bleak Desolation</t>
  </si>
  <si>
    <t>Deal 2π damage to Hastur.
Flip this card back over. For the remainder of the game, it cannot be flipped over again.</t>
  </si>
  <si>
    <t>a2cb48ff-ca76-4254-92a4-f17711b30877</t>
  </si>
  <si>
    <t>Ruins of Carcosa</t>
  </si>
  <si>
    <t>Forced - After you discover the last remaining clue on Ruins of Carcosa: Take 1 damage.</t>
  </si>
  <si>
    <t>Inhabitant of Carcosa</t>
  </si>
  <si>
    <t>Each investigator heals 3 horror.
Remove this card from the game, and replace it with another set-aside copy of Ruins of Carcosa (move all investigators, enemies, and attachments from this location to the new copy of Ruins of Carcosa). Add clues to that copy of Ruins of Carcosa until it has clues on it equal to its clue value.</t>
  </si>
  <si>
    <t>ebede632-9521-44c9-b64c-8dedb41a5414</t>
  </si>
  <si>
    <t>A Moment's Rest</t>
  </si>
  <si>
    <t>You must decide (choose one):
–Choose an enemy in play. Exhaust that enemy and disengage it from all investigators.
–You heal 5 horror.
Remove this card from the game, and replace it with another set-aside copy of Ruins of Carcosa (move all investigators, enemies, and attachments from this location to the new copy of Ruins of Carcosa). Add clues to that copy of Ruins of Carcosa until it has clues on it equal to its clue value.</t>
  </si>
  <si>
    <t>49a3d268-c572-4963-a8f1-d0a665c49b89</t>
  </si>
  <si>
    <t>The Coffin</t>
  </si>
  <si>
    <t>Deal 1π damage to Hastur.
Flip this card back over. For the remainder of the game, it cannot be flipped over again.</t>
  </si>
  <si>
    <t>1bd30775-a3de-4d8a-9374-7c7b1d50459c</t>
  </si>
  <si>
    <t>Dim Streets</t>
  </si>
  <si>
    <t>Forced - After you discover the last remaining clue on Dim Streets: Lose 1 action.</t>
  </si>
  <si>
    <t>Mapping the Streets</t>
  </si>
  <si>
    <t>Test έ (3). For each point you fail by, take 1 horror. Deal 1π damage to Hastur regardless of whether you succeed or fail.
After this test ends, flip this card back over. For the remainder of the game, it cannot be flipped over again.</t>
  </si>
  <si>
    <t>9a9cc346-380e-4106-8ea0-e9a78bd828ee</t>
  </si>
  <si>
    <t>The King's Parade</t>
  </si>
  <si>
    <t>Test ή (2). If you succeed, exhaust Hastur and disengage him from all investigators.
Remove this card from the game, and replace it with another set-aside copy of Dim Streets (move all investigators, enemies, and attachments from this location to the new copy of Dim Streets). Add clues to that copy of Dim Streets until it has clues on it equal to its clue value.</t>
  </si>
  <si>
    <t>de4efd3d-75d9-41a1-be37-33eb4ef52d8b</t>
  </si>
  <si>
    <t>The Archway</t>
  </si>
  <si>
    <t>Test ά (1). For each point you succeed by, heal 1 horror.
Remove this card from the game, and replace it with another set-aside copy of Dim Streets (move all investigators, enemies, and attachments from this location to the new copy of Dim Streets). Add clues to that copy of Dim Streets until it has clues on it equal to its clue value.</t>
  </si>
  <si>
    <t>41e166ff-654e-449f-98e9-95108ba016ea</t>
  </si>
  <si>
    <t>Depths of Demhe</t>
  </si>
  <si>
    <t>While you are at Depths of Demhe, you cannot play fast cards.</t>
  </si>
  <si>
    <t>The Height of the Depths</t>
  </si>
  <si>
    <t>Each investigator heals 5 horror.
Remove this card from the game, and replace it with another set-aside copy of Depths of Demhe (move all investigators, enemies, and attachments from this location to the new copy of Depths of Demhe). Add clues to that copy of Depths of Demhe until it has clues on it equal to its clue value.</t>
  </si>
  <si>
    <t>efc219c5-b3d7-4158-82d3-b6a6e2f24799</t>
  </si>
  <si>
    <t>Steps of the Palace</t>
  </si>
  <si>
    <t>1d60614c-5984-4025-ab89-2b5f4a2ff0a2</t>
  </si>
  <si>
    <t>Dark Spires</t>
  </si>
  <si>
    <t>The Fall</t>
  </si>
  <si>
    <t>You must decide (choose one):
– You cannot bring yourself to do what must be done. Flip this card back over.
– Realizing what you must do, you step forward and push her. Take 2 horror and deal 2π damage to Hastur. Flip this card back over. For the remainder of the game, it cannot be flipped over again.</t>
  </si>
  <si>
    <t>2c6dc0ba-9ab5-4697-8415-60c438b4a5a2</t>
  </si>
  <si>
    <t>Palace of the King</t>
  </si>
  <si>
    <t>Palace of the King cannot be flipped over unless Hastur has at least 5π damage on him.</t>
  </si>
  <si>
    <t>Hastur's End</t>
  </si>
  <si>
    <t>Remember that you “know the secret.”
Flip this card back over. For the remainder of the game, it cannot be flipped over again.</t>
  </si>
  <si>
    <t>c2628010-0e80-40a9-8490-647b32f48333</t>
  </si>
  <si>
    <t>Hastur</t>
  </si>
  <si>
    <t>7π</t>
  </si>
  <si>
    <t>Cannot be damaged except by story card effects.
Forced – At the beginning of the enemy phase, if Hastur is ready: Hastur attacks each investigator, in player order (regardless of their location). If Hastur’s attack deals you horror in excess of your sanity, you take 1 damage, as well.
η: Test ά (X), where X is Hastur’s fight value. If you succeed, exhaust Hastur. Any investigator may trigger this action.</t>
  </si>
  <si>
    <t>27abf289-ee16-4d4e-8e90-1684f9983016</t>
  </si>
  <si>
    <t>Lord of Carcosa</t>
  </si>
  <si>
    <t>9π</t>
  </si>
  <si>
    <t>Prey – Most remaining sanity.
Hunter. Massive.</t>
  </si>
  <si>
    <t>If Hastur’s attack deals you horror in excess of your sanity, you take 1 damage, as well.
While Hastur is being attacked or evaded by an investigator with no remaining sanity, treat each ε, “+1,” “0,” or “–1” token that investigator reveals as a ζ token.</t>
  </si>
  <si>
    <t>ae36c6af-dc75-4238-821f-6b2969b9aa74</t>
  </si>
  <si>
    <t>The Tattered King</t>
  </si>
  <si>
    <t>8π</t>
  </si>
  <si>
    <t>Prey – Most remaining sanity.
Hunter.</t>
  </si>
  <si>
    <t>d846c215-d9e8-4c36-8ba4-1146bdf2975b</t>
  </si>
  <si>
    <t>Creature Out of Demhe</t>
  </si>
  <si>
    <t>Spawn - Depths of Demhe.
Massive.</t>
  </si>
  <si>
    <t>Forced – When Creature out of Demhe’s location or a connecting location is flipped over, if Creature out of Demhe is ready: It attacks each investigator at that location.</t>
  </si>
  <si>
    <t>a3b192f5-6ab7-4abf-9d67-6ceae3c98ea3</t>
  </si>
  <si>
    <t>Winged One</t>
  </si>
  <si>
    <t>Spawn - Bleak Plains.
Retaliate.</t>
  </si>
  <si>
    <t>Forced – After a location is flipped over, if Winged One is ready and unengaged: Move it once toward that location.</t>
  </si>
  <si>
    <t>728cadf7-43a2-4bdb-9da1-d9e0b10ad5da</t>
  </si>
  <si>
    <t>Dismal Curse</t>
  </si>
  <si>
    <t>Curse. Terror.</t>
  </si>
  <si>
    <t>Revelation – Test ά (3). If you have no remaining sanity, this test gets +2 difficulty. If you fail, take 2 damage (4 damage instead if you have horror on you greater than twice your sanity).</t>
  </si>
  <si>
    <t>72091e61-bcef-4624-9563-57ad2867866b</t>
  </si>
  <si>
    <t>Realm of Madness</t>
  </si>
  <si>
    <t>Revelation – Discard cards from play and/or from your hand with a total printed resource cost of at least X, where X is the amount of horror on your investigator. If no cards are discarded by this effect, take 2 horror.</t>
  </si>
  <si>
    <t>6b5eae88-493c-4b3f-a519-f6f971da8678</t>
  </si>
  <si>
    <t>The Final Act</t>
  </si>
  <si>
    <t>Revelation – If you have no remaining sanity, place 2 doom on the current agenda. This effect can cause the current agenda to advance.</t>
  </si>
  <si>
    <t>e0c8a708-b24c-4024-b02b-460e60f0eb53</t>
  </si>
  <si>
    <t>Possession (Traitorous)</t>
  </si>
  <si>
    <t>Peril. Hidden.</t>
  </si>
  <si>
    <t>Revelation – Secretly add Possession (Traitorous) to your hand.
If you have horror on you greater than twice your sanity, you are immediately eliminated and killed.
You may commit this card to a skill test at your location. That test automatically fails.</t>
  </si>
  <si>
    <t>9aadb360-7370-4d0f-9436-f554afcdeeff</t>
  </si>
  <si>
    <t>Possession (Torturous)</t>
  </si>
  <si>
    <t>Revelation – Secretly add Possession (Torturous) to your hand.
If you have horror on you greater than twice your sanity, you are immediately eliminated and killed.
η Spend 5 resources: Discard Possession (Torturous) from your hand.</t>
  </si>
  <si>
    <t>883e170b-f28f-48ca-a745-94bd400150aa</t>
  </si>
  <si>
    <t>Possession (Murderous)</t>
  </si>
  <si>
    <t>Revelation – Secretly add Possession (Murderous) to your hand.
If you have horror on you greater than twice your sanity, you are immediately eliminated and killed.
η Deal 2 damage to an investigator at your location: Discard Possession (Murderous) from your hand.</t>
  </si>
  <si>
    <t>29e9861d-a9bb-4ac3-aced-a6feadde0f6f</t>
  </si>
  <si>
    <t>b2992e9d-e241-4c53-aafd-e0ac87314296</t>
  </si>
  <si>
    <t>AP</t>
  </si>
  <si>
    <t>Leo Anderson</t>
  </si>
  <si>
    <t>The Expedition Leader</t>
  </si>
  <si>
    <t>Veteran. Wayfarer.</t>
  </si>
  <si>
    <t>085654e5-4d3c-475b-84f5-857e93e19d03</t>
  </si>
  <si>
    <t>Ursula Downs</t>
  </si>
  <si>
    <t>The Explorer</t>
  </si>
  <si>
    <t>Wayfarer.</t>
  </si>
  <si>
    <t>9e5a4bc6-5547-49b9-807e-1c360ff71448</t>
  </si>
  <si>
    <t>Finn Edwards</t>
  </si>
  <si>
    <t>The Bootlegger</t>
  </si>
  <si>
    <t>08983f31-0d22-44d2-a1da-ff7fa0d538cc</t>
  </si>
  <si>
    <t>Father Mateo</t>
  </si>
  <si>
    <t>The Priest</t>
  </si>
  <si>
    <t>Believer. Warden.</t>
  </si>
  <si>
    <t>98162f0f-483a-47ee-84bd-d95b06831bd4</t>
  </si>
  <si>
    <t>Calvin Wright</t>
  </si>
  <si>
    <t>The Haunted</t>
  </si>
  <si>
    <t>Cursed. Drifter.</t>
  </si>
  <si>
    <t>49f0c59a-54d4-4aa1-a395-e89f385ff771</t>
  </si>
  <si>
    <t>Sole Survivor</t>
  </si>
  <si>
    <t>Ally. Wayfarer.</t>
  </si>
  <si>
    <t>b226fad1-ccc0-4cd4-a730-cb8d7d68380b</t>
  </si>
  <si>
    <t>Bought in Blood</t>
  </si>
  <si>
    <t>ed378f6f-2166-49ed-b380-446df6275e02</t>
  </si>
  <si>
    <t>Jake Williams</t>
  </si>
  <si>
    <t>Loyal Companion</t>
  </si>
  <si>
    <t>96b9b8ef-8875-43b9-80f5-3c6c8ce71aba</t>
  </si>
  <si>
    <t>Call of the Unknown</t>
  </si>
  <si>
    <t>09e7f429-9fa3-45be-887f-e4ac51f8ab22</t>
  </si>
  <si>
    <t>Smuggled Goods</t>
  </si>
  <si>
    <t>9e9db6d9-f51b-4d7b-be5b-ec4f8a50f926</t>
  </si>
  <si>
    <t>Finn's Trusty .38</t>
  </si>
  <si>
    <t>22f2181b-f0b0-47cb-8a25-6cf909707ebe</t>
  </si>
  <si>
    <t>Caught Red-Handed</t>
  </si>
  <si>
    <t>33ae0c43-8b3a-4d77-af32-3ed7cab88259</t>
  </si>
  <si>
    <t>The Codex of Ages</t>
  </si>
  <si>
    <t>Item. Relic. Tome. Blessed.</t>
  </si>
  <si>
    <t>148ca2da-f2ba-4be3-9a62-acbc2add44d2</t>
  </si>
  <si>
    <t>Serpents of Yig</t>
  </si>
  <si>
    <t>Humanoid. Monster. Serpent.</t>
  </si>
  <si>
    <t>6b03c20d-c456-403b-9f91-495daed2107e</t>
  </si>
  <si>
    <t>Until the End of Time</t>
  </si>
  <si>
    <t>57044336-db1f-4e8c-a547-8db0e2d777af</t>
  </si>
  <si>
    <t>Voice of the Messenger</t>
  </si>
  <si>
    <t>Curse. Pact.</t>
  </si>
  <si>
    <t>071297dd-139f-4c06-bdc0-36579f0e1a4b</t>
  </si>
  <si>
    <t>Survival Knife</t>
  </si>
  <si>
    <t>2922eaa2-b8ca-4784-970e-7a154ff923d4</t>
  </si>
  <si>
    <t>Venturer</t>
  </si>
  <si>
    <t>3f0de4d2-244f-4125-8d12-43484818136d</t>
  </si>
  <si>
    <t>Trusted</t>
  </si>
  <si>
    <t>Upgrade.</t>
  </si>
  <si>
    <t>648d6735-a917-4b21-8041-b7bdd012c4dd</t>
  </si>
  <si>
    <t>Reliable</t>
  </si>
  <si>
    <t>ce034798-64fd-4a9c-8691-50c3e2477938</t>
  </si>
  <si>
    <t>Dr. Elli Horowitz</t>
  </si>
  <si>
    <t>Assistant Curator</t>
  </si>
  <si>
    <t>Ally. Assistant.</t>
  </si>
  <si>
    <t>7177aa07-e576-407d-a0ae-2c2e9ea6da57</t>
  </si>
  <si>
    <t>Ancient Stone</t>
  </si>
  <si>
    <t>ffdc9ae3-cbab-4998-8fde-44a84c35611e</t>
  </si>
  <si>
    <t>Tooth of Eztli</t>
  </si>
  <si>
    <t>Mortal Reminder</t>
  </si>
  <si>
    <t>f325bfbf-5715-4c8f-8607-01d52a87e344</t>
  </si>
  <si>
    <t>Unearth the Ancients</t>
  </si>
  <si>
    <t>c5c0118e-1eda-46e5-978b-26451f83b1ff</t>
  </si>
  <si>
    <t>Treasure Hunter</t>
  </si>
  <si>
    <t>bfec127a-821d-4603-89c0-9cb188e310c2</t>
  </si>
  <si>
    <t>Decorated Skull</t>
  </si>
  <si>
    <t>Doom Begets Doom</t>
  </si>
  <si>
    <t>Item. Relic. Cursed.</t>
  </si>
  <si>
    <t>28028b2d-a2d9-45d3-b01c-77710f5f8016</t>
  </si>
  <si>
    <t>Eavesdrop</t>
  </si>
  <si>
    <t>Insight. Trick.</t>
  </si>
  <si>
    <t>Choose an unengaged enemy at your location. Test έ (X), where X is the evade value of the chosen enemy. If you succeed, discover 2 clues at your location.</t>
  </si>
  <si>
    <t>73ccfa4d-75dc-4153-a597-1dfab612edee</t>
  </si>
  <si>
    <t>"You handle this one!"</t>
  </si>
  <si>
    <t>d271e127-2cc4-4553-a5f6-5107236100d5</t>
  </si>
  <si>
    <t>Mists of R'lyeh</t>
  </si>
  <si>
    <t>57860818-e764-4e7b-91be-21c744ad22c8</t>
  </si>
  <si>
    <t>The Chthonian Stone</t>
  </si>
  <si>
    <t>Stygian Waymark</t>
  </si>
  <si>
    <t>d0830ae8-fa1a-4fd4-9ab6-414e65e02464</t>
  </si>
  <si>
    <t>Protective Incantation</t>
  </si>
  <si>
    <t>Ritual. Blessed.</t>
  </si>
  <si>
    <t>1361a141-20f1-49eb-b466-7dd2856ec15d</t>
  </si>
  <si>
    <t>Dark Prophecy</t>
  </si>
  <si>
    <t>Augury.</t>
  </si>
  <si>
    <t>38e51b29-b8ec-43b9-8668-d284dd7ed06f</t>
  </si>
  <si>
    <t>Improvised Weapon</t>
  </si>
  <si>
    <t>Tactic. Improvised.</t>
  </si>
  <si>
    <t>7fd1157f-32b6-46a0-a0b8-d64c5f6e34b0</t>
  </si>
  <si>
    <t>Dumb Luck</t>
  </si>
  <si>
    <t>2f93c268-b201-4e83-ae34-b5b009296a8e</t>
  </si>
  <si>
    <t>Yaotl</t>
  </si>
  <si>
    <t>Lost Son of Eztli</t>
  </si>
  <si>
    <t>fc7e359f-8979-490a-bd24-a810c1ed9253</t>
  </si>
  <si>
    <t>Last Chance</t>
  </si>
  <si>
    <t>ΰΰΰΰΰ</t>
  </si>
  <si>
    <t>78abaa4c-d90b-4e4f-a14f-38ac41ae4904</t>
  </si>
  <si>
    <t>Backpack</t>
  </si>
  <si>
    <t>d2a6e29c-05d8-44d1-8359-87eee3f68597</t>
  </si>
  <si>
    <t>Dark Pact</t>
  </si>
  <si>
    <t>c993d3ba-4af0-4ca6-b1c9-b2b1e4162b2f</t>
  </si>
  <si>
    <t>14254816-3365-4c12-bb9f-02ba35920333</t>
  </si>
  <si>
    <t>Doomed</t>
  </si>
  <si>
    <t>63481a59-ebe6-41dd-a15e-ad374cb62d8e</t>
  </si>
  <si>
    <t>Accursed Fate</t>
  </si>
  <si>
    <t>7e128568-d28c-436f-9c73-1b5f6b3e40ee</t>
  </si>
  <si>
    <t>The Bell Tolls</t>
  </si>
  <si>
    <t>6ea63fe0-6d47-49f8-aded-c891b70b6c63</t>
  </si>
  <si>
    <t>The Untamed Wilds</t>
  </si>
  <si>
    <t>cf16a4b5-94ef-48af-8493-39999789746f</t>
  </si>
  <si>
    <t>Expedition into the Wild</t>
  </si>
  <si>
    <t>η: Explore. Draw the top card of the exploration deck. If it is a connecting location, put it into play and move to it.</t>
  </si>
  <si>
    <t>9156e93a-8c28-4ec3-aae0-ab1ecfa166a0</t>
  </si>
  <si>
    <t>Intruders</t>
  </si>
  <si>
    <t>Each investigator is defeated. Each investigator who is not poisoned adds a set-aside Poisoned weakness to his or her deck.</t>
  </si>
  <si>
    <t>08b4e0e4-9da1-47c4-98e3-3599fc9292dc</t>
  </si>
  <si>
    <t>Exploring the Rainforest</t>
  </si>
  <si>
    <t>bf9a29c5-c5c9-453c-abd7-705d1abedad4</t>
  </si>
  <si>
    <t>Huntress of the Eztli</t>
  </si>
  <si>
    <t>8c8bbc06-beec-46e9-be4d-b332167db610</t>
  </si>
  <si>
    <t>Search for the Ruins</t>
  </si>
  <si>
    <t>193b5971-e931-474a-a8c6-8280f5def4bf</t>
  </si>
  <si>
    <t>The Guarded Ruins</t>
  </si>
  <si>
    <t>7f70d751-9b35-486c-b588-688b30ec2954</t>
  </si>
  <si>
    <t>Expedition Camp</t>
  </si>
  <si>
    <t>Campsite. Jungle.</t>
  </si>
  <si>
    <t>1f751654-9485-433c-a9e4-d989155a316f</t>
  </si>
  <si>
    <t>Alejandro Vela</t>
  </si>
  <si>
    <t>Renowned Historian</t>
  </si>
  <si>
    <t>882f22d1-b171-4c18-8379-8a5e5e1d1a6d</t>
  </si>
  <si>
    <t>Ichtaca</t>
  </si>
  <si>
    <t>Keeper of the Eztli</t>
  </si>
  <si>
    <t>Humanoid. Eztli. Elite.</t>
  </si>
  <si>
    <t>e99a8289-8797-4ac9-9ad5-dd1d10ca4827</t>
  </si>
  <si>
    <t>Ruins of Eztli</t>
  </si>
  <si>
    <t>Ancient. Ruins.</t>
  </si>
  <si>
    <t>879c1767-bb80-4859-876a-264845386d78</t>
  </si>
  <si>
    <t>The Doom of Eztli</t>
  </si>
  <si>
    <t>e8557d55-2e3e-4ecd-bea1-25560e5055c9</t>
  </si>
  <si>
    <t>Something Stirs…</t>
  </si>
  <si>
    <t>Spawn the set-aside Harbinger of Valusia at the location with the most doom.</t>
  </si>
  <si>
    <t>4995a39c-ec0a-44b2-8c15-8182f7271ecc</t>
  </si>
  <si>
    <t>The Temple Warden</t>
  </si>
  <si>
    <t>Each investigator who has not resigned is defeated.</t>
  </si>
  <si>
    <t>8073f966-3ada-45a9-8d80-8e0721b95aeb</t>
  </si>
  <si>
    <t>Into the Ruins</t>
  </si>
  <si>
    <t>15a7ae40-ec24-4d7d-b594-1a6063eb5a2e</t>
  </si>
  <si>
    <t>Magic and Science</t>
  </si>
  <si>
    <t>d174a49b-479f-431c-91ac-0d56b328dff8</t>
  </si>
  <si>
    <t>Escape the Ruins</t>
  </si>
  <si>
    <t>638c7211-68ec-451d-b38c-c2398126090d</t>
  </si>
  <si>
    <t>Entryway</t>
  </si>
  <si>
    <t>3e73a9f2-c47b-4cf4-b05a-810f19432a49</t>
  </si>
  <si>
    <t>Relic of Ages</t>
  </si>
  <si>
    <t>bbff23f5-ba78-4cf4-908a-a9562c37d692</t>
  </si>
  <si>
    <t>Harbinger of Valusia</t>
  </si>
  <si>
    <t>The Sleeper Awakens</t>
  </si>
  <si>
    <t>Humanoid. Monster. Serpent. Elite.</t>
  </si>
  <si>
    <t>29b45f4f-ebbe-435e-ab30-278593e21f8c</t>
  </si>
  <si>
    <t>Ancient Hall</t>
  </si>
  <si>
    <t>1c400e14-07a5-4711-b075-0ebd839221f6</t>
  </si>
  <si>
    <t>Grand Chamber</t>
  </si>
  <si>
    <t>419e2e1d-23ab-4c8a-88df-982968e2891b</t>
  </si>
  <si>
    <t>Burial Pit</t>
  </si>
  <si>
    <t>b504f6a9-95fc-4db6-957c-c128b810d77a</t>
  </si>
  <si>
    <t>Underground Ruins</t>
  </si>
  <si>
    <t>a3e5b78b-c05f-49d5-b674-97ff888b4f35</t>
  </si>
  <si>
    <t>Secret Passage</t>
  </si>
  <si>
    <t>30d4b977-2178-4471-89d1-c341c854bc04</t>
  </si>
  <si>
    <t>Chamber of Time</t>
  </si>
  <si>
    <t>Forgotten. Ruins.</t>
  </si>
  <si>
    <t>1666bdb1-e21b-4f02-b4b3-564593f2181f</t>
  </si>
  <si>
    <t>Path of Thorns</t>
  </si>
  <si>
    <t>Jungle.</t>
  </si>
  <si>
    <t>9d8dbfbb-91d0-4d1b-9343-1cf8c6903196</t>
  </si>
  <si>
    <t>River Canyon</t>
  </si>
  <si>
    <t>η: Heal 1 damage from an investigator at River Canyon. Check your supplies. If you have a canteen, heal 2 additional damage. (Limit once per game.)</t>
  </si>
  <si>
    <t>b7b888ce-c247-4faf-9c0b-cb0908273f97</t>
  </si>
  <si>
    <t>Rope Bridge</t>
  </si>
  <si>
    <t>bd95f839-567b-4b3c-9720-0015498baaf8</t>
  </si>
  <si>
    <t>Serpent's Haven</t>
  </si>
  <si>
    <t>db538e9b-2c4e-4416-b41a-0c5972d46bd9</t>
  </si>
  <si>
    <t>Circuitous Trail</t>
  </si>
  <si>
    <t>52025ebe-feb2-4d76-b420-be511c642bf1</t>
  </si>
  <si>
    <t>Temple of the Fang</t>
  </si>
  <si>
    <t>37b7a822-5ccc-4939-9810-f3f03cf8c6c2</t>
  </si>
  <si>
    <t>Overgrown Ruins</t>
  </si>
  <si>
    <t>f4d0bee6-9086-448f-8408-0c4c0afc99f6</t>
  </si>
  <si>
    <t>Overgrowth</t>
  </si>
  <si>
    <t>db2a7d83-bc7d-4dea-ae92-fc02f9d62f0d</t>
  </si>
  <si>
    <t>Voice of the Jungle</t>
  </si>
  <si>
    <t>20130830-bb18-44ac-b429-de7ab8ca1d6a</t>
  </si>
  <si>
    <t>Pit Viper</t>
  </si>
  <si>
    <t>Creature. Serpent.</t>
  </si>
  <si>
    <t>d1a5b69b-6d3a-48ab-bace-e33633b93b5a</t>
  </si>
  <si>
    <t>Boa Constrictor</t>
  </si>
  <si>
    <t>39d0f46c-20e2-447d-acd4-24d6b2794d99</t>
  </si>
  <si>
    <t>Snake Bite</t>
  </si>
  <si>
    <t>Hazard. Poison.</t>
  </si>
  <si>
    <t>1095c136-0cd2-4add-a70f-b0d1a91221b6</t>
  </si>
  <si>
    <t>Lost in the Wilds</t>
  </si>
  <si>
    <t>fa2580af-7586-427c-b2c0-1536a80afe16</t>
  </si>
  <si>
    <t>Low on Supplies</t>
  </si>
  <si>
    <t>929ee783-a8a7-4a27-baa0-b9f88c9b66fc</t>
  </si>
  <si>
    <t>Brood of Yig</t>
  </si>
  <si>
    <t>184cb383-35f8-4ecc-af00-33b427b1df7b</t>
  </si>
  <si>
    <t>Serpent from Yoth</t>
  </si>
  <si>
    <t>56778b1f-923b-4618-b4ff-445a972d1bfe</t>
  </si>
  <si>
    <t>Curse of Yig</t>
  </si>
  <si>
    <t>cf96c698-ac9c-4d12-8aa8-bbc70a9ae088</t>
  </si>
  <si>
    <t>Eztli Guardian</t>
  </si>
  <si>
    <t>Humanoid. Eztli.</t>
  </si>
  <si>
    <t>0c9b4bfc-b552-48de-9759-0f81ee668c92</t>
  </si>
  <si>
    <t>Arrows from the Trees</t>
  </si>
  <si>
    <t>4a02ea48-d391-4a1f-af82-a66a31dccb73</t>
  </si>
  <si>
    <t>Final Mistake</t>
  </si>
  <si>
    <t>b7326daa-e159-43f2-bb23-af98316e4698</t>
  </si>
  <si>
    <t>Entombed</t>
  </si>
  <si>
    <t>712542a8-a8ee-438c-957c-b461e0aa7467</t>
  </si>
  <si>
    <t>A Tear in Time</t>
  </si>
  <si>
    <t>7d3e98bb-b186-43a4-8e35-f5d369cd2f09</t>
  </si>
  <si>
    <t>Lost in Time</t>
  </si>
  <si>
    <t>6d4b1487-e67b-44b9-97a3-0691039ef958</t>
  </si>
  <si>
    <t>Ill Omen</t>
  </si>
  <si>
    <t>Omen. Terror.</t>
  </si>
  <si>
    <t>c5645847-3aba-4c61-9afe-52367226f9c0</t>
  </si>
  <si>
    <t>Ancestral Fear</t>
  </si>
  <si>
    <t>13aff50c-dfa0-4058-a1f3-a3a79c191b74</t>
  </si>
  <si>
    <t>Deep Dark</t>
  </si>
  <si>
    <t>03096321-bfc0-457f-8026-6b37a8b7d7ff</t>
  </si>
  <si>
    <t>Brotherhood Cultist</t>
  </si>
  <si>
    <t>b631d81d-7794-48ba-894e-f1fcc5bc2ca4</t>
  </si>
  <si>
    <t>Shadowed</t>
  </si>
  <si>
    <t>bc5708bc-2e93-4840-9617-eb35944fe2f7</t>
  </si>
  <si>
    <t>Words of Power</t>
  </si>
  <si>
    <t>fc9f9748-abfc-4765-934f-35e34aaf4e18</t>
  </si>
  <si>
    <t>Fang of Yig</t>
  </si>
  <si>
    <t>51fa25ad-358e-4511-a25f-a72eab8f4264</t>
  </si>
  <si>
    <t>Snakescourge</t>
  </si>
  <si>
    <t>5836ef11-4edb-475d-ab6b-b6b8157a3fde</t>
  </si>
  <si>
    <t>Serpent's Call</t>
  </si>
  <si>
    <t>525eb456-3976-4c7b-bcbc-e8d29ead83f9</t>
  </si>
  <si>
    <t>Creeping Poison</t>
  </si>
  <si>
    <t>Poison.</t>
  </si>
  <si>
    <t>826a83fd-9a59-4442-b934-6f961d9fbbbd</t>
  </si>
  <si>
    <t>Poisoned</t>
  </si>
  <si>
    <t>fb6bbfb1-0c04-412c-a9b4-1b4a462e95c6</t>
  </si>
  <si>
    <t>96d35233-c22d-4b08-bbee-7f84653e3324</t>
  </si>
  <si>
    <t>35fef8cd-8587-407e-9969-8ecba125e789</t>
  </si>
  <si>
    <t>2ef5d961-268e-4b01-97fa-f37c6b20457b</t>
  </si>
  <si>
    <t>37f44722-2c91-4157-b4cc-f77cd8efce04</t>
  </si>
  <si>
    <t>The Forgotten Age</t>
  </si>
  <si>
    <t>TFA</t>
  </si>
  <si>
    <t>6802cf85-16d4-4b5c-8ab4-14c9e774e441</t>
  </si>
  <si>
    <t>16bd514e-f177-4295-9f27-cb80f437af47</t>
  </si>
  <si>
    <t>AQ</t>
  </si>
  <si>
    <t>Scene of the Crime</t>
  </si>
  <si>
    <t>Insight. Bold.</t>
  </si>
  <si>
    <t>932f8e80-96a5-4e69-85a0-35b5b86927f6</t>
  </si>
  <si>
    <t>Marksmanship</t>
  </si>
  <si>
    <t>8cc2d9c7-68be-4c2e-ac73-255a2cef591b</t>
  </si>
  <si>
    <t>Persuasion</t>
  </si>
  <si>
    <t>fb699136-e5ee-442c-9c02-95e377190aa9</t>
  </si>
  <si>
    <t>Shrewd Analysis</t>
  </si>
  <si>
    <t>7c6aa8c3-705b-4a93-a1a5-7dc0975cba7e</t>
  </si>
  <si>
    <t>Lucky Cigarette Case</t>
  </si>
  <si>
    <t>ι After you succeed at a skill test by 2 or more, exhaust Lucky Cigarette Case: Draw 1 card.</t>
  </si>
  <si>
    <t>85fa1c83-ba81-4786-808a-fb38a92c4726</t>
  </si>
  <si>
    <t>Fence</t>
  </si>
  <si>
    <t>Connection. Illicit.</t>
  </si>
  <si>
    <t>0c55f421-9614-420e-b9e1-1b6a45ccf54f</t>
  </si>
  <si>
    <t>Arcane Research</t>
  </si>
  <si>
    <t>410909a0-d960-43ff-8cc1-b92c69b52c08</t>
  </si>
  <si>
    <t>Counterspell</t>
  </si>
  <si>
    <t>Spell. Blessed.</t>
  </si>
  <si>
    <t>edf0ac36-d2d1-4c12-9635-177e3f7e2d3e</t>
  </si>
  <si>
    <t>Perseverance</t>
  </si>
  <si>
    <t>f7b0af4f-1d4c-43b3-bd58-4e343090d774</t>
  </si>
  <si>
    <t>Stunning Blow</t>
  </si>
  <si>
    <t>If this skill test is successful during an attack, automatically evade the attacked enemy.</t>
  </si>
  <si>
    <t>3e01c1d4-8e5c-472b-b803-357c6474ca01</t>
  </si>
  <si>
    <t>Threads of Fate</t>
  </si>
  <si>
    <t>c4993b69-869c-454a-9bba-9cc7eb6f884a</t>
  </si>
  <si>
    <t>Three Fates</t>
  </si>
  <si>
    <t>816fe8c3-f374-4fe1-add3-f7acad18e294</t>
  </si>
  <si>
    <t>Behind the Curtain</t>
  </si>
  <si>
    <t>d2e20ace-26f5-4a59-b8a6-655a18dcfdc1</t>
  </si>
  <si>
    <t>Hidden Entanglements</t>
  </si>
  <si>
    <t>Each surviving investigator is defeated and suffers 1 mental trauma.</t>
  </si>
  <si>
    <t>896613e6-b4a2-488a-8460-929df1a72bf4</t>
  </si>
  <si>
    <t>The Relic Is Missing!</t>
  </si>
  <si>
    <t>Eztli Exhibit</t>
  </si>
  <si>
    <t>c8d55c59-96cd-438b-afaa-366bfe19730c</t>
  </si>
  <si>
    <t>Harlan Is in Danger!</t>
  </si>
  <si>
    <t>Harlan Earnstone</t>
  </si>
  <si>
    <t>Historical Theorist</t>
  </si>
  <si>
    <t>Bystander. Miskatonic.</t>
  </si>
  <si>
    <t>da71f372-8c2b-4616-aae2-008483386f6a</t>
  </si>
  <si>
    <t>At the Exhibit</t>
  </si>
  <si>
    <t>7a519eb0-846d-412d-8d23-bf773ec5b4a3</t>
  </si>
  <si>
    <t>c6b3c676-8d25-46d4-a43c-898324bbd6e0</t>
  </si>
  <si>
    <t>Harlan's Curse</t>
  </si>
  <si>
    <t>d2aff041-a1f8-4b31-a630-651661ac22fc</t>
  </si>
  <si>
    <t>Crazed by the Curse</t>
  </si>
  <si>
    <t>Humanoid. Cursed. Elite.</t>
  </si>
  <si>
    <t>71fc4500-eaf7-43b1-b6b4-165248055cdf</t>
  </si>
  <si>
    <t>Find the Relic</t>
  </si>
  <si>
    <t>aa707a76-33be-4960-9a91-ce58e22b7728</t>
  </si>
  <si>
    <t>Recover the Relic</t>
  </si>
  <si>
    <t>7a75e4c5-445e-4159-925f-957163e47e29</t>
  </si>
  <si>
    <t>Search for Alejandro</t>
  </si>
  <si>
    <t>Henry Deveau</t>
  </si>
  <si>
    <t>Friend of Alejandro</t>
  </si>
  <si>
    <t>1a414a99-25cc-4ec4-8463-c7301a87e6e9</t>
  </si>
  <si>
    <t>Missing Persons</t>
  </si>
  <si>
    <t>Arkham Police Station</t>
  </si>
  <si>
    <t>c18e7c75-2d45-4e81-9df6-2d4a738c0992</t>
  </si>
  <si>
    <t>At the Station</t>
  </si>
  <si>
    <t>10a58a3d-9813-4947-8737-88f77b3e7a9a</t>
  </si>
  <si>
    <t>Train Tracks</t>
  </si>
  <si>
    <t>a5a42d27-9725-4218-b8d3-eccb2523cd7c</t>
  </si>
  <si>
    <t>Friends in High Places</t>
  </si>
  <si>
    <t>4d53700c-093c-40fe-8019-4f88be99fe4e</t>
  </si>
  <si>
    <t>Alejandro's Kidnapper</t>
  </si>
  <si>
    <t>Humanoid. Conspirator. Elite.</t>
  </si>
  <si>
    <t>a67d45ac-5e24-4742-878c-4a5abab74085</t>
  </si>
  <si>
    <t>7dbfd611-3f62-4dca-ad0d-2613b1ce58a7</t>
  </si>
  <si>
    <t>9055bfa1-1073-4150-8106-3a7de023f891</t>
  </si>
  <si>
    <t>Trial of the Huntress</t>
  </si>
  <si>
    <t>Black Cave</t>
  </si>
  <si>
    <t>219d4017-96f6-4196-a72b-18330def361a</t>
  </si>
  <si>
    <t>The Guardian's Inquiry</t>
  </si>
  <si>
    <t>Maria DeSilva</t>
  </si>
  <si>
    <t>Wealthy Patron</t>
  </si>
  <si>
    <t>1e0e7df5-4c67-42e4-b1c6-74f4805da1fd</t>
  </si>
  <si>
    <t>The Cave of Darkness</t>
  </si>
  <si>
    <t>dfd302e9-57ac-44ae-a817-54d195dc167f</t>
  </si>
  <si>
    <t>74372f0c-0743-4e05-a8bc-18502b57c988</t>
  </si>
  <si>
    <t>Strange Relics</t>
  </si>
  <si>
    <t>Knows More Than She Lets On</t>
  </si>
  <si>
    <t>9ce3c434-b63a-42d7-b986-4f502bbd5c52</t>
  </si>
  <si>
    <t>41c0621d-986b-454f-983a-868dc9d21330</t>
  </si>
  <si>
    <t>Strange Occurrences</t>
  </si>
  <si>
    <t>e5189103-fa67-4b13-8d55-673260fa4d8a</t>
  </si>
  <si>
    <t>The Brotherhood Is Revealed</t>
  </si>
  <si>
    <t>9c3d252b-4623-4e0c-b5eb-03a2a39b0186</t>
  </si>
  <si>
    <t>Velma's Diner</t>
  </si>
  <si>
    <t>f6286165-890e-4c38-9524-0636de3905ac</t>
  </si>
  <si>
    <t>Curiositie Shoppe</t>
  </si>
  <si>
    <t>Northside is connected to Curiositie Shoppe.</t>
  </si>
  <si>
    <t>06176be8-6bd0-4a8a-b2f4-fd8989f41647</t>
  </si>
  <si>
    <t>Town Hall</t>
  </si>
  <si>
    <t>Downtown is connected to Town Hall.</t>
  </si>
  <si>
    <t>d77ea283-6e6d-4991-8e3b-bb4b484dc3f9</t>
  </si>
  <si>
    <t>The Secret Must Be Kept</t>
  </si>
  <si>
    <t>57116f0c-4e7e-42a1-b461-dbad526a4c72</t>
  </si>
  <si>
    <t>Nobody's Home</t>
  </si>
  <si>
    <t>Mystery.</t>
  </si>
  <si>
    <t>1e47bdde-2704-4e41-aaa9-c589dec0cc34</t>
  </si>
  <si>
    <t>Conspiracy of Blood</t>
  </si>
  <si>
    <t>63aa6903-867f-4e4a-ae99-0b0bbff20634</t>
  </si>
  <si>
    <t>Ally. Eztli. Wayfarer.</t>
  </si>
  <si>
    <t>9e8742ef-347d-4191-9501-f952b2ddd871</t>
  </si>
  <si>
    <t>Expedition Journal</t>
  </si>
  <si>
    <t>You may take an additional action during your turn, which can only be used to explore.</t>
  </si>
  <si>
    <t>TOF</t>
  </si>
  <si>
    <t>DCA</t>
  </si>
  <si>
    <t>4268e2be-76e4-4bf0-8029-1dd985c64046</t>
  </si>
  <si>
    <t>1adcc0b9-6bf5-4bc9-9918-50dfaa63ee87</t>
  </si>
  <si>
    <t>AR</t>
  </si>
  <si>
    <t>0629a6bc-0a71-4b52-b83b-9a1929fff050</t>
  </si>
  <si>
    <t>Choose either your location or a connecting location. Deal 3 damage to each enemy and to each investigator at the chosen location. This action does not provoke attacks of opportunity.</t>
  </si>
  <si>
    <t>067a324a-390e-425b-ac8a-6af92e273245</t>
  </si>
  <si>
    <t>16fa746a-97c0-463b-92bf-161daec2fad4</t>
  </si>
  <si>
    <t>06ca5c79-9a97-4169-a5ed-0178d2fd7c83</t>
  </si>
  <si>
    <t>953123c5-4c6c-420c-b801-7df40d6b6d56</t>
  </si>
  <si>
    <t>ea5e88b7-4553-49f0-9e74-8b4c35c38c9c</t>
  </si>
  <si>
    <t>39880fb2-a13c-4cb1-a67a-2bc1baa3def4</t>
  </si>
  <si>
    <t>450ee5ca-c143-4770-992f-030b38fb7f00</t>
  </si>
  <si>
    <t>fe813717-c347-4052-b20c-3f7b11617b23</t>
  </si>
  <si>
    <t>348b18f3-7de3-487b-89ea-c2aff969758e</t>
  </si>
  <si>
    <t>Return to The Gathering</t>
  </si>
  <si>
    <t>fb1b854b-b027-4d05-ab6f-c861110f06c7</t>
  </si>
  <si>
    <t>Mysterious Gateway</t>
  </si>
  <si>
    <t>Objective - Only investigators in the Guest Hall may spend the requisite number of clues, as a group, to advance.</t>
  </si>
  <si>
    <t>Breaking the Wall</t>
  </si>
  <si>
    <t>Put into play the set-aside Hole in the Wall location.
Choose an investigator in the Guest Hall. The chosen investigator immediately moves into the Hole in the Wall and reveals it. Then, he or she must test ά (4). For each point that investigator fails by, he or she must discard a random card from his or her hand.</t>
  </si>
  <si>
    <t>7219b004-6c68-41f1-8655-676acaa5f97e</t>
  </si>
  <si>
    <t>Aberrant Gateway</t>
  </si>
  <si>
    <t>75defe19-b92c-4532-ae60-f0eafc33d70d</t>
  </si>
  <si>
    <t>Guest Hall</t>
  </si>
  <si>
    <t>Investigators in this location cannot take draw actions.</t>
  </si>
  <si>
    <t>5aff163d-84b7-45c3-b504-b62f4da591c6</t>
  </si>
  <si>
    <t>Bedroom</t>
  </si>
  <si>
    <t>c9d0339a-9289-4a86-8876-634725d3b293</t>
  </si>
  <si>
    <t>Bathroom</t>
  </si>
  <si>
    <t>8db65b5a-eb09-4034-9dc8-dd108852047b</t>
  </si>
  <si>
    <t>Hole in the Wall</t>
  </si>
  <si>
    <t>29d5549f-ecca-4f23-8da1-6d9cbddae746</t>
  </si>
  <si>
    <t>6697716b-1ee1-4bef-9736-3700f7c48678</t>
  </si>
  <si>
    <t>Far Above Your House</t>
  </si>
  <si>
    <t>bae88f2a-456b-4822-a9cc-961c2b20d61f</t>
  </si>
  <si>
    <t>Field of Graves</t>
  </si>
  <si>
    <t>560d50f2-aa92-44fa-9ea9-2657b7a12468</t>
  </si>
  <si>
    <t>Deep Below Your House</t>
  </si>
  <si>
    <t>Ghoul Pits</t>
  </si>
  <si>
    <t>23361475-086f-491b-b649-c616a96ef554</t>
  </si>
  <si>
    <t>452a12c3-b50c-44e6-b760-7dcc723c4750</t>
  </si>
  <si>
    <t>Ghoul from the Depths</t>
  </si>
  <si>
    <t>82b3b9f5-0f00-424a-829d-27e673528b3c</t>
  </si>
  <si>
    <t>The Zealot's Seal</t>
  </si>
  <si>
    <t>Revelation - Each investigator with 3 or fewer cards in hand must take 1 damage and 1 horror. Each investigator with 4 or more cards in hand tests ά (2). Each investigator who fails must discard 2 cards at random from his or her hand.</t>
  </si>
  <si>
    <t>f81bfa10-12e0-45ca-9f65-1f52090277f6</t>
  </si>
  <si>
    <t>Return to The Midnight Masks</t>
  </si>
  <si>
    <t>88bddeac-9738-45c5-b8d1-a80aa0526af3</t>
  </si>
  <si>
    <t>Narôgath</t>
  </si>
  <si>
    <t>The Charnel Lord</t>
  </si>
  <si>
    <t>044fef90-d736-4096-bdd9-9690686cc3fc</t>
  </si>
  <si>
    <t>Easttown</t>
  </si>
  <si>
    <t>d586b6ec-bf06-4f75-a75b-e072dc00b17f</t>
  </si>
  <si>
    <t>fdf83f91-9221-4969-86f8-7a00f2db4c57</t>
  </si>
  <si>
    <t>η Take 2 horror: Gain 1 clue from the token pool. (Limit once per game.)</t>
  </si>
  <si>
    <t>1b559c70-1531-43e2-b228-a194eccfdab6</t>
  </si>
  <si>
    <t>11c05026-4172-4726-9912-aa3f38826335</t>
  </si>
  <si>
    <t>Masked Horrors</t>
  </si>
  <si>
    <t>Power. Scheme.</t>
  </si>
  <si>
    <t>d5cfae27-f999-4a39-846b-90badc9c5224</t>
  </si>
  <si>
    <t>Return to The Devourer Below</t>
  </si>
  <si>
    <t>Vault of Earthly Demise</t>
  </si>
  <si>
    <t>Eldritch. Otherworld.</t>
  </si>
  <si>
    <t>3595d549-8f11-45d3-a4fd-6459e49e86c7</t>
  </si>
  <si>
    <t>6acc6ff2-3090-4ac8-9b77-72d27b858ca6</t>
  </si>
  <si>
    <t>f2c23f02-f085-4d59-939a-aafe534c82d2</t>
  </si>
  <si>
    <t>Each enemy at this location cannot take more than 1 damage from each attack performed against it.</t>
  </si>
  <si>
    <t>b2dbfd62-653e-4488-a3e7-413af8103ca0</t>
  </si>
  <si>
    <t>5e0ae575-24d3-439c-bfbe-4a74a1869b2d</t>
  </si>
  <si>
    <t>09cbf4b7-0112-49e1-86a5-62b655c433b5</t>
  </si>
  <si>
    <t>Ghouls of Umôrdhoth</t>
  </si>
  <si>
    <t>Grave-Eater</t>
  </si>
  <si>
    <t>49146909-d31f-4110-90f7-c75da63c9bfc</t>
  </si>
  <si>
    <t>Acolyte of Umôrdhoth</t>
  </si>
  <si>
    <t>4b84112d-91ca-4c27-aecd-f1f4953ac7ae</t>
  </si>
  <si>
    <t>Chill from Below</t>
  </si>
  <si>
    <t>9b005319-813a-4dfb-91a3-6a2ed4ec7ddb</t>
  </si>
  <si>
    <t>The Devourer’s Cult</t>
  </si>
  <si>
    <t>Disciple of the Devourer</t>
  </si>
  <si>
    <t>fdcf1086-a86d-4542-bd7a-572a5f2b6058</t>
  </si>
  <si>
    <t>Corpse-Taker</t>
  </si>
  <si>
    <t>96df8c6f-d47f-4d9b-ac14-89226ad948f2</t>
  </si>
  <si>
    <t>Mask of Umôrdhoth</t>
  </si>
  <si>
    <t>18006f11-385d-4557-bd62-2db39fe64af7</t>
  </si>
  <si>
    <t>Cult of Umôrdhoth</t>
  </si>
  <si>
    <t>Jeremiah Pierce</t>
  </si>
  <si>
    <t>9a76a809-4675-40bf-b161-423a3c5dcc82</t>
  </si>
  <si>
    <t>Billy Cooper</t>
  </si>
  <si>
    <t>386b3309-1666-4955-933f-0f011b7174a8</t>
  </si>
  <si>
    <t>Alma Hill</t>
  </si>
  <si>
    <t>RTNOTZ</t>
  </si>
  <si>
    <t>Return to The Night of the Zealot</t>
  </si>
  <si>
    <t>ι Before you draw your opening hand: Search your deck for up to 3 different Tactic and/or Supply events, and attach them to Stick to the Plan. Shuffle your deck._x000D_
Cards attached to Stick to the Plan may be played as if they were in your hand. As an additional cost to play an attached card, exhaust Stick to the Plan.</t>
  </si>
  <si>
    <t>10a765a1-a323-437d-8a8f-9dfeef09b426</t>
  </si>
  <si>
    <t>The Boundary Beyond</t>
  </si>
  <si>
    <t>TBB</t>
  </si>
  <si>
    <t>e5044f0b-9e24-4c98-ac13-79d10eb3c45a</t>
  </si>
  <si>
    <t>AS</t>
  </si>
  <si>
    <t>Second Wind</t>
  </si>
  <si>
    <t>d2f67985-7def-4886-b4e5-9183a78dd8cd</t>
  </si>
  <si>
    <t>Take the Initiative</t>
  </si>
  <si>
    <t>Practiced. Bold.</t>
  </si>
  <si>
    <t>5d4347f5-1e07-4900-8428-4a88d9b77b25</t>
  </si>
  <si>
    <t>Well Prepared</t>
  </si>
  <si>
    <t>θ Exhaust Well Prepared: Choose an asset you control. You get +X skill value for this skill test, where X is the number of matching skill icons on the chosen asset.</t>
  </si>
  <si>
    <t>f9600223-114b-4853-84f3-48efa657c634</t>
  </si>
  <si>
    <t>Truth from Fiction</t>
  </si>
  <si>
    <t>306883d5-9ec5-49ca-8d2d-d9369ccf0bf4</t>
  </si>
  <si>
    <t>True Understanding</t>
  </si>
  <si>
    <t>b52b322f-782c-4e04-9c09-6c633bdc351e</t>
  </si>
  <si>
    <t>Quick Study</t>
  </si>
  <si>
    <t>θ Place 1 of your clues on your location and exhaust Quick Study: You get +3 skill value for this skill test.</t>
  </si>
  <si>
    <t>2c6b6e02-a97f-421e-939b-dbe01426bc50</t>
  </si>
  <si>
    <t>Hatchet Man</t>
  </si>
  <si>
    <t>If this skill test is successful during an evasion attempt, the next time the evaded enemy takes damage this turn, deal it 1 additional damage.</t>
  </si>
  <si>
    <t>73c4faa7-28cb-4bd3-be6f-f24e6e252365</t>
  </si>
  <si>
    <t>θ Spend 3 resources and exhaust High Roller: You get +2 skill value for this skill test. If you succeed, gain 3 resources.</t>
  </si>
  <si>
    <t>177c2fc8-6030-4d30-a4f4-00800022aad8</t>
  </si>
  <si>
    <t>Enraptured</t>
  </si>
  <si>
    <t>If this skill test is successful during an investigation, place 1 charge or secret on an asset you control.</t>
  </si>
  <si>
    <t>08f37015-43b5-4f19-88eb-900ff10b3a23</t>
  </si>
  <si>
    <t>Recall the Future</t>
  </si>
  <si>
    <t>Augury. Ritual.</t>
  </si>
  <si>
    <t>ι When a skill test you are performing begins, if Recall the Future is ready, name a chaos token: If the named chaos token is revealed during this skill test, exhaust Recall the Future. Then, you get +2 skill value for this skill test.</t>
  </si>
  <si>
    <t>9d82990a-3820-4f25-b954-13f47a777716</t>
  </si>
  <si>
    <t>fc049955-2745-4d62-9ab4-8c3f1097cf6e</t>
  </si>
  <si>
    <t>Cornered</t>
  </si>
  <si>
    <t>θ Discard 1 card from your hand: You get +2 skill value for this skill test. (Limit once per test.)</t>
  </si>
  <si>
    <t>10d7ffc2-11ee-4e1a-9353-c64e9ad9a245</t>
  </si>
  <si>
    <t>3d3fd4fe-bfce-41ff-bcb3-9c8a258ad564</t>
  </si>
  <si>
    <t>The Boundary, Broken</t>
  </si>
  <si>
    <t>ef661a14-2bb8-48b0-bf3c-feaf352409ab</t>
  </si>
  <si>
    <t>The Barrier Is Thin</t>
  </si>
  <si>
    <t>Find each [[Tenochtitlán]] location in play with no clues on it. Add those locations to the victory display. Then, for each [[Present-Day]] location in play, search the exploration deck for a location with a matching location symbol in the upper-left corner and place it on top of that location, taking its place._x000D_
Each investigator loses each of his or her clues._x000D_
Spawn the set-aside Padma Amrita enemy in Templo Mayor._x000D_
Remove the current act deck from the game. Put the set-aside act 3a and agenda 3a into play as the current act and agenda.</t>
  </si>
  <si>
    <t>6576bdd0-ef2b-4618-885c-e57e9eea8d12</t>
  </si>
  <si>
    <t>Time Collapsing</t>
  </si>
  <si>
    <t>5bcc94c1-3e46-4c92-b49c-5c5f906b7c93</t>
  </si>
  <si>
    <t>Crossing the Threshold</t>
  </si>
  <si>
    <t>Objective - After the first [[Tenochtitlán]] location enters play by exploring successfully, advance.</t>
  </si>
  <si>
    <t>The investigator who just put a [[Tenochtitlán]] location into play by exploring successfully must test ά (4). If he or she fails, he or she must search the collection for a random basic [[Madness]] or [[Injury]] weakness and shuffle it into his or her deck._x000D_
(Note: Be aware that location connections are different on [[Tenochtitlán]] locations.)</t>
  </si>
  <si>
    <t>ee2ad72d-9dbb-4601-aa61-7920214dd760</t>
  </si>
  <si>
    <t>Past and Present</t>
  </si>
  <si>
    <t>Objective - Find paths to the Nexus by discovering all of the clues from as many different [[Tenochtitlán]] locations as you can before time runs out. If there are 6 [[Tenochtitlán]] locations in play with no clues on them, advance.</t>
  </si>
  <si>
    <t>Add each [[Tenochtitlán]] location in play to the victory display. Then, for each [[Present-Day]] location in play, search the exploration deck for a location with a matching location symbol in the upper-left corner and place it on top of that location, taking its place._x000D_
Each investigator loses each of his or her clues._x000D_
Spawn the set-aside Padma Amrita enemy in Templo Mayor._x000D_
Remove the current agenda deck from the game. Put the set-aside act 3a and agenda 3a into play as the current act and agenda.</t>
  </si>
  <si>
    <t>7d505495-a311-4e22-a1cc-c9617f00d241</t>
  </si>
  <si>
    <t>The Return Trip</t>
  </si>
  <si>
    <t>Objective - If Padma Amrita is defeated, advance._x000D_
Objective - If investigators in Templo Mayor spend the requisite number of clues, advance.</t>
  </si>
  <si>
    <t>0cc02a27-d77d-418b-a42e-0bd84cf3b841</t>
  </si>
  <si>
    <t>Temple Ruins</t>
  </si>
  <si>
    <t>Mexico City. Present-Day.</t>
  </si>
  <si>
    <t>η η: Explore. Draw the top card of the exploration deck. If it is a location with a matching location symbol in the upper-left corner, place it on top of this location, taking its place.</t>
  </si>
  <si>
    <t>f4918778-ed40-4144-94d2-db13495da686</t>
  </si>
  <si>
    <t>Metropolitan Cathedral</t>
  </si>
  <si>
    <t>η Take 1 horror: Draw 2 cards._x000D_
η If you have 6 or more cards in your hand: Explore. Draw the top card of the exploration deck. If it is a location with a matching location symbol in the upper-left corner, place it on top of this location, taking its place.</t>
  </si>
  <si>
    <t>2a2417e0-13f5-4bd2-b86d-72573795e801</t>
  </si>
  <si>
    <t>Chapultepec Park</t>
  </si>
  <si>
    <t>Forced - After you fail a ά test while at Chapultepec Park: Take 1 horror._x000D_
η: Explore. Test ά (3). If you succeed, draw the top card of the exploration deck. If it is a location with a matching location symbol in the upper-left corner, place it on top of this location, taking its place.</t>
  </si>
  <si>
    <t>fa1be958-7a53-4da6-ad67-4b6310296f87</t>
  </si>
  <si>
    <t>Zócalo</t>
  </si>
  <si>
    <t>η Discard cards with a total combined cost of at least 5 from your hand: Explore. Draw the top card of the exploration deck. If it is a location with a matching location symbol in the upper-left corner, place it on top of this location, taking its place.</t>
  </si>
  <si>
    <t>0130f5b9-b52a-4633-b8bd-bf0d8d48d9e0</t>
  </si>
  <si>
    <t>Xochimilco</t>
  </si>
  <si>
    <t>While you are at Xochimilco, you cannot gain resources._x000D_
η Spend 3 resources: Explore. Draw the top card of the exploration deck. If it is a location with a matching location symbol in the upper-left corner, place it on top of this location, taking its place.</t>
  </si>
  <si>
    <t>9edefb21-d770-40d1-89d7-268ce6d68f66</t>
  </si>
  <si>
    <t>Coyoacán</t>
  </si>
  <si>
    <t>η Take 1 damage or 1 horror: Explore. Draw the top card of the exploration deck. If it is a location with a matching location symbol in the upper-left corner, place it on top of this location, taking its place.</t>
  </si>
  <si>
    <t>bb0049f0-7c38-46d3-91ec-9554eb5fa179</t>
  </si>
  <si>
    <t>Templo Mayor</t>
  </si>
  <si>
    <t>Ancient. Tenochtitlán.</t>
  </si>
  <si>
    <t>Forced - After Templo Mayor enters play: Shuffle the encounter discard pile into the encounter deck. Discard cards from the top of the encounter deck until a [[Serpent]] enemy is discarded. Spawn that enemy here._x000D_
ι After you defeat or evade a [[Serpent]] enemy at this location: Discover 1 clue at this location. (Group limit once per phase.)</t>
  </si>
  <si>
    <t>3e11f271-4b3e-4c62-9b94-023e6d03e415</t>
  </si>
  <si>
    <t>Forced - After Templo Mayor enters play: Shuffle your discard pile into your deck. Discard cards from the top of your deck until a weakness is discarded. Draw that weakness._x000D_
η Shuffle a weakness from your discard pile into your deck: Discover 2 clues at this location. (Group limit once per round.)</t>
  </si>
  <si>
    <t>66095a11-4d8f-47e2-bcbf-cf11235038b0</t>
  </si>
  <si>
    <t>Temples of Tenochtitlán</t>
  </si>
  <si>
    <t>Forced - After Temples of Tenochtitlán enters play: Each investigator at this location takes 1 direct damage._x000D_
While you are investigating Temples of Tenochtitlán, if you have 3 or fewer remaining health, Temples of Tenochtitlán gets -2 shroud.</t>
  </si>
  <si>
    <t>50281769-5fe9-41d0-a355-90857a821e2e</t>
  </si>
  <si>
    <t>Forced - After Temples of Tenochtitlán enters play: Place 1 doom on the nearest enemy._x000D_
η Place 1 doom on an enemy: Discover 2 clues at this location. (Group limit once per round.)</t>
  </si>
  <si>
    <t>1845b147-b9a2-4f8c-91f3-d9673eadeddc</t>
  </si>
  <si>
    <t>Chapultepec Hill</t>
  </si>
  <si>
    <t>Forced - After Chapultepec Hill enters play: Each investigator at this location discards 2 random cards from his or her hand._x000D_
η Discard your hand of at least 3 cards: Discover 2 clues at this location. (Group limit once per round.)</t>
  </si>
  <si>
    <t>20883941-4b9b-451e-85ed-addb50eaeab9</t>
  </si>
  <si>
    <t>Each investigator at Chapultepec Hill gets -2 ά._x000D_
ι After you draw a [[Hex]] card: Discover 1 clue at this location. (Group limit once per phase.)</t>
  </si>
  <si>
    <t>04a6bbcb-9ac2-4df3-a3a7-0715042cf9fd</t>
  </si>
  <si>
    <t>Canals of Tenochtitlán</t>
  </si>
  <si>
    <t>Each enemy at Canals of Tenochtitlán gets +2 evade._x000D_
While there is an exhausted enemy at Canals of Tenochtitlán, it gets -3 shroud.</t>
  </si>
  <si>
    <t>f25f276b-96cb-4a26-89fa-f208791f021e</t>
  </si>
  <si>
    <t>Forced - After Canals of Tenochtitlán enters play: Place 4 resources on it._x000D_
Canals of Tenochtitlán gets +1 shroud for each resource on it._x000D_
Forced - At the end of the round: Discard 1 resource from Canals of Tenochtitlán.</t>
  </si>
  <si>
    <t>5068a7ae-dc6b-48c1-b93b-7eff6e1a31e2</t>
  </si>
  <si>
    <t>Lake Xochimilco</t>
  </si>
  <si>
    <t>Forced - After Lake Xochimilco enters play: Each investigator at this location loses all of his or her remaining actions._x000D_
While you are investigating Lake Xochimilco, it gets +2 shroud for each action you have remaining.</t>
  </si>
  <si>
    <t>5567c210-8e7f-4946-88d2-2bcb81968e8e</t>
  </si>
  <si>
    <t>Forced - After Lake Xochimilco enters play: Each investigator at this location takes 1 direct horror._x000D_
While you are investigating Lake Xochimilco, if you have 3 or fewer remaining sanity, Lake Xochimilco gets -2 shroud.</t>
  </si>
  <si>
    <t>6ec0c6be-83f2-4b98-9fdf-7105fdcf6797</t>
  </si>
  <si>
    <t>Sacred Woods</t>
  </si>
  <si>
    <t>Forced - After Sacred Woods enters play: Each investigator at this location discards the top 10 cards of his or her deck._x000D_
η If you have no cards remaining in your deck: Discover all of the clues at Sacred Woods.</t>
  </si>
  <si>
    <t>58e10649-fe3b-4913-ac57-e5387f6dfbeb</t>
  </si>
  <si>
    <t>While you are at Sacred Woods, increase the cost of each card you play by 2._x000D_
While you are investigating Sacred Woods, it gets -1 shroud for each asset you control.</t>
  </si>
  <si>
    <t>23842e82-18ea-4a61-8c58-0436fc725e31</t>
  </si>
  <si>
    <t>Padma Amrita</t>
  </si>
  <si>
    <t>Cold-Blooded Charmer</t>
  </si>
  <si>
    <t>Humanoid. Serpent. Servitor. Elite.</t>
  </si>
  <si>
    <t>be92e541-6197-46cc-9a1d-e46aa37a20ed</t>
  </si>
  <si>
    <t>Serpent of Tenochtitlán</t>
  </si>
  <si>
    <t>217c55b0-246d-4d1a-b3b4-9247d801361b</t>
  </si>
  <si>
    <t>Hand of the Brotherhood</t>
  </si>
  <si>
    <t>Spawn - Any empty location._x000D_
Forced - After the last clue is discovered from an [[Ancient]] location, if Hand of the Brotherhood is ready: Place 1 doom on Hand of the Brotherhood._x000D_
While Hand of the Brotherhood is ready, η and ι abilities on its location and connecting locations cannot be triggered.</t>
  </si>
  <si>
    <t>4126d465-1d9f-4c17-9deb-53e5f9c155ec</t>
  </si>
  <si>
    <t>Window to Another Time</t>
  </si>
  <si>
    <t>Peril._x000D_
Revelation - You must decide (choose one): _x000D_
- Choose and shuffle an [[Ancient]] location back into the exploration deck (the [[Present-Day]] location underneath it takes its place)._x000D_
- Place 1 doom on the current agenda (this effect can cause the current agenda to advance).</t>
  </si>
  <si>
    <t>d4831e98-6970-4555-b926-35baba48e738</t>
  </si>
  <si>
    <t>Timeline Destabilization</t>
  </si>
  <si>
    <t>Revelation - Test ά (1). This test gets +1 difficulty for each [[Ancient]] location in play. If you fail, take 1 damage and 1 horror, and shuffle Timeline Destabilization into the exploration deck.</t>
  </si>
  <si>
    <t>934e9a43-c350-4a2d-9376-6a38a0a396a7</t>
  </si>
  <si>
    <t>Forestalling the Future</t>
  </si>
  <si>
    <t>θ Exhaust Relic of Ages: Test ά or έ (4). If you succeed, remove 1 doom from the current agenda. If you fail, add 1 doom to Relic of Ages. (Max one success per game.)</t>
  </si>
  <si>
    <t>ι After your turn begins: Play an [[Ally]] asset, reducing its cost by 1._x000D_
ε effect: +2. Search the top 3 cards of your deck for an [[Ally]] asset and draw it. Shuffle your deck.</t>
  </si>
  <si>
    <t>Deck Size: 30._x000D_
Deckbuilding Options: Guardian cards (κ) level 0-5, Rogue cards (ν) level 0-2, Neutral cards level 0-5._x000D_
Deckbuilding Requirements (do not count towards deck size): Mitch Brown, Bought in Blood, 1 random basic weakness.</t>
  </si>
  <si>
    <t>ι After you move to a location: Take an investigate action. (Limit once per round.)_x000D_
ε effect: +1. After this test ends, you may move to a connecting location.</t>
  </si>
  <si>
    <t>Deck Size: 30._x000D_
Deckbuilding Options: Seeker cards (λ) level 0-5, [[Relic]] cards level 0-4, Neutral cards level 0-5._x000D_
Deckbuilding Requirements (do not count towards deck size): Jake Williams, Call of the Unknown, 1 random basic weakness.</t>
  </si>
  <si>
    <t>You may take an additional action during your turn, which can only be used to evade._x000D_
ε effect: +1 for each exhausted enemy in play. If you succeed by 2 or more, you may discover 1 clue at your location.</t>
  </si>
  <si>
    <t>Deck Size: 30._x000D_
Deckbuilding Options: [[Illicit]] cards level 0-5, Rogue cards (ν) level 0-3, Neutral cards level 0-5, up to five other level 0 Seeker and/or Survivor cards (λ and/or ξ)._x000D_
Deckbuilding Requirements (do not count towards deck size): Smuggled Goods, Finn's Trusty .38, Caught Red-handed, 1 random basic weakness.</t>
  </si>
  <si>
    <t>ι After an investigator reveals an ζ chaos token: Cancel that token and treat it as an ε token, instead. (Limit once per game.)_x000D_
ε effect: You automatically succeed. After this test ends, either (choose one):_x000D_
 - Draw 1 card and gain 1 resource._x000D_
 - If it is your turn, you may take an additional action this turn.</t>
  </si>
  <si>
    <t>Deck size: 30._x000D_
Deckbuilding options: Mystic cards (μ) level 0-5, [[Blessed]] cards level 0-3, Neutral cards level 0-5._x000D_
Deckbuilding requirements (do not count toward deck size): The Codex of Ages, Serpents of Yig, 1 random basic weakness._x000D_
Bonus Experience: You begin the campaign with 5 additional experience (does not affect the number of weaknesses you must take in Standalone Mode).</t>
  </si>
  <si>
    <t>You get +1 ά and +1 έ for each horror on you._x000D_
You get +1 ή and +1 ί for each damage on you._x000D_
ε effect: +0. You may either heal 1 damage or horror, or take 1 direct damage or direct horror.</t>
  </si>
  <si>
    <t>Deck size: 30._x000D_
Deckbuilding options: Survivor cards (ξ) level 0-5, [[Spirit]] cards level 0-3, Neutral cards level 0-5._x000D_
Deckbuilding requirements (do not count toward deck size): Until the End of Time, Voice of the Messenger, 1 random basic weakness.</t>
  </si>
  <si>
    <t>Mitch Brown</t>
  </si>
  <si>
    <t>Leo Anderson deck only._x000D_
You have 2 additional ally slots, which can only be used to hold non-unique allies.</t>
  </si>
  <si>
    <t>Revelation - You must either discard an [[Ally]] asset you control from play, or discard each [[Ally]] asset from your hand. If no assets are discarded by this effect, shuffle Bought in Blood back into your deck.</t>
  </si>
  <si>
    <t>Ursula Downs deck only._x000D_
The first move or investigate action you perform each turn does not provoke attacks of opportunity._x000D_
ι After you reveal a location or put a new location into play, exhaust Jake Williams: Draw 1 card.</t>
  </si>
  <si>
    <t>Revelation - Put Call of the Unknown into play in your threat area._x000D_
Forced - At the beginning of your turn: Choose a location other than your location. When your turn ends, if you did not successfully investigate the chosen location this turn, take 2 horror and shuffle Call of the Unknown back into your deck.</t>
  </si>
  <si>
    <t>Finn Edwards deck only._x000D_
Play only if there are no ready enemies at your location._x000D_
Search either your discard pile or the top 9 cards of your deck for an [[Illicit]] card and draw it. If you searched your deck, shuffle Smuggled Goods into your deck.</t>
  </si>
  <si>
    <t>Never Leave Home Without It</t>
  </si>
  <si>
    <t>Finn Edwards deck only. Fast. Uses (3 ammo)._x000D_
η Spend 1 ammo: Fight. You get +2 ή for this attack. If the attacked enemy is not engaged with you, you deal +1 damage for this attack.</t>
  </si>
  <si>
    <t>Revelation - Ready each enemy at your location or a connecting location. Each hunter enemy at a connecting location moves 1 location toward you. If no enemies move as a result of this effect, shuffle Caught Red-Handed back into your deck.</t>
  </si>
  <si>
    <t>finis omnium nunc est</t>
  </si>
  <si>
    <t>Father Mateo deck only. Seal (ε)._x000D_
You get +1 ά while there is a token sealed here._x000D_
ι When you would reveal a chaos token from the chaos bag, discard The Codex of Ages: Resolve the ε token that was sealed here as if it were just revealed from the chaos bag (instead of revealing a token from the chaos bag).</t>
  </si>
  <si>
    <t>Prey - Father Mateo only._x000D_
Hunter._x000D_
Revelation - Search the chaos bag for the ε chaos token and seal it on Serpents of Yig.</t>
  </si>
  <si>
    <t>Calvin Wright deck only._x000D_
Direct damage and direct horror may be assigned to Until the End of Time.</t>
  </si>
  <si>
    <t>Revelation - You must either (choose one):_x000D_
 - Take 1 direct damage and suffer 1 physical trauma._x000D_
 - Take 1 direct horror and suffer 1 mental trauma.</t>
  </si>
  <si>
    <t>η: Fight. You get +1 ή for this attack._x000D_
ι After an enemy attack deals damage to you during the enemy phase, exhaust Survival Knife: Fight. This attack targets the attacking enemy. You get +2 ή and deal +1 damage for this attack.</t>
  </si>
  <si>
    <t>Uses (3 supplies)._x000D_
θ Spend 1 supply and exhaust Venturer: Place 1 supply or ammo on an asset controlled by an investigator at your location.</t>
  </si>
  <si>
    <t>Fast. Play only during your turn._x000D_
Attach to an [[Ally]] asset you control._x000D_
Attached asset gets +1 health and +1 sanity.</t>
  </si>
  <si>
    <t>Fast. Play only during your turn._x000D_
Attach to an [[Item]] asset you control._x000D_
While resolving a triggered ability on attached asset, you get +1 to each of your skills.</t>
  </si>
  <si>
    <t>ι After Dr. Elli Horowitz enters play: Search the top 9 cards of your deck for a [[Relic]] asset and attach it to her. Shuffle your deck._x000D_
Each [[Relic]] asset attached to Dr. Elli Horowitz does not take up any slots (it is still considered to be in play and under your control).</t>
  </si>
  <si>
    <t>η: Investigate. Your location gets +3 shroud for this investigation. If you succeed, discover 1 additional clue at your location, discard Ancient Stone, and record in your Campaign Log that "you have identified the stone." Next to this, in parentheses, record the difficulty of this skill test.</t>
  </si>
  <si>
    <t>You get +1 ά and +1 ί while resolving an ability on a treachery card._x000D_
ι After you succeed at a skill test while resolving an ability on a treachery card, exhaust Tooth of Eztli: Draw 1 card.</t>
  </si>
  <si>
    <t>Investigate. Choose a λ asset in your hand. The difficulty of this skill test is equal to the chosen asset's printed cost. If you succeed, instead of discovering clues, put the chosen asset into play. If that asset has the [[Relic]] trait, draw 1 card.</t>
  </si>
  <si>
    <t>You get +1 έ._x000D_
Forced - At the end of the upkeep phase: You must either pay 1 resource or discard Treasure Hunter.</t>
  </si>
  <si>
    <t>Uses (0 charges)._x000D_
ι After an investigator, [[Ally]] asset, or enemy at your location is defeated: Place 1 resource (from the token bank) on Decorated Skull, as a charge._x000D_
η Spend 1 charge: Draw 1 card and gain 1 resource.</t>
  </si>
  <si>
    <t>Fast. Play after you draw a non-peril encounter card, but before resolving that card's effects._x000D_
Choose another investigator. That investigator is considered to have drawn that encounter card instead. Gain 1 resource.</t>
  </si>
  <si>
    <t>Uses (4 charges)._x000D_
η Spend 1 charge: Evade. This evasion attempt uses ά instead of ί. If you succeed, after evading the chosen enemy, you may move to a connecting location. If a α, β, γ, δ, or ζ symbol is revealed during this evasion attempt, choose and discard a card from your hand.</t>
  </si>
  <si>
    <t>Seal (α, β, γ, or δ)._x000D_
Forced - After you reveal an ζ symbol during a skill test: Return The Chthonian Stone to your hand.</t>
  </si>
  <si>
    <t>Group limit 2 copies of Protective Incantation in play._x000D_
Seal (any except ζ)._x000D_
Forced - At the end of your turn: You must either spend 1 resource or discard Protective Incantation.</t>
  </si>
  <si>
    <t>Fast. Play when you would reveal a chaos token._x000D_
Reveal 5 chaos tokens instead of 1. Choose one of those tokens with a α, β, γ, δ, or ζ symbol to resolve, and ignore the rest. (If no such token is revealed, choose any one of those tokens to resolve, and ignore the rest.)</t>
  </si>
  <si>
    <t>You may play Improvised Weapon from your discard pile. If you do, shuffle it into your deck after resolving its effects._x000D_
Fight. The attacked enemy gets -1 fight for this attack. (If you played Improvised Weapon from your discard pile, this attack deals +1 damage.)</t>
  </si>
  <si>
    <t>Fast. Play after you fail a skill test by 2 or less during an evasion attempt against a non-[[Elite]] enemy._x000D_
Place that enemy on top of the encounter deck.</t>
  </si>
  <si>
    <t>θ Exhaust Yaotl: During this skill test, you get a bonus to each skill equal to the number of matching skill icons on the top card of your discard pile (not counting ΰ icons)._x000D_
θ: Discard the top card of your deck. (Limit once per turn.)</t>
  </si>
  <si>
    <t>Commit only to a skill test with no other cards committed to it. Other cards cannot be committed to this skill test._x000D_
Last Chance loses ΰ for each card in your hand.</t>
  </si>
  <si>
    <t>ι After Backpack enters play: Search the top 6 cards of your deck for up to 3 non-weakness [[Item]] or [[Supply]] cards, and attach them facedown to Backpack. Shuffle your deck._x000D_
Cards attached to Backpack may be played as if they were in your hand. If there are no cards attached to Backpack, discard it.</t>
  </si>
  <si>
    <t>Pact</t>
  </si>
  <si>
    <t>Campaign Mode only._x000D_
Deal 2 damage to an investigator at your location._x000D_
Forced - When the game ends or you are eliminated, if Dark Pact is still in your hand: Remove Dark Pact from your deck. Search the collection for The Price of Failure and add it to your deck.</t>
  </si>
  <si>
    <t>Revelation - Take 2 damage and 2 horror. Place 1 doom on the current agenda (this effect can cause thee current agenda to advance). Remove The Price of Failure from your deck. Search the collection for Dark Pact and place it in your discard pile.</t>
  </si>
  <si>
    <t>Campaign Mode only._x000D_
Revelation - Take 1 horror. In your Campaign Log, under your investigator's earned story assets/weaknesses, record that "doom approaches." If this was already recorded, remove Doomed from your deck, search the collection for Accursed Fate, and place it on the bottom of your deck.</t>
  </si>
  <si>
    <t>Revelation - Take 2 horror. In your Campaign Log, under your investigator's earned story assets/weaknesses, record that "the hour is nigh." If this was already recorded, remove Accursed Fate from your deck, search the collection for The Bell Tolls, and place it on the bottom of your deck.</t>
  </si>
  <si>
    <t>Revelation - The hour of your demise has arrived. You are killed.</t>
  </si>
  <si>
    <t>Easy / Standard_x000D_
α: -X. X is the number of vengeance points in the victory display._x000D_
β: -X. X is the number of locations in play (max 5)._x000D_
γ: -X. X is the number of cards in the exploration deck (max 5)._x000D_
δ: -2. If you are poisoned, this test automatically fails instead.</t>
  </si>
  <si>
    <t>Hard / Expert_x000D_
α: -X. X is 1 higher than the number of vengeance points in the victory display._x000D_
β: -X. X is the number of locations in play._x000D_
γ: -X. X is the number of cards in the exploration deck (min 3)._x000D_
δ: -3. If you are poisoned, this test automatically fails instead. If you are not poisoned and you fail, put a set-aside Poisoned weakness into play in your threat area.</t>
  </si>
  <si>
    <t>Shuffle the encounter discard pile and the set-aside Agents of Yig encounter set into the encounter deck._x000D_
Each investigator tests ά (3). Each investigator who fails performs the following, in order:_x000D_
- If you are poisoned, take 1 damage and 1 horror._x000D_
- If you are not poisoned, put a set-aside Poisoned weakness into play in your threat area.</t>
  </si>
  <si>
    <t>Objective - When the round ends, investigators at any non-[[Campsite]] locations may spend the requisite number of clues, as a group, to advance.</t>
  </si>
  <si>
    <t>Put the set-aside Ichtaca enemy into play at the lead investigator's location._x000D_
Shuffle the encounter discard pile into the encounter deck.</t>
  </si>
  <si>
    <t>Each Eztli Guardian enemy cannot attack or be attacked. Ignore the effects of each Arrows from the Trees treachery._x000D_
Objective - Only investigators at the Ruins of Eztli can spend the requisite number of clues, as a group, to advance.</t>
  </si>
  <si>
    <t>Each Eztli Guardian enemy gets +1 fight and +1 evade. Each Arrows from the Trees treachery gains surge._x000D_
Objective - Only investigators at the Ruins of Eztli can spend the requisite number of clues, as a group, to advance.</t>
  </si>
  <si>
    <t>η: Resign. The wilds are too dangerous!_x000D_
η: Check your supplies. If you have a map, look at the top 3 cards of the exploration deck. Place 1 on the bottom and the other 2 on top, in any order.</t>
  </si>
  <si>
    <t>You get +1 skill value while investigating an [[Ancient]] location._x000D_
η If you are at an [[Ancient]] location, exhaust Alejandro Vela: Draw 2 cards.</t>
  </si>
  <si>
    <t>Alert. Retaliate._x000D_
η: Parley. Test έ (4) to convince Ichtaca you are not her enemy. If you succeed, place 1 clue on her. If you fail and Ichtaca is ready, she attacks you.</t>
  </si>
  <si>
    <t>Forced - After you fail a skill test while investigating Ruins of Eztli: Draw the top card of the encounter deck.</t>
  </si>
  <si>
    <t>Easy / Standard_x000D_
α: -1 (-3 instead if there is doom on your location)._x000D_
β γ: -X. X is the number of locations with doom on them._x000D_
δ: Reveal another chaos token. If you fail, place 1 doom on your location.</t>
  </si>
  <si>
    <t>Hard / Expert_x000D_
α: -2 (-4 instead if there is doom on your location)._x000D_
β γ: -X. X is the total amount of doom on locations in play._x000D_
δ: Reveal another chaos token. Place 1 doom on your location.</t>
  </si>
  <si>
    <t>η: Explore. Draw the top card of the exploration deck. If it is a connecting location, put it into play and move to it._x000D_
Objective - Only investigators in the Chamber of Time may spend the requisite number of clues, as a group, to advance.</t>
  </si>
  <si>
    <t>Choose an investigator in the Chamber of Time to take control of the Relic of Ages._x000D_
Move the placement of each location to form a straight line, with the Chamber of Time on the left and the Entryway on the right. Each other location is placed from left to right in between these two locations, in order of how much doom is on them, from lowest to highest (in the event of a tie, you may decide the order)._x000D_
Until the end of the scenario, ignore all location connections. Instead, each location is connected to each location to its left and right.</t>
  </si>
  <si>
    <t>While there are 3 or more vengeance points in the victory display, each [[Serpent]] enemy gets +1 evade._x000D_
Objective - If each undefeated investigator has resigned, advance.</t>
  </si>
  <si>
    <t>η: Resign. You've escaped… for now._x000D_
η: Check your supplies. If you have torches, look at the top 2 cards of the exploration deck. Discard each treachery looked at by this effect. Shuffle the exploration deck.</t>
  </si>
  <si>
    <t>…A Device, of Some Sort</t>
  </si>
  <si>
    <t>Forced - At the end of the round: Flip 1 of the clues on Ancient Hall to its doom side. Any investigator at Ancient Hall may spend 3 resources to cancel this effect.</t>
  </si>
  <si>
    <t>Forced - When you investigate Grand Chamber and do not succeed by at least 2: Before resolving any other effects from this skill test, flip 1 of the clues on Grand Chamber to its doom side.</t>
  </si>
  <si>
    <t>Forced - After you put Burial Pit into play by exploring successfully: You must either draw 2 cards from the top of the encounter deck or place 2 doom on Burial Pit, or any combination thereof.</t>
  </si>
  <si>
    <t>Forced - After you enter Secret Passage: You must either take 1 horror and 1 damage, or place 1 doom on Secret Passage. Check your supplies. If you or an investigator at Secret Passage has a rope, ignore this effect.</t>
  </si>
  <si>
    <t>Forced - After you fail a skill test while investigating Path of Thorns: Take 1 damage._x000D_
Forced - After you explore while at Path of Thorns, if the exploration was not successful: Take 1 damage.</t>
  </si>
  <si>
    <t>Forced - When you attempt to explore while at Rope Bridge: Test ί (2). If you fail, cancel the exploration, take 2 damage, lose all remaining actions, and end your turn. Place your investigator in the River Canyon (if it is not in play, search the exploration deck for River Canyon and put it into play first; shuffle the exploration deck).</t>
  </si>
  <si>
    <t>Each [[Serpent]] enemy at Serpent's Haven gets +1 fight._x000D_
Forced - After you investigate or explore while at Serpent's Haven, if you are poisoned: Take 1 damage.</t>
  </si>
  <si>
    <t>As an additional cost for you to investigate or explore while at Circuitous Trail, check your supplies. If no investigator at your location has a compass, you must spend 3 resources.</t>
  </si>
  <si>
    <t>Temple of the Fang gets +1 shroud for each vengeance point in the victory display.</t>
  </si>
  <si>
    <t>Forced - After you enter this location, if you are poisoned: Lose all remaining actions and end your turn.</t>
  </si>
  <si>
    <t>Revelation - Attach to your location. Limit 1 per location._x000D_
You cannot explore at attached location._x000D_
η: Test ή (4) to hack through the brush or έ (4) to find another route. If you succeed, discard Overgrowth.</t>
  </si>
  <si>
    <t>Revelation - Put Voice of the Jungle into play in your threat area._x000D_
Forced - At the end of your turn, if you did not successfully explore this turn: Take 1 horror._x000D_
η: Test ά (3). If you succeed, discard Voice of the Jungle.</t>
  </si>
  <si>
    <t>Revelation - Test ί (3). If you fail, you must either (choose one):_x000D_
- Deal 5 damage to an [[Ally]] asset you control._x000D_
- Take 1 direct damage. If you are not poisoned, put a set-aside Poisoned weakness into play in your threat area.</t>
  </si>
  <si>
    <t>Revelation - Test ά (3). If you fail, take 1 horror for each point you fail by and add Lost in the Wilds to your threat area._x000D_
You cannot move or explore._x000D_
Forced - At the end of your turn: Discard Lost in the Wilds.</t>
  </si>
  <si>
    <t>Peril._x000D_
Revelation - You must decide (choose one):_x000D_
- Each investigator loses 2 resources._x000D_
- Each investigator takes 1 damage._x000D_
- Each investigator chooses and discards an asset he or she controls.</t>
  </si>
  <si>
    <t>Hunter._x000D_
Brood of Yig gets +1 fight for each vengeance point in the victory display.</t>
  </si>
  <si>
    <t>While there are 1 or more vengeance points in the victory display, Serpent from Yoth gains retaliate._x000D_
While there are 2 or more vengeance points in the victory display, Serpent from Yoth gains hunter._x000D_
While there are 3 or more vengeance points in the victory display, Serpent from Yoth takes 1 less damage from each attack made against it.</t>
  </si>
  <si>
    <t>Revelation - Put Curse of Yig into play in your threat area._x000D_
You get -1 ή, -1 health, and gain the [[Serpent]] trait._x000D_
η: Test ά (2). This test gets +1 difficulty for each vengeance point in the victory display. If you succeed, discard Curse of Yig.</t>
  </si>
  <si>
    <t>Spawn - Any empty location ([[Ancient]], if able)._x000D_
Alert. Aloof._x000D_
Forced - When enemies attack during the enemy phase, if Eztli Guardian is ready and unengaged: It attacks each investigator in each connecting location.</t>
  </si>
  <si>
    <t>Revelation - Take 1 damage, plus 1 additional damage for each [[Ally]] asset you control. Each other investigator at an [[Ancient]] location must also resolve that effect.</t>
  </si>
  <si>
    <t>Revelation - Test ί (2). This test gets +1 difficulty for each doom on your location. If you fail, take 2 damage.</t>
  </si>
  <si>
    <t>Revelation - Put Entombed into play in your threat area._x000D_
You cannot disengage from enemies or move._x000D_
η: Test ί (4) to escape the tomb or ή (4) to break out. If you succeed, discard Entombed. If you fail, reduce the difficulty of this test by 1 until the end of the round.</t>
  </si>
  <si>
    <t>Revelation - Test ά (3). For each point you fail by, you must either lose 1 action or take 1 horror.</t>
  </si>
  <si>
    <t>Revelation - Shuffle a non-story asset you control into your deck, moving all damage and horror from that asset to your investigator. If no asset is shuffled into your deck by this effect, choose and discard 3 cards from your hand.</t>
  </si>
  <si>
    <t>Peril._x000D_
Revelation - Choose a location where there is at least 1 investigator. Place 1 doom on that location. Each investigator at the chosen location takes 1 horror.</t>
  </si>
  <si>
    <t>Revelation - Put Deep Dark into play next to the agenda deck._x000D_
No more than 1 clue may be discovered from each location by each investigator each round._x000D_
Forced - At the end of the round: Discard 1 copy of Deep Dark from play. (Max once per round.)</t>
  </si>
  <si>
    <t>Hunter._x000D_
Brotherhood Cultist gets +1 fight and +1 evade for each doom on it._x000D_
Forced - When you initiate an attack against Brotherhood Cultist: Place 1 doom on Brotherhood Cultist.</t>
  </si>
  <si>
    <t>Revelation - If there are no [β] enemies in play, take 1 horror and Shadowed gains surge. Otherwise, find the [β] enemy nearest to you. Place 1 doom on that enemy and test ά (X), where X is that enemy's fight value. If you fail, take 2 horror.</t>
  </si>
  <si>
    <t>Revelation - Put Words of Power into play in your threat area._x000D_
If there are 1 or more enemies at your location with doom on them, you cannot damage those enemies or discover clues at your location._x000D_
ηη: Discard Words of Power.</t>
  </si>
  <si>
    <t>Prey - Poisoned investigator._x000D_
Retaliate._x000D_
While Fang of Yig is engaged with a poisoned investigator, that investigator cannot play cards or commit cards to skill tests.</t>
  </si>
  <si>
    <t>Revelation - Put Snakescourge into play in your threat area. If you are poisoned, Snakescourge gains surge._x000D_
Treat each of your non-weakness [[Item]] assets as if its text box were blank (except for Traits)._x000D_
Forced - At the end of the round: Discard Snakescourge.</t>
  </si>
  <si>
    <t>Revelation - You must either (choose one): Put a set-aside Poisoned weakness into play in your threat area, or draw the top 2 cards of the encounter deck.</t>
  </si>
  <si>
    <t>Surge._x000D_
Revelation - Each investigator who is poisoned takes 1 damage.</t>
  </si>
  <si>
    <t>Limit 1 per investigator. Limit 1 per deck._x000D_
Permanent._x000D_
You are poisoned. (This has no game effect on its own. Other card effects may change or become stronger while you are poisoned.)</t>
  </si>
  <si>
    <t>Play only as your first action._x000D_
Discover 1 clue at your location (2 clues instead if there is an enemy at that location). This action does not provoke attacks of opportunity.</t>
  </si>
  <si>
    <t>Fast. Play when you activate the Fight ability on a [[Firearm]] or [[Ranged]] asset._x000D_
This attack can target an enemy at a connecting location. Ignore the aloof and retaliate keywords for this attack. If this attack succeeds against an enemy not engaged with you, the attack deals +1 damage.</t>
  </si>
  <si>
    <t>Parley. Choose a non-weakness [[Humanoid]] enemy at your location and test έ (3). This test gets +X difficulty, where X is that enemy's horror value. If you succeed, shuffle the chosen enemy into the encounter deck. If the chosen enemy is [[Elite]], automatically evade it instead.</t>
  </si>
  <si>
    <t>Permanent. Limit 1 per deck._x000D_
Anytime you upgrade a card with the (Unidentified) or (Untranslated) subtitle, you may upgrade a second copy of that card at no experience cost. If you do, the two upgraded versions are chosen at random from among the eligible options. (You must still meet all deckbuilding restrictions.)</t>
  </si>
  <si>
    <t>ι When you play an [[Illicit]] card during your turn, exhaust Fence: The [[Illicit]] card gains fast. If it was already fast, reduce its cost by 1 instead.</t>
  </si>
  <si>
    <t>Permanent._x000D_
When you purchase Arcane Research, suffer 1 mental trauma._x000D_
After each scenario of a campaign, reduce the experience cost of the first [[Spell]] card you upgrade before the next scenario by 1.</t>
  </si>
  <si>
    <t>Fast. Play when a α, β, γ, or δ chaos token is revealed during a skill test at your location._x000D_
Cancel that chaos token. (Do not reveal a new chaos token to replace it.)</t>
  </si>
  <si>
    <t>Fast. Play when you are assigned damage and/or horror that would defeat you._x000D_
Cancel up to 4 of that damage and/or horror.</t>
  </si>
  <si>
    <t>Easy / Standard_x000D_
α : -X. X is the highest number of doom on a [β] enemy._x000D_
β: -2. If you do not succeed by at least 1, take 1 damage._x000D_
γ: -2. If you do not succeed by at least 1, place 1 doom on the nearest [β] enemy._x000D_
δ: -2. If you fail, lose 1 of your clues.</t>
  </si>
  <si>
    <t>Hard / Expert_x000D_
α : -X. X is the total number of doom in play._x000D_
β: -2. If you do not succeed by at least 2, take 1 direct damage._x000D_
γ: -2. If you do not succeed by at least 2, place 1 doom on each [β] enemy._x000D_
δ: -3. If you fail, lose 1 of your clues.</t>
  </si>
  <si>
    <t>Shuffle the encounter discard pile into the encounter deck._x000D_
If there are only 2 act decks in play, place 1 doom on agenda 2a as it is revealed.</t>
  </si>
  <si>
    <t>Shuffle the encounter discard pile into the encounter deck._x000D_
If there are only 2 act decks in play, place 1 doom on agenda 3a as it is revealed._x000D_
If there is only 1 act deck in play, place 2 doom on agenda 3a as it is revealed.</t>
  </si>
  <si>
    <t>Objective - Only investigators in Miskatonic University can spend the requisite number of clues, as a group, to advance.</t>
  </si>
  <si>
    <t>Revelation - Put the Eztli Exhibit into play._x000D_
Forced - After you reveal a α, β, γ, δ, or ζ symbol while investigating the Eztli Exhibit: Take 1 horror.</t>
  </si>
  <si>
    <t>Revelation - Put Harlan Earnstone into play in Easttown._x000D_
η Discard the top 3 cards of your deck: Parley. You try to snap Earnstone out of his daze. Test ά (4). If you succeed, place 1 clue on him (from the token pool).</t>
  </si>
  <si>
    <t>Objective - Only investigators in the Eztli Exhibit can spend the requisite number of clues, as a group, to advance.</t>
  </si>
  <si>
    <t>Search the encounter deck, discard pile, and victory display for a Brotherhood Cultist and spawn it in the location farthest from all investigators. Heal all damage from each Brotherhood Cultist in play._x000D_
Attach the set-aside Relic of Ages to the Brotherhood Cultist farthest from all investigators._x000D_
If there are 2 or fewer act decks in play, add 1 doom to the Brotherhood Cultist with the attached Relic of Ages._x000D_
Advance to Act 3a - "Recover the Relic."</t>
  </si>
  <si>
    <t>Attach the set-aside Relic of Ages to the Curiositie Shoppe._x000D_
If there are 2 or fewer act decks in play, search the encounter deck for 1 Acolyte (2 Acolytes instead if there are 3 or 4 investigators in the game). Spawn each searched-for Acolyte in the Curiositie Shoppe._x000D_
Advance to Act 3a - "Find the Relic."</t>
  </si>
  <si>
    <t>Revelation - Switch this card with the [[Bystander]] version of Harlan Earnstone, removing that version from the game. Attach the set-aside Relic of Ages to Harlan Earnstone. Advance to Act 3a - "Recover the Relic."_x000D_
Forced - After you successfully evade Harlan Earnstone by 3 or more: Add him to the victory display.</t>
  </si>
  <si>
    <t>While Relic of Ages is attached to a location, that location gets +2 shroud._x000D_
Objective - If Relic of Ages is attached to a location with no remaining clues, advance.</t>
  </si>
  <si>
    <t>Objective - Only investigators in Easttown can spend the requisite number of clues, as a group, to advance.</t>
  </si>
  <si>
    <t>Revelation - Put Henry Deveau into play in Velma's Diner._x000D_
η Choose and discard a card from your hand: Parley. You discuss Alejandro's whereabouts. Test έ (3). If you succeed, place 1 clue on this card (from the token pool).</t>
  </si>
  <si>
    <t>Revelation - Put the Arkham Police Station into play._x000D_
Easttown is connected to Arkham Police Station._x000D_
η: Search the top 6 cards of your deck for a [[weapon]] card and add it to your hand. Shuffle your deck.</t>
  </si>
  <si>
    <t>Objective - Only investigators in the Arkham Police Station can spend the requisite number of clues, as a group, to advance.</t>
  </si>
  <si>
    <t>Search the encounter deck, discard pile, and victory display for a Hunting Nightgaunt and spawn it in the location farthest from all investigators. Heal all damage from each Hunting Nightgaunt in play._x000D_
Attach the set-aside Alejandro Vela to the Hunting Nightgaunt farthest from all investigators._x000D_
Advance to Act 3c - "Alejandro's Plight."</t>
  </si>
  <si>
    <t>Revelation - Put Train Tracks into play. Attach the set-aside Alejandro Vela to Train Tracks. Advance to Act 3c - "Alejandro's Prison."_x000D_
Northside is connected to Train Tracks._x000D_
η Spend 1 clue: Draw 4 cards. (Limit once per game.)</t>
  </si>
  <si>
    <t>Put the set-aside Town Hall location into play, if it is not already in play._x000D_
Attach the set-aside Alejandro Vela to the Town Hall._x000D_
Advance to Act 3c - "Alejandro's Prison."</t>
  </si>
  <si>
    <t>Revelation - Switch this card with the [[Bystander]] version of Henry Deveau, removing that version from the game. Attach the set-aside Alejandro Vela to Henry Deveau. Advance to Act 3c - "Alejandro's Plight."_x000D_
Retaliate.</t>
  </si>
  <si>
    <t>Alejandro's Prison</t>
  </si>
  <si>
    <t>While Alejandro Vela is attached to a location, that location gets +2 shroud._x000D_
Objective - If Alejandro Vela is attached to a location with no remaining clues, advance.</t>
  </si>
  <si>
    <t>Alejandro's Plight</t>
  </si>
  <si>
    <t>Objective - Only investigators in Rivertown can spend the requisite number of clues, as a group, to advance.</t>
  </si>
  <si>
    <t>Revelation - Put Black Cave into play._x000D_
Forced - At the end of your turn, if you are in the Black Cave: You must either take 1 horror or choose and discard 2 cards from your hand.</t>
  </si>
  <si>
    <t>Objective - Only investigators in Northside can spend the requisite number of clues, as a group, to advance.</t>
  </si>
  <si>
    <t>Revelation - Put Maria DeSilva into play in the Curiositie Shoppe._x000D_
η Spend 1 resource: Parley. You chat with Maria about the artifacts on sale. Test έ (3). If you succeed, place 1 clue on her (from the token pool).</t>
  </si>
  <si>
    <t>Objective - Only investigators in the Black Cave can spend the requisite number of clues, as a group, to advance. There must be no clues remaining on the Black Cave in order to advance this act.</t>
  </si>
  <si>
    <t>Put the set-aside Town Hall location into play, if it is not already in play. Remember that the Town Hall is "Ichtaca's destination." For the remainder of the game, Black Cave and Town Hall are connected to one another._x000D_
One at a time, in player order, each investigator discards the top card of the encounter deck. Each investigator who discards a treachery card must draw that card._x000D_
Advance to Act 3e - "Strange Occurrences."</t>
  </si>
  <si>
    <t>Revelation - Switch this card with the [[Bystander]] version of Maria DeSilva, removing that version from the game. Remember that she is "Ichtaca's prey." Advance to Act 3e - "The Brotherhood is Revealed."_x000D_
Retaliate.</t>
  </si>
  <si>
    <t>Remember that both Downtown and Rivertown are "Ichtaca's destinations."_x000D_
One at a time, in player order, each investigator discards the top card of the encounter deck. Each investigator who discards a treachery card must draw that card._x000D_
Advance to Act 3e - "Strange Occurrences."</t>
  </si>
  <si>
    <t>While you are at any of "Ichtaca's destinations," the first treachery you draw from the encounter deck each round gains surge._x000D_
Objective - If there are no clues remaining on each of "Ichtaca's destinations," advance.</t>
  </si>
  <si>
    <t>Easttown is connected to Velma's Diner.</t>
  </si>
  <si>
    <t>Peril._x000D_
Revelation - Test ά (3). If you fail, take 1 damage and 1 horror. For each act deck the investigators have completed, this skill test gets +1 difficulty and deals +1 damage and +1 horror if it is failed.</t>
  </si>
  <si>
    <t>Revelation - Attach to your location. If there are no clues on your location, Nobody's Home gains surge._x000D_
You must spend 1 additional action to investigate attached location._x000D_
Forced - If there are no clues on attached location: Discard Nobody's Home.</t>
  </si>
  <si>
    <t>The Forgotten Guardian</t>
  </si>
  <si>
    <t>You get +1 ή (+2 ή instead while attacking an enemy with Victory X)._x000D_
You get +1 ί (+2 ί instead while attempting to evade an enemy with Vengeance X)._x000D_
ι After you add an enemy to the victory display, exhaust Ichtaca: You and Ichtaca each heal 1 horror.</t>
  </si>
  <si>
    <t>Objective - If Ichtaca is defeated, advance._x000D_
Objective - If there are 1π clues on Ichtaca, place her in the victory display and advance.</t>
  </si>
  <si>
    <t>(-&gt;R1)</t>
  </si>
  <si>
    <t>(-&gt;R2)</t>
  </si>
  <si>
    <t>*This agenda gets +1π doom threshold._x000D_
Forced - When this agenda advances: Do not remove doom from each location in play.</t>
  </si>
  <si>
    <t>*This agenda gets +1π doom threshold.</t>
  </si>
  <si>
    <t>If Ichtaca has 1π clues on her:_x000D_
"Interesting. You are not simply here to shed blood," Ichtaca says with a spark of wonder in her voice, and you are stunned to hear her speaking in perfect English._x000D_
Remember that "Ichtaca is leading the way." Add 1 β token to the chaos bag for the remainder of the campaign._x000D_
Shuffle the 3 set-aside [[Ruins]] locations into the exploration deck and advance to Act 3 - "Search for the Ruins."_x000D_
If you defeated Ichtaca:_x000D_
"Fools!" Ichtaca shouts to you with a pained voice. "You do not understand the forces you are meddling with. If you truly wish to die, you will find the temple over the river to the south."_x000D_
Remember that "you fought with Ichtaca." Choose an investigator to take control of the set-aside Alejandro Vela asset. Add 1 γ token to the chaos bag for the remainder of the campaign._x000D_
Shuffle the 3 set-aside [[Ruins]] locations into the exploration deck and advance to Act 3a - "The Guarded Ruins."</t>
  </si>
  <si>
    <t>Shuffle the set-aside Chamber of Time location into the exploration deck._x000D_
As you pass the strange glyphs in the walls, the ruins groan and creak in protest, and the carvings glow ominously. Years of deterioration have faded the pattern of these glyphs, and the surrounding stones seep with a venomous pus. If only you had some way to restore these glyphs…_x000D_
Check your supplies. If any investigator has chalk, remove this act from the game. Otherwise, place this act in the victory display. It gains Vengeance 1.</t>
  </si>
  <si>
    <t>If an investigator resigned with the Relic of Ages under his or her control:_x000D_
The floor of the temple stops shaking, and the dull humming in the walls goes quiet. Without the relic in its chamber, the ruins appear to be sleeping once more. You still have no idea what the object is or what its purpose may be, but you dare not tarry any longer to find out._x000D_
(-&gt;R1)_x000D_
Otherwise:_x000D_
For a moment, the temple continues to shudder, the architecture twisting and contorting strangely. Pleased that it is once again whole, the temple then returns to its dormant state._x000D_
(-&gt;R3)</t>
  </si>
  <si>
    <t>Rainforest</t>
  </si>
  <si>
    <t>Serpents</t>
  </si>
  <si>
    <t>Expedition</t>
  </si>
  <si>
    <t>Agents of Yig</t>
  </si>
  <si>
    <t>Guardians of Time</t>
  </si>
  <si>
    <t>Deadly Traps</t>
  </si>
  <si>
    <t>Temporal Flux</t>
  </si>
  <si>
    <t>Forgotten Ruins</t>
  </si>
  <si>
    <t>Pnakotic Brotherhood</t>
  </si>
  <si>
    <t>Yig's Venom</t>
  </si>
  <si>
    <t>Poison</t>
  </si>
  <si>
    <t>The Serpents Attack!</t>
  </si>
  <si>
    <t>Endless Meandering</t>
  </si>
  <si>
    <t>The Natives</t>
  </si>
  <si>
    <t>Ichtaca's Response</t>
  </si>
  <si>
    <t>Discovery of a Lifetime</t>
  </si>
  <si>
    <t>The Ruins Awaken</t>
  </si>
  <si>
    <t>Catastrophic Ruin</t>
  </si>
  <si>
    <t>Hidden Corridors</t>
  </si>
  <si>
    <t>The Relic</t>
  </si>
  <si>
    <t>Avoiding Doom</t>
  </si>
  <si>
    <t>10π</t>
  </si>
  <si>
    <t>Alert. Hunter. Retaliate._x000D_
Harbinger of Valusia can retaliate while exhausted._x000D_
Forced - After Harbinger of Valusia is successfully attacked or evaded: Place 1 resource on it. Then, if there are 2π resources on it, it vanishes with a sinister hiss. (Set it aside, out of play. It keeps all damage tokens.)
Vengeance 5.</t>
  </si>
  <si>
    <t>While there is an enemy in Underground Ruins, Underground Ruins is considered to be in the victory display (for the purposes of counting vengeance)._x000D_
Forced - After an enemy in Underground Ruins leaves play: Place 1 doom on Underground Ruins.
Vengeance 1.</t>
  </si>
  <si>
    <t>Forced - After Chamber of Time enters play: Attach the set-aside Relic of Ages asset to the Chamber of Time. Place 1 doom on Chamber of Time.
Vengeance 2.</t>
  </si>
  <si>
    <t>Forced - After Pit Viper deals you damage from its attack: If you are not poisoned, put a set-aside Poisoned weakness into play in your threat area.
Vengeance 1.</t>
  </si>
  <si>
    <t>Hunter._x000D_
Forced - After Boa Constrictor attacks you: During the next upkeep phase, your exhausted cards cannot ready.
Vengeance 2.</t>
  </si>
  <si>
    <t>Peril. Surge._x000D_
Revelation - You must either (choose one):_x000D_
- Place 1 doom on your location and discard Ancestral Fear (instead of placing it in the victory display)._x000D_
- Place Ancestral Fear in the victory display.
Vengeance 1.</t>
  </si>
  <si>
    <t>At The Sun's Peak</t>
  </si>
  <si>
    <t>The Sun Sets</t>
  </si>
  <si>
    <t>Night Passes</t>
  </si>
  <si>
    <t>The Relic's Location</t>
  </si>
  <si>
    <t>Put the set-aside Town Hall location into play. If it was already in play, add add 1π clues to it. Attach the set-aside Relic of Ages to the Town Hall._x000D_
If there are 2 or fewer act decks in play, add an additional 1π clues to the Town Hall._x000D_
Advance to Act 3a - "Find the Relic."</t>
  </si>
  <si>
    <t>The Brotherhood's Plot</t>
  </si>
  <si>
    <t>Objective - If there are 1π clues on Harlan Earnstone: You must remove them and immediately advance.</t>
  </si>
  <si>
    <t>Safekeeping</t>
  </si>
  <si>
    <t>The Relic Is Found</t>
  </si>
  <si>
    <t>If the Relic of Ages is attached to the Town Hall:_x000D_
After an hour of searching Arkham's Town Hall, you notice a faint blue glow emanating from underneath the door to the city planner's office. You break into the office without being noticed. The relic is lying on his desk, along with a map of the city that is covered in strange markings and iconography. Why is it here?_x000D_
The investigator nearest to the Town Hall takes control of the Relic of Ages. Remove the remainder of the "a/b" act deck from the game. If another act card is in play, continue playing. Otherwise, proceed to (-&gt;R1)._x000D_
If the Relic of Ages is attached to the Curiositie Shoppe:_x000D_
Sure enough, the relic is tucked away in a corner of the shop's storage room, hidden from sight._x000D_
The investigator nearest to the Curiositie Shoppe takes control of the Relic of Ages. Remove the remainder of the "a/b" act deck from the game. If another act card is in play, continue playing. Otherwise, proceed to (-&gt;R1).</t>
  </si>
  <si>
    <t>While Relic of Ages is attached to an enemy, that enemy gets +2π health._x000D_
Objective - If the enemy the Relic of Ages is attached to leaves play, advance.</t>
  </si>
  <si>
    <t>The Relic is Recovered</t>
  </si>
  <si>
    <t>If the Relic of Ages was attached to a Brotherhood Cultist:_x000D_
As the robed figure collapses, the relic falls out of his cloak, clattering to the ground and rolling to a stop nearby. It is pulsing with an odd glow, as though aware it is being searched for._x000D_
The investigator nearest to the Brotherhood Cultist's location takes control of the Relic of Ages. Remove the remainder of the "a/b" act deck from the game. If another act card is in play, continue playing. Otherwise, proceed to (-&gt;R1)._x000D_
If the Relic of Ages was attached to Harlan Earnstone:_x000D_
Harlan snaps out of his daze and collapses, holding his head in pain. "What was I - ?" His eyes widen as he realizes what he has done, and he pulls the relic out of his coat, offering it to you. "T-take it!" He says. "You can keep it safer than I can."_x000D_
The investigator nearest to Harlan Earnstone's location takes control of the Relic of Ages. Remove the remainder of the "a/b" act deck from the game. If another act card is in play, continue playing. Otherwise, proceed to (-&gt;R1).</t>
  </si>
  <si>
    <t>In Shadowed Talons</t>
  </si>
  <si>
    <t>Objective - If there are 1π clues on Henry Deveau: You must remove them and immediately advance.</t>
  </si>
  <si>
    <t>Henry's Information</t>
  </si>
  <si>
    <t>Alejandro Is Found</t>
  </si>
  <si>
    <t>If Alejandro Vela is attached to the Train Tracks:_x000D_
After searching up and down for nearly an hour, you hear a voice coming from one of the storage cars. Sealed inside is Alejandro, murmuring to himself. "Thank goodness!" he exclaims as you enter. "I was just trying to figure out why they brought me here..."_x000D_
The investigator nearest to the Train Tracks takes control of Alejandro Vela. Remove the remainder of the "c/d" act deck from the game. If another act card is in play, continue playing. Otherwise, proceed to (-&gt;R1)._x000D_
If Alejandro Vela is attached to the Town Hall:_x000D_
You manage to slip into the basement of the town hall without being spotted. You find Alejandro in one of the basement offices. He isn't restrained, but he is overjoyed to see you. "Thank goodness! They brought me here by force. Though I don't know why..."_x000D_
The investigator nearest to the Town Hall takes control of Alejandro Vela. Remove the remainder of the "c/d" act deck from the game. If another act card is in play, continue playing. Otherwise, proceed to (-&gt;R1).</t>
  </si>
  <si>
    <t>While Alejandro Vela is attached to an enemy, that enemy gets +2π health._x000D_
Objective - If the enemy Alejandro Vela is attached to leaves play, advance.</t>
  </si>
  <si>
    <t>Alejandro Is Rescued</t>
  </si>
  <si>
    <t>If Alejandro Vela was attached to a Hunting Nightgaunt:_x000D_
Alejandro collapses to the ground along with the winged creature's body. He coughs and rises to his feet, shaking. "Th-that beast! It had me in its clutches...Who knows where it was taking me?"_x000D_
The investigator nearest to the Hunting Nightgaunt takes control of Alejandro Vela. Remove the remainder of the "c/d" act deck from the game. If another act card is in play, continue playing. Otherwise, proceed to (-&gt;R1)._x000D_
If Alejandro Vela was attached to Henry Deveau:_x000D_
Henry collapses to the ground, exhausted and bloodied. "Wait! I... I'll tell you where to find Alejandro!" He gives you an address in Rivertown, and you follow his directions. Inside the abandoned office building is Alejandro, not restrained but overjoyed to see you. "Thank goodness! You have to get me out of here!"_x000D_
The investigator nearest to Henry Deveau takes control of Alejandro Vela. Remove the remainder of the "c/d" act deck from the game. If another act card is in play, continue playing. Otherwise, proceed to (-&gt;R1).</t>
  </si>
  <si>
    <t>Embroiled in Battle</t>
  </si>
  <si>
    <t>Tunnels in the Dark</t>
  </si>
  <si>
    <t>Objective - If there are 1π clues on Maria DeSilva: You must remove them and immediately advance.</t>
  </si>
  <si>
    <t>Maria's Information</t>
  </si>
  <si>
    <t>If "Ichtaca's destination" was the Town Hall:_x000D_
For some reason, the tunnels connect to a hidden passage in the basement of Arkham's town hall. You find Ichtaca in a dark room, browsing through several maps of the city. "What are you doing here?" she asks accusingly. "No matter. You're here now. Help me read these documents and figure out what is going on here."_x000D_
The investigator nearest to the Town Hall takes control of the set-aside Ichtaca (The Forgotten Guardian). Remove the remainder of the "e/f" act deck from the game. If another act card is in play, continue playing. Otherwise, proceed to (-&gt;R1)._x000D_
If "Ichtaca's destinations" were Downtown and Rivertown:_x000D_
Using information from the bank, you track the bidders to a warehouse in Rivertown. Inside, you find a bounty of information about the Eztli relics and Alejandro's expedition._x000D_
The investigator nearest to Rivertown takes control of the set-aside Ichtaca (The Forgotten Guardian). Remove the remainder of the "e/f" act deck from the game. If another act card is in play, continue playing. Otherwise, proceed to (-&gt;R1).</t>
  </si>
  <si>
    <t>"Ichtaca's prey" each get +1 fight, +1π health, and +1 evade while at a location with no clues on it._x000D_
Objective - If each of "Ichtaca's prey" is no longer in play, advance.</t>
  </si>
  <si>
    <t>Shuffle the encounter discard pile into the encounter deck. Discard cards from the top of the encounter deck until a [[Cultist]] enemy is discarded (2 [[Cultist]] enemies instead if there are 2 or fewer act decks remaining)._x000D_
Spawn those enemies in Black Cave (instead of their normal spawn location). Until the end of the scenario, remember that those enemies are "Ichtaca's prey."_x000D_
Advance to Act 3e - "The Brotherhood Is Revealed."</t>
  </si>
  <si>
    <t>If "Ichtaca's prey" were 1 or more [[Cultist]] enemies:_x000D_
The final robed figure drops to the ground, and you breathe a sigh of relief. Ichtaca recovers her arrows and searches the bodies for clues. "Why did you follow me?" she asks accusingly. "No matter. What's done is done. Now to uncover what these cretins knew."_x000D_
The investigator nearest to the Black Cave takes control of the set-aside Ichtaca (The Forgotten Guardian). Remove the remainder of the "e/f" act deck from the game. If another act card is in play, continue playing. Otherwise, proceed to (-&gt;R1)._x000D_
If "Ichtaca's prey" was Maria DeSilva:_x000D_
You interrogate Maria while the angry Eztli warrior looms over her. "Who do you work for? What is your purpose?" Maria purses her lips tightly, then looks away, into the distance. "I'll tell you what you need to know. I'll tell you about the Brotherhood."_x000D_
The investigator nearest to Maria DeSilva takes control of the set-aside Ichtaca (The Forgotten Guardian). Remove the remainder of the "e/f" act deck from the game. If another act card is in play, continue playing. Otherwise, proceed to (-&gt;R1).</t>
  </si>
  <si>
    <t>Easttown is connected to Velma's Diner.
ηηη: You kill some time at the diner and listen to the conversations of the patrons around you. Gain 2 clues from the token pool. (Limit once per game.)</t>
  </si>
  <si>
    <t>Northside is connected to Curiositie Shoppe.
While you are in the Curiositie Shoppe, reduce the cost of each [[Relic]] asset you play by 2.</t>
  </si>
  <si>
    <t>Downtown is connected to Town Hall.
Forced - After you enter Town Hall, if you have 4 or more cards in your hand: Choose and discard cards from your hand until you have 3 cards in your hand.</t>
  </si>
  <si>
    <t>Revelation - Attach Conspiracy of Blood to the current agenda._x000D_
Attached agenda gets -1 doom threshold._x000D_
Each [[Cultist]] enemy gains: "η Parley. Test ά (4). If you succeed, discard 1 copy of Conspiracy of Blood from play. If you fail, place 1 doom on this enemy."</t>
  </si>
  <si>
    <t>ήήάά</t>
  </si>
  <si>
    <t>ίίέέ</t>
  </si>
  <si>
    <t>Attach to your location._x000D_
Non-[[Elite]] enemies cannot move into or spawn at attached location. Each time an enemy would spawn at attached location, spawn it at a connecting location instead, if able._x000D_
Forced - When an investigator leaves attached location: Discard Barricade.</t>
  </si>
  <si>
    <t>ίίήή</t>
  </si>
  <si>
    <t>έέάά</t>
  </si>
  <si>
    <t>Fast. Play after a phase begins._x000D_
Choose a non-[[Elite]] enemy in your location. Until the end of the phase, reduce the chosen enemy's damage and horror values by 1, and treat its printed text box as if it were blank (except for [[Traits]]).</t>
  </si>
  <si>
    <t>ίίάά</t>
  </si>
  <si>
    <t>ι After you fail a skill test, exhaust Rabbit's Foot: Search the top X cards of your deck for a card, draw it, and shuffle the remaining cards into your deck. X is the amount you failed by.</t>
  </si>
  <si>
    <t>Perform the setup as indicated in the Night of the Zealot Campaign Guide, with the following exceptions:
 - When gathering encounter sets, also gather the new encounter sets for Return to The Gathering shown here.
 - Remove Act 1a- "Trapped" from the game and replace it with the new Act 1a- "Mysterious Gateway."
(Continued on reverse side.)</t>
  </si>
  <si>
    <t>η η: Draw 3 cards. Only the lead investigator can activate this ability.
Forced - When an enemy attempts to spawn at a location that is not in play: Put that location into play and spawn that enemy there.</t>
  </si>
  <si>
    <t>Forced - After you fail a skill test while investigating the Bedroom: Discard 1 card at random from your hand.</t>
  </si>
  <si>
    <t>Forced - After you reveal a α, β, γ, or ζ symbol while investigating the Bathroom: Lose all remaining actions and end your turn.</t>
  </si>
  <si>
    <t>Forced - After you reveal this location: Put the set-aside Attic, Cellar, and Parlor locations into play.</t>
  </si>
  <si>
    <t>Forced - After you reveal the Attic: Put the set-aside Far Above Your House location into play.</t>
  </si>
  <si>
    <t>Forced - After you reveal Field of Graves: Test ά (4). For each point you fail by, discard 1 card at random from each player's hand.</t>
  </si>
  <si>
    <t>Forced - After you reveal the Cellar: Put the set-aside Deep Below Your House location into play.</t>
  </si>
  <si>
    <t>Forced - After you reveal Ghoul Pits: Test ί (3). For each point you fail by, search the encounter deck and discard pile for a copy of Swarm of Rats and draw it. Shuffle the encounter deck.</t>
  </si>
  <si>
    <t>Corpse-Hungry Ghoul</t>
  </si>
  <si>
    <t>Spawn - Bedroom.
Hunter.</t>
  </si>
  <si>
    <t>Spawn - Bathroom.
Retaliate.</t>
  </si>
  <si>
    <t>Perform the setup as indicated in the Night of the Zealot Campaign Guide, with the following exceptions:
 - When gathering encounter sets, also gather the new encounter sets for Return to the Midnight Masks shown here.
 - Construct the act deck using one of the two copies of Agenda 1a- "Predator or Prey" at random, without looking at their other sides. Remove the other version of Agenda 1a from the game.
(Continued on reverse side.)</t>
  </si>
  <si>
    <t xml:space="preserve"> - Choose one of the two Easttown locations, one of the two Northside locations, one of the two Rivertown locations, and one of the two Miskatonic University locations at random. Put those locations into play. Remove the other versions of Easttown, Northside, Rivertown, and Miskatonic University from the game.
 - When creating the "Cultist deck," include the 3 new Cult of Umôrdhoth cards included in this expansion. Shuffle the Cultist deck and remove 3 random cards from it, without looking at them. (You should be left with a 5-card Cultist deck.)
 - If you are instructed to search the encounter deck for an Acolyte, search the encounter deck for any 1-health [[Cultist]] enemy, instead.</t>
  </si>
  <si>
    <t>Predator or Prey?</t>
  </si>
  <si>
    <t>Humanoid. Monster. Cultist. Elite.</t>
  </si>
  <si>
    <t>Spawn - Engaged with Prey.
Prey - Nearest to another [[Cultist]] enemy.
Hunter.
Narôgath gets +3 health per investigator.
While Narôgath is ready, each investigator at its location or a connecting location cannot Parley with [[Cultist]] enemies.</t>
  </si>
  <si>
    <t>η: Add 2 supply tokens or ammo tokens to an asset you control. (Limit once per game.)</t>
  </si>
  <si>
    <t>Train Station</t>
  </si>
  <si>
    <t>η: Move to any [[Arkham]] location. (Limit once per game.)</t>
  </si>
  <si>
    <t>Miskatonic Museum</t>
  </si>
  <si>
    <t>Abandoned Warehouse</t>
  </si>
  <si>
    <t>η Discard a card with X ά icons: Remove X doom from a [[Cultist]] enemy in play. (Group limit once per game.)</t>
  </si>
  <si>
    <t>Revelation - Each investigator with 2 or more clues takes 2 horror. If no horror is dealt by this effect, place 1 doom on the current agenda. This effect can cause the current agenda to advance.</t>
  </si>
  <si>
    <t>Perform the setup as indicated in the Night of the Zealot Campaign Guide, with the following exceptions:
 - When gathering encounter sets, also gather the new encounter sets for Return to The Devourer Below shown here.
 - When choosing 4 Arkham Woods locations to put into play at random, include the 4 new Arkham Woods locations included in this encounter set, for a total of 10 possibilities.
 - After setting the Umôrdhoth enemy aside, flip this card over and attach it to Umôrdhoth.</t>
  </si>
  <si>
    <t>Vault of Earthly Demise cannot leave play.
Umôrdhoth gets +X health per investigator and gets +X fight, where X is the number of resources on this card.
Forced - When Umôrdhoth enters play, place 1 resource on this card for each act remaining in the act deck.</t>
  </si>
  <si>
    <t>Great Willow</t>
  </si>
  <si>
    <t>Forced - After an investigator at this location succeeds at a skill test on a treachery: That treachery gains surge. (Group limit once per round.)</t>
  </si>
  <si>
    <t>Lakeside</t>
  </si>
  <si>
    <t>Forced - After you reveal a chaos token from the chaos bag while investigating this location: Reveal and resolve an additional chaos token. (Limit once per test.)</t>
  </si>
  <si>
    <t>Corpse-Ridden Clearing</t>
  </si>
  <si>
    <t>Wooden Bridge</t>
  </si>
  <si>
    <t>Forced - After you reveal a chaos token from the chaos bag during an evasion attempt at this location: Reveal and resolve an additional chaos token. (Limit once per test.)</t>
  </si>
  <si>
    <t>Umôrdhoth's Hunger</t>
  </si>
  <si>
    <t>Revelation - Each investigator must discard 1 card at random from his or her hand. Each investigator who has no cards in his or her hand is killed. Heal 1 damage from each enemy in play.</t>
  </si>
  <si>
    <t>Forced - After Grave-Eater attacks you: Discard 1 card at random from your hand.</t>
  </si>
  <si>
    <t>Prey - Fewest cards in hand.
While engaged with an investigator with no cards in his or her hand, Acolyte of Umôrdhoth cannot be evaded.</t>
  </si>
  <si>
    <t>Revelation - Test ά (3). For each point you fail by, you must discard 1 card at random from your hand. For each card you cannot discard, take 1 damage.</t>
  </si>
  <si>
    <t>Spawn - Farthest empty location.
Forced - After you spawn Disciple of the Devourer: You must either place 1 doom on it or place 1 of your clues on its location. If the current agenda is not agenda 1, do both instead.</t>
  </si>
  <si>
    <t>Monster.  Servitor. Cultist.</t>
  </si>
  <si>
    <t>Spawn - Farthest empty location.
Forced - At the end of the mythos phase: Place 1 doom on Corpse-Taker.
Forced - At the end of the enemy phase: Corpse-Taker moves once toward Rivertown or Main Path. If Corpse-Taker is already at Rivertown or Main Path, move all doom from Corpse-Taker to the current agenda, instead.</t>
  </si>
  <si>
    <t>Revelation - Attach to the farthest [[Cultist]] enemy and place 1 doom on that enemy. If there are no [[Cultist]] enemies in play, search the encounter deck and discard pile for a [[Cultist]] enemy, draw it, and attach Mask of Umôrdhoth to it. Shuffle the encounter deck.
Attached enemy gets +2 health. If attached enemy is unique, it gains retaliate. If it is non-unique, it gains aloof instead.</t>
  </si>
  <si>
    <t>Your Next-Door Neighbor</t>
  </si>
  <si>
    <t>Spawn - Your House. Otherwise, Rivertown.
η: Parley. Add Jeremiah Pierce to the victory display. Then, test ά (4). Place 1 doom on the current agenda for each point you fail by (this can cause the current agenda to advance).</t>
  </si>
  <si>
    <t>The Crooked Cop</t>
  </si>
  <si>
    <t>Spawn - Easttown.
Forced - After a [[Monster]] enemy is defeated at Billy Cooper's location: Add Billy Cooper to the victory display.</t>
  </si>
  <si>
    <t>The Inquisitive Historian</t>
  </si>
  <si>
    <t>Spawn - Southside.
η: Parley. Draw the top 3 cards of the encounter deck. Then, add Alma Hill to the victory display.</t>
  </si>
  <si>
    <t>The Harbinger's Pursuit</t>
  </si>
  <si>
    <t>Check Campaign Log. If the Harbinger is still alive:_x000D_
Following no telltale flash of light, a sudden explosion of thunder blasts across the sky, causing you to jump in shock. As though drawn from the sound, a streak of silver lightning crashes down from the clouds, ripping a tear in the world before you. Through this tear, a familiar creature emerges. It hisses in anger and raises its gilded spear to attack._x000D_
Search the collection for the Harbinger of Valusia and spawn it at the location farthest from all investigators (if there are 6 or more tally marks under "Yig's Fury" in your Campaign Log, it enters play at the lead investigator's location, instead). It enters play with damage on it equal to the amount of damage recorded in parentheses in your Campaign Log.</t>
  </si>
  <si>
    <t>Vision of the Future</t>
  </si>
  <si>
    <t>Trapped in Time</t>
  </si>
  <si>
    <t>Into the Past</t>
  </si>
  <si>
    <t>The Gateway Home</t>
  </si>
  <si>
    <t>If Padma Amrita was defeated:_x000D_
"No! You fools!" Padma drops to her knees, bleeding out from her wounds. She looks up into Ichtaca's eyes, pleading with her. "How could you - ?" She is about to say something else when Ichtaca silences her with an arrow fired into her lung. "Go," says Ichtaca. "I'll be right behind you." You shake off your fear and step through the rift._x000D_
(-&gt;R1)_x000D_
If the investigators spent clues to advance:_x000D_
"No! Come back here!" Padma screams as soon as she figures out your plan. "You can't leave me here! I have been chosen!" Ichtaca looks back at her with a pitying glance. The two of them share a knowing look for a short moment, and you hear Padma cry, "How could you?" Ichtaca pays her no heed, turning back to face you. "Go. I'll be right behind you." You shake off your fear and step through the rift._x000D_
(-&gt;R1)</t>
  </si>
  <si>
    <t xml:space="preserve"> - Remove the original Study location from the game and replace it with the new Study (Aberrant Gateway). Put the Study (Aberrant Gateway) into play. Each investigator begins play in the Study (Aberrant Gateway).
 - Put the new Guest Hall, Bedroom, and Bathroom locations into play.
 - Remove the original Hallway location from the game.
 - Choose one of the two Attic locations and one of the two Cellar locations at random, and set them aside, out of play. Remove the other versions of Attic and Cellar from the game.
 - Set each other location aside, out of play.</t>
  </si>
  <si>
    <t>Play only as your first action.
Heal 1 damage (2 instead if you drew a treachery this round). Then, draw 1 card.</t>
  </si>
  <si>
    <t>Commit only to a skill test you are performing.
Take the Initiative loses ΰ for each action that has been completed by any investigator this phase.</t>
  </si>
  <si>
    <t>Play only if there is a clue on your location.
Place 2 secrets on an asset you control.</t>
  </si>
  <si>
    <t>Commit only to a skill test printed on a scenario card.
If this skill test is successful, discover 1 clue at your location.</t>
  </si>
  <si>
    <t>Uses (3 tries). If Try and Try Again has no tries, discard it.
ι After a skill test is failed, if a skill card you own is committed to that test, exhaust Try and Try Again and spend 1 try: Return that skill card to your hand.</t>
  </si>
  <si>
    <t>Easy / Standard_x000D_
α: -1 (-3 instead if you are at an [[Ancient]] location)._x000D_
β: Reveal another token. If you fail, place 1 doom on a [[Cultist]] enemy._x000D_
γ: Reveal another token. If you fail and there is a [[Serpent]] enemy at your location, it attacks you._x000D_
δ: -4. If you fail, place 1 clue (from the token pool) on the nearest [[Ancient]] location.</t>
  </si>
  <si>
    <t>Hard / Expert_x000D_
α: -2 (-4 instead if you are at an [[Ancient]] location)._x000D_
β: Reveal another token. If you fail, place 1 doom on each [[Cultist]] enemy._x000D_
γ: Reveal another token. If you fail, each [[Serpent]] enemy at your location attacks you._x000D_
δ: -4. Place 1 clue (from the token pool) on the nearest [[Ancient]] location.</t>
  </si>
  <si>
    <t>Alert. Retaliate. Hunter._x000D_
While Padma Amrita is ready, clues cannot be discovered from each [[Ancient]] location._x000D_
Forced - After Padma Amrita attacks you: If you have at least 1 clue, flip 1 of your clues to its doom side. Otherwise, take 3 horror.
Vengeance 2.</t>
  </si>
  <si>
    <t>While Serpent of Tenochtitlán is at an [[Ancient]] location with clues on it, it gains retaliate and alert. Otherwise, it gains hunter._x000D_
Forced - After Serpent of Tenochtitlán deals you damage from its attack: If you are not poisoned, put a set-aside Poisoned weakness into play in your threat area.
Vengeance 1.</t>
  </si>
  <si>
    <t>107f19b1-4083-4596-86c4-4dc6853839a7</t>
  </si>
  <si>
    <t>HOTE</t>
  </si>
  <si>
    <t>Heart of the Elders</t>
  </si>
  <si>
    <t>5f042c4f-1dc2-4b8a-950c-69edabf82a5c</t>
  </si>
  <si>
    <t>AT</t>
  </si>
  <si>
    <t>Intrepid</t>
  </si>
  <si>
    <t>If this skill test is successful, add Intrepid to your play area as an asset with the text:_x000D_
"You get +1 έ, +1 ή, and +1 ί._x000D_
Forced - At the end of the round: Discard Intrepid."</t>
  </si>
  <si>
    <t>6ac42b20-db5e-4eee-a600-09921b0a315e</t>
  </si>
  <si>
    <t>Custom Ammunition</t>
  </si>
  <si>
    <t>Upgrade. Supply. Blessed.</t>
  </si>
  <si>
    <t>Fast. Play only during your turn._x000D_
Attach to a [[Firearm]] asset controlled by an investigator at your location. Place 2 ammo on that asset. Limit 1 per asset._x000D_
Attacks performed by attached asset deal +1 damage against [[Monster]] enemies.</t>
  </si>
  <si>
    <t>52296362-8b72-4aa2-abe2-02060afa3f1f</t>
  </si>
  <si>
    <t>Otherworldly Compass</t>
  </si>
  <si>
    <t>Item. Relic</t>
  </si>
  <si>
    <t>η Exhaust Otherworldly Compass: Investigate. Your location gets -X shroud for this investigation. X is the number of revealed locations connected to your location.</t>
  </si>
  <si>
    <t>697413f0-06aa-49cb-8ef5-34d1afd08b71</t>
  </si>
  <si>
    <t>έήΰ</t>
  </si>
  <si>
    <t>Fast. Play during any θ player window._x000D_
Choose an enemy at your location. Test έ (X), where X is that enemy's fight value. If you succeed, treat that enemy's fight value as if it were 0 for the next attack performed against it this phase. Draw 1 card.</t>
  </si>
  <si>
    <t>a6ef5f95-92fc-4db4-981f-b255c5905076</t>
  </si>
  <si>
    <t>Lola Santiago</t>
  </si>
  <si>
    <t>No-Nonsense Archaeologist</t>
  </si>
  <si>
    <t>You get +1 έ and +1 ί._x000D_
θ Exhaust Lola Santiago and spend X resources: Discover 1 clue at your location. X is the shroud value of your location.</t>
  </si>
  <si>
    <t>eb5e0790-a919-4c2f-bd99-3f834d1d00c0</t>
  </si>
  <si>
    <t>Olive McBride</t>
  </si>
  <si>
    <t>Will Try Anything Once</t>
  </si>
  <si>
    <t>Ally. Witch.</t>
  </si>
  <si>
    <t>ι When you would reveal a chaos token, exhaust Olive McBride: Reveal 3 chaos tokens instead of 1. Choose 2 of those tokens to resolve, and ignore the other.</t>
  </si>
  <si>
    <t>7dcac739-f4ad-4c77-a22d-cf6b525e627b</t>
  </si>
  <si>
    <t>Ignore the effects of all α, β, γ, and δ symbols during this test (including their modifiers).</t>
  </si>
  <si>
    <t>230324cd-9b9b-4a7f-8e0a-190389b82bdd</t>
  </si>
  <si>
    <t>Premonition</t>
  </si>
  <si>
    <t>Fast. Play during any θ player window._x000D_
Put Premonition into play, reveal a random chaos token from the chaos bag, and seal it on Premonition._x000D_
Forced - When a chaos token would be revealed from the chaos bag: Resolve the token sealed here as if it were just revealed from the chaos bag, instead. Then, discard Premonition.</t>
  </si>
  <si>
    <t>43ce6f56-93da-405c-993f-a5f329c16f98</t>
  </si>
  <si>
    <t>Live and Learn</t>
  </si>
  <si>
    <t>Fast. Play after a skill test you failed ends (after resolving all effects from the failed test)._x000D_
Attempt that test again. You get +2 skill value for this test.</t>
  </si>
  <si>
    <t>e1778e2d-b5f8-4393-b9dc-3f24f5a61ed5</t>
  </si>
  <si>
    <t>Take Heart</t>
  </si>
  <si>
    <t>Max 1 committed per skill test._x000D_
You may commit Take Heart to any type of test._x000D_
If this test fails, the performing investigator draws 2 cards and gains 2 resources.</t>
  </si>
  <si>
    <t>1db7461d-f10d-45a8-95df-6a51a6b6fc2e</t>
  </si>
  <si>
    <t>Against All Odds</t>
  </si>
  <si>
    <t>Fast. Play when you perform a skill test with a difficulty higher than your base skill value._x000D_
Reveal X additional chaos tokens for this skill test. Choose one to resolve and ignore the others. X is the difference between the test's difficulty and your base skill value.</t>
  </si>
  <si>
    <t>d5d43a3e-0dbf-44cc-9d90-b4162ca6fa73</t>
  </si>
  <si>
    <t>Trench Coat</t>
  </si>
  <si>
    <t>You get +1 ί during evasion attempts.</t>
  </si>
  <si>
    <t>c2425faf-14a6-4260-b864-3739701db110</t>
  </si>
  <si>
    <t>Ornate Bow</t>
  </si>
  <si>
    <t>Item. Relic. Weapon. Ranged.</t>
  </si>
  <si>
    <t>Uses (1 ammo). Limit 1 ammo on Ornate Bow._x000D_
η Spend 1 ammo: Fight. This attack uses ί instead of ή. You get +2 ί and deal +2 damage for this attack._x000D_
η: You nock another arrow. Place 1 ammo on Ornate Bow.</t>
  </si>
  <si>
    <t>318dd1d2-7fa3-458a-974a-427b8873d30f</t>
  </si>
  <si>
    <t>The City of Archives</t>
  </si>
  <si>
    <t>TCOA</t>
  </si>
  <si>
    <t>1a76e271-589d-4e28-8d0e-015c4c81ebbc</t>
  </si>
  <si>
    <t>α: -1 (-3 instead if you are in a [[cave]] location).
β: -2. If you fail, place 1 doom on your location.
γ: -2. If you are poisoned, this test automatically fails instead.
δ: -3. If you fail, take 1 horror.</t>
  </si>
  <si>
    <t>α: -2 (-4 instead if you are in a [[cave]] location).
β: -3. If you fail, place 1 doom on your location.
γ: -3. If you are poisoned, this test automatically fails instead. If you are not poisoned and you fail, put a set-aside Poisoned weakness into play in your threat area.
δ: -4. If you fail, take 1 horror.</t>
  </si>
  <si>
    <t>d2035cb9-d1e5-49ad-9453-2f337d0c38de</t>
  </si>
  <si>
    <t>Mouth of K'n-yan</t>
  </si>
  <si>
    <t>η: Resign. "Let's make camp and solve this puzzle tomorrow."
η: Check your supplies. If you have a compass, look at the top 3 cards of the exploration deck. Place 1 on the bottom and the other 2 on top, in any order.</t>
  </si>
  <si>
    <t>a17a85b7-08cd-4083-94bd-5280bde0643f</t>
  </si>
  <si>
    <t>The Jungle's Heart</t>
  </si>
  <si>
    <t>f17ee367-77de-486b-a725-2f5a5993c54e</t>
  </si>
  <si>
    <t>Setting Sun</t>
  </si>
  <si>
    <t>0ca57dfb-c292-4c58-9d4e-0e4213810274</t>
  </si>
  <si>
    <t>Search for the Pattern</t>
  </si>
  <si>
    <t>Spawn - Mouth of K'n-yan.
Alert. Hunter. Massive.
Cannot be defeated. Cannot make attacks of opportunity.
Forced - After a pillar token is placed on the Mouth of K'n-yan: Exhaust The Winged Serpent. It does not ready during the upkeep phase this round.</t>
  </si>
  <si>
    <t>b05d9c8f-6a52-4438-b5fa-0bfde9d21473</t>
  </si>
  <si>
    <t>Opening the Maw</t>
  </si>
  <si>
    <t>η Investigators at the Mouth of K'n-yan spend 1π clues, as a group: You solve one piece of the puzzle. Add 1 resource to the Mouth of K'n-yan, as a pillar token.
Objective - Solve the puzzle of the six pillars in order to enter K'n-yan. If there are 6 pillar tokens on the Mouth of K'n-yan, advance to act 2b.</t>
  </si>
  <si>
    <t>455b99f1-3666-443c-9e5e-378c3f4575ad</t>
  </si>
  <si>
    <t>The Lonely Caverns</t>
  </si>
  <si>
    <t>η If there are no clues on your location: Explore. Draw the top card of the exploration deck. If it is a connecting location, put it into play and move to it.
Forced - When this agenda advances: Do not remove doom from each location in play.</t>
  </si>
  <si>
    <t>d3e1ec38-8054-4fce-9c7b-6c751a045608</t>
  </si>
  <si>
    <t>Eyes in the Dark</t>
  </si>
  <si>
    <t>5400f3d8-3f46-48a9-99f3-d139501745ea</t>
  </si>
  <si>
    <t>Cavern of the Forgotten Age</t>
  </si>
  <si>
    <t>049b3091-6d43-4f22-bc10-579fdc5f2ca6</t>
  </si>
  <si>
    <t>Descent into Dark</t>
  </si>
  <si>
    <t>Objective - If each surviving investigator is at the Descent to Yoth and there is no doom on it, you may advance.</t>
  </si>
  <si>
    <t>c1bb241d-3c5b-43d6-bfa7-6b1ad371d45b</t>
  </si>
  <si>
    <t>Pitfall</t>
  </si>
  <si>
    <t>Peril.
Revelation - You must either (choose one):
-Test ί (3) to attempt to jump the gap. For each point you fail by, take 1 damage.
-Shuffle Pitfall into the exploration deck. You cannot choose this option if Pitfall was drawn from the exploration deck.</t>
  </si>
  <si>
    <t>952e15c3-8d01-40bc-b990-1e6137c06952</t>
  </si>
  <si>
    <t>Poisonous Spores</t>
  </si>
  <si>
    <t>Revelation - Attach to your location.
Forced - At the end of the round: Each investigator at the attached location who is poisoned takes 2 horror. Each investigator at the attached location who is not poisoned must put a set-aside Poisoned weakness into play in his or her threat area, instead. Discard Poisonous Spores.</t>
  </si>
  <si>
    <t>965b70a3-735a-4ebd-a3c1-5cab0367cf65</t>
  </si>
  <si>
    <t>Time-Wracked Woods</t>
  </si>
  <si>
    <t>η η: Choose a non-[[elite]] card worth vengeance points in the victory display. Place that card in the encounter discard pile. (Group limit once per game.)</t>
  </si>
  <si>
    <t>c09da216-9316-4598-a4fa-d045889e367b</t>
  </si>
  <si>
    <t>Stone Altar</t>
  </si>
  <si>
    <t>Forced - After you enter Stone Altar: Reveal a random chaos token from the chaos bag.
If you reveal a ε, α, β, γ, δ, or ζ symbol, lose 1 action. If you cannot, take 1 horror instead.</t>
  </si>
  <si>
    <t>8b19a9e2-aa55-4183-8e58-e947743f98ae</t>
  </si>
  <si>
    <t>Apex Strangleweed</t>
  </si>
  <si>
    <t>Creature. Flora.</t>
  </si>
  <si>
    <t>Alert. Retaliate.
Forced - After Apex Strangleweed makes an attack of opportunity against you: Check your supplies. If you do not have a pocket knife, lose all remaining actions and end your turn.</t>
  </si>
  <si>
    <t>e307bd15-105c-4c70-845e-174396214342</t>
  </si>
  <si>
    <t>Basilisk</t>
  </si>
  <si>
    <t>Monster. Serpent.</t>
  </si>
  <si>
    <t>Prey - Nearest to the Mouth of K'n-yan.
Hunter.
Forced - After a pillar token is placed on the Mouth of K'n-yan: Shuffle one copy of Basilisk into the encounter deck. (Max once per round.)
Vengeance 2.</t>
  </si>
  <si>
    <t>7b5f3366-ac09-463f-903a-587c77859210</t>
  </si>
  <si>
    <t>Ants!</t>
  </si>
  <si>
    <t>Revelation - Test ί (4). For each point you fail by, discard a random card from your hand or choose and discard a card from your play area.</t>
  </si>
  <si>
    <t>5e1d3be4-003b-40e0-a9b9-646dda980aa6</t>
  </si>
  <si>
    <t>Vast Passages</t>
  </si>
  <si>
    <t>Ancient. Cave.</t>
  </si>
  <si>
    <t>As an additional cost for you to explore while at Vast Passages, check your supplies. If no investigator at this location has binoculars, you must spend 1 additional action.</t>
  </si>
  <si>
    <t>af3c30e0-1bf1-48e5-be93-10bd663adc26</t>
  </si>
  <si>
    <t>Hall of Idolatry</t>
  </si>
  <si>
    <t>Forced - After you put Hall of Idolatry into play by successfully exploring: Check Campaign Log. If there are 5 or more tally marks under "Yig's Fury", draw the top card of the encounter deck (top 2 cards instead if there are 10 or more tally marks).</t>
  </si>
  <si>
    <t>33b5d9ed-a1cd-49ad-bdc9-bb20aac1f55f</t>
  </si>
  <si>
    <t>Dark Hollow</t>
  </si>
  <si>
    <t>Forced - After Dark Hollow enters play, check your supplies. If no investigator has a map: Place 1π additional clues on Dark Hollow.</t>
  </si>
  <si>
    <t>1d1a577e-ac74-4865-bcf9-a6942e3d30f5</t>
  </si>
  <si>
    <t>Perilous Gulch</t>
  </si>
  <si>
    <t>Forced - After you fail a skill test while investigating Perilous Gulch: Check your supplies. If no investigator at this location has rope, place 1 doom on Perilous Gulch.</t>
  </si>
  <si>
    <t>0f666fd7-4793-4812-a921-c3b427d4d1f1</t>
  </si>
  <si>
    <t>Crystal Pillars</t>
  </si>
  <si>
    <t>Forced - After you enter Crystal Pillars: Test ά (1). This test gets +1 difficulty for each vengeance point in the victory display. If you fail, take 1 damage and 1 horror.</t>
  </si>
  <si>
    <t>1f682288-9581-47fb-b6a7-478d71d42bd5</t>
  </si>
  <si>
    <t>Descent to Yoth</t>
  </si>
  <si>
    <t>Forced - After Descent to Yoth enters play: Each investigator must either place 1 doom on Descent to Yoth or draw the top 2 cards of the encounter deck.
ι After you successfully investigate Descent to Yoth: Instead of discovering clues, you may flip 1 doom on Descent to Yoth to its clue side.
Vengeance 2. Victory 2.</t>
  </si>
  <si>
    <t>2a99b5b6-ff41-4885-9740-36682660760d</t>
  </si>
  <si>
    <t>No Turning Back</t>
  </si>
  <si>
    <t>Revelation - Attach No Turning Back to your location or a connecting location. Limit 1 per location.
Investigators cannot enter or leave attached location.
η: Test ή (3) or check your supplies. If you succeed, or if you have a pickaxe, discard No Turning Back. Any investigator at a connecting location may activate this ability.</t>
  </si>
  <si>
    <t>cb709f7c-18ec-4dfe-b0ed-e4972d760454</t>
  </si>
  <si>
    <t>AU</t>
  </si>
  <si>
    <t>M1918 BAR</t>
  </si>
  <si>
    <t>Uses (8 ammo)._x000D_
η Spend 1-5 ammo: Fight. You get +X ή for this attack. Instead of its standard damage, this attack deals X damage. X is the amount of ammo spent as part of this ability's cost.</t>
  </si>
  <si>
    <t>d5252623-1d4d-4580-b1d4-2fd34a6c1dfc</t>
  </si>
  <si>
    <t>Knowledge of the Elders</t>
  </si>
  <si>
    <t>You can only include this asset in your deck by upgrading it from Ancient Stone (Unidentified), and only if you have "identified the stone" in your Campaign Log._x000D_
Uses (X secrets). X is the number in parentheses next to "you have identified the stone."_x000D_
ι When you draw any number of cards, spend that many secrets: Deal that much damage to an enemy at your location.</t>
  </si>
  <si>
    <t>fd5851eb-4227-47a9-bcd1-29f81cd7da39</t>
  </si>
  <si>
    <t>Minds in Harmony</t>
  </si>
  <si>
    <t>You can only include this asset in your deck by upgrading it from Ancient Stone (Unidentified), and only if you have "identified the stone" in your Campaign Log._x000D_
Uses (X secrets). X is the number in parentheses next to "you have identified the stone."_x000D_
ι When you draw any number of cards, spend that many secrets: Heal that much horror from a card at your location.</t>
  </si>
  <si>
    <t>9e5607b9-6801-4bb4-9489-0453beed51a2</t>
  </si>
  <si>
    <t>Slip Away</t>
  </si>
  <si>
    <t>Evade. Add your έ to your skill value for this evasion attempt. If you succeed by 2 or more and the evaded enemy is non-[[Elite]], it does not ready during the next upkeep phase.</t>
  </si>
  <si>
    <t>876a0c74-c958-44be-8dd4-b9d49a3a2d39</t>
  </si>
  <si>
    <t>Pay Day</t>
  </si>
  <si>
    <t>Illicit. Fated.</t>
  </si>
  <si>
    <t>Gain 1 resource for each action you performed this turn (including this one). If it is your turn, end your turn.</t>
  </si>
  <si>
    <t>eace0f26-6631-4263-92e4-c6b302cf223f</t>
  </si>
  <si>
    <t>Sacrifice</t>
  </si>
  <si>
    <t>Discard a μ asset you control. Then, draw 3 cards or gain 3 resources, or any combination thereof.</t>
  </si>
  <si>
    <t>c1dd4300-a66e-487c-ac06-6f33dfec5ff1</t>
  </si>
  <si>
    <t>Crystalline Elder Sign</t>
  </si>
  <si>
    <t>Item. Relic. Blessed.</t>
  </si>
  <si>
    <t>Seal (+1 or ε)._x000D_
You get +1 ά, +1 έ, +1 ή, and +1 ί.</t>
  </si>
  <si>
    <t>6f9d24fe-148d-4f02-b7de-0ee592b11d5c</t>
  </si>
  <si>
    <t>On Your Own</t>
  </si>
  <si>
    <t>Limit 1 per investigator._x000D_
Discard On Your Own if you control an asset that takes up an ally slot._x000D_
ι When you play a ξ event, exhaust On Your Own: Reduce that event's cost by 2.</t>
  </si>
  <si>
    <t>629942d1-f571-4e0b-99a8-87f2901cf9ea</t>
  </si>
  <si>
    <t>α: -1 (-3 instead if you have 5 or more cards in your hand).
γ: -3. If you fail, discard 1 random card from your hand.
β or δ: -2. If you fail, place 1 of your clues on your location.</t>
  </si>
  <si>
    <t>α: -2 (if you have 5 or more cards in your hand, you automatically fail instead).
γ: -3. For each point you fail by, discard 1 random card from your hand.
β or δ: -2. Place 1 of your clues on your location.</t>
  </si>
  <si>
    <t>599b455a-1ed9-4a8b-8de3-cd48b86652d4</t>
  </si>
  <si>
    <t>City of the Great Race</t>
  </si>
  <si>
    <t>Investigators cannot put [[item]] assets into play (including [[item]] weaknesses).</t>
  </si>
  <si>
    <t>dbf77b74-a17d-40ee-a041-370f2aaa9404</t>
  </si>
  <si>
    <t>Each investigator's maximum hand size is reduced by 2.</t>
  </si>
  <si>
    <t>d55da96b-dbd1-44d3-9ea0-98b122650084</t>
  </si>
  <si>
    <t>Humanity Fading</t>
  </si>
  <si>
    <t>Each investigator's maximum hand size is reduced by 4.</t>
  </si>
  <si>
    <t>dc9a837f-a9af-42d4-88da-0c4c5efcb6cf</t>
  </si>
  <si>
    <t>Exploring Pnakotus</t>
  </si>
  <si>
    <t>Each copy of Yithian Observer gains aloof.</t>
  </si>
  <si>
    <t>e8ef16ec-3a4e-4a49-95fd-dbaaa93648b4</t>
  </si>
  <si>
    <t>79f204a4-f23c-45a4-a458-991a1d937be1</t>
  </si>
  <si>
    <t>Repossession</t>
  </si>
  <si>
    <t>866e3e89-94bb-4f57-9caf-96904f3ee338</t>
  </si>
  <si>
    <t>Body of a Yithian</t>
  </si>
  <si>
    <t>Each of your [[ally]] assets gains the [[yithian]] trait.
ι After you commit a card to a skill test you are performing: Double the skill icons on that card. (Limit once per test.)
ε effect: +2. Draw 1 card.</t>
  </si>
  <si>
    <t>c97a01d0-caa1-428a-8afa-2b8777ac0b64</t>
  </si>
  <si>
    <t>Interview Room</t>
  </si>
  <si>
    <t>Ancient. Pnakotus.</t>
  </si>
  <si>
    <t>ι After you begin your turn in this location, if there is a [[yithian]] enemy in this location: Draw 1 card.</t>
  </si>
  <si>
    <t>76af5c04-caf0-4ffd-9fe4-f301ead1bd95</t>
  </si>
  <si>
    <t>η: Parley. Test έ (4) or ή (4) to interrogate the captive mind restrained here. If you succeed, remember that you "interviewed a subject." If you fail, take 2 horror.</t>
  </si>
  <si>
    <t>30261f4d-dbc1-4589-8a95-77e638145a0d</t>
  </si>
  <si>
    <t>Forced - After you enter this location: Test ά (3). Take 1 horror for each point you fail by.</t>
  </si>
  <si>
    <t>25aaacaa-f161-47e7-8338-d22b7230f270</t>
  </si>
  <si>
    <t>Halls of Pnakotus</t>
  </si>
  <si>
    <t>Northern Corridors</t>
  </si>
  <si>
    <t>θ During your turn, choose and discard a card from your hand: Move to another copy of Halls of Pnakotus. (Limit once per turn.)</t>
  </si>
  <si>
    <t>e8644784-196c-49f0-b8e0-4f7e27723a85</t>
  </si>
  <si>
    <t>Eastern Corridors</t>
  </si>
  <si>
    <t>38f8fe16-06e2-4309-9226-71bb5d904c9d</t>
  </si>
  <si>
    <t>Western Corridors</t>
  </si>
  <si>
    <t>7a1c36e7-cf5a-478a-bf7a-484fcc58bed4</t>
  </si>
  <si>
    <t>Great Library</t>
  </si>
  <si>
    <t>4π</t>
  </si>
  <si>
    <t>η Spend 1π clues: Test έ (3) to decipher the information you've found. If you succeed, remember that you have "found the process."
Forced - At the end of the round, if there are fewer than 4 clues on Great Library: Add clues to Great Library until there are 4 clues on it.</t>
  </si>
  <si>
    <t>983d581c-e0bf-4839-b14d-dda873a3d8ce</t>
  </si>
  <si>
    <t>Yithian Orrery</t>
  </si>
  <si>
    <t>η η If there are no clues on Yithian Orrery: Remember that you "realized what year it is."
While you are in the Yithian Orrery, increase your maximum hand size by 2.</t>
  </si>
  <si>
    <t>cbb0161d-f354-42b8-964c-48236d081ff3</t>
  </si>
  <si>
    <t>Laboratory of the Great Race</t>
  </si>
  <si>
    <t>η If there are no clues on Laboratory of the Great Race: Test ί (3) to manipulate the controls on the technological device nearby. If you succeed, remember that you "activated the device." If you fail, place 1 clue on Laboratory of the Great Race .</t>
  </si>
  <si>
    <t>1b282c6f-6180-4039-907d-fba422f6d0c5</t>
  </si>
  <si>
    <t>Deconstruction Room</t>
  </si>
  <si>
    <t>η: Test ή (4) to attempt to retrieve a valuable organ from one of the alien cadavers. This test gets +1 difficulty for each clue on Deconstruction Room. If you succeed, remember that you "dissected an organ."</t>
  </si>
  <si>
    <t>9a533506-45fd-44ea-af5d-f4f79c059506</t>
  </si>
  <si>
    <t>Towers of Pnakotus</t>
  </si>
  <si>
    <t>η: Discard any number of cards from your hand. Shuffle your discard pile into your deck and draw cards equal to 1 more than the number of cards you discarded. (Limit once per turn.)</t>
  </si>
  <si>
    <t>4a836c1f-5395-422a-b0e7-86102e8dd0ab</t>
  </si>
  <si>
    <t>The Custodian</t>
  </si>
  <si>
    <t>Curious Yithian</t>
  </si>
  <si>
    <t>Ally. Yithian.</t>
  </si>
  <si>
    <t>ι When the investigation phase begins, if The Custodian is controlled by a player: Each investigator at its location draws 1 card.
η If The Custodian is not controlled by a player: Parley. Test έ (3) to converse with the library custodian. If you succeed, something about its mannerisms seems familiar to you; place 1 of your clues on it. Then, if there are 1π clues on it, take control of The Custodian.</t>
  </si>
  <si>
    <t>fa6a4eb4-99e3-4ec7-84b8-6240210ae17e</t>
  </si>
  <si>
    <t>Keeper of the Great Library</t>
  </si>
  <si>
    <t>Spawn - Great Library.
Alert. Aloof.
If an investigator has "found the process" or "realized what year it is," Keeper of the Great Library loses aloof and gains hunter.</t>
  </si>
  <si>
    <t>01d8d99d-4dc5-4b98-b4d0-ed83234ac273</t>
  </si>
  <si>
    <t>Scientist of Yith</t>
  </si>
  <si>
    <t>Spawn - Laboratory of the Great Race.
Aloof.
If an investigator has "activated the device" or "dissected an organ," Scientist of Yith loses aloof and gains hunter.</t>
  </si>
  <si>
    <t>106716f8-2a94-4498-a102-64282773748d</t>
  </si>
  <si>
    <t>Scholar from Yith</t>
  </si>
  <si>
    <t>Prey - Most cards in hand.
Forced - When Scholar from Yith attacks you: Discard 2 random cards from your hand.
η If Scholar from Yith is ready and engaged with you: Parley. Test έ (3) to attempt to pass as a member of the creature's race. If you succeed, draw 1 card and evade Scholar from Yith. If you fail, Scholar from Yith attacks you.</t>
  </si>
  <si>
    <t>62fd2bb4-1038-4b5a-8d28-bdbdcca3addf</t>
  </si>
  <si>
    <t>Yithian Presence</t>
  </si>
  <si>
    <t>Power. Terror.</t>
  </si>
  <si>
    <t>Revelation - Put Yithian Presence into play in your threat area.
If there is a [[yithian]] enemy at your location, you cannot investigate that location or trigger η abilities on encounter cards.
η Choose and discard 2 cards from your hand: Discard Yithian Presence.</t>
  </si>
  <si>
    <t>54633634-7289-4f53-851c-e5bac5357a95</t>
  </si>
  <si>
    <t>Cruel Interrogations</t>
  </si>
  <si>
    <t>Injury. Terror.</t>
  </si>
  <si>
    <t>Revelation - Put Cruel Interrogations into play in your threat area. If any investigator has "interviewed a subject," take 1 horror and Cruel Interrogations gains surge.
You cannot take draw actions.
η: Test ά (2). If you succeed, discard Cruel Interrogations.</t>
  </si>
  <si>
    <t>68c31db5-b57c-4731-818d-aef7a2f33c3d</t>
  </si>
  <si>
    <t>Lost Humanity</t>
  </si>
  <si>
    <t>Revelation - Test ά (5). For each point you fail by, remove the top card of your deck from the game. If there are less than 10 total cards in your hand, deck and discard pile, you are driven insane.</t>
  </si>
  <si>
    <t>21efd226-a2fa-435b-aa90-97b3835182e4</t>
  </si>
  <si>
    <t>Captive Mind</t>
  </si>
  <si>
    <t>Revelation - Test ά (0). Regardless of whether this skill test succeeds or fails, choose and discard all but X cards from your hand. X is your modified skill value for this test.</t>
  </si>
  <si>
    <t>1d9c6e6a-498c-4226-b6a3-bdb13eb12a5a</t>
  </si>
  <si>
    <t>Out of Body Experience</t>
  </si>
  <si>
    <t>Madness. Paradox.</t>
  </si>
  <si>
    <t>Revelation - Shuffle each card from your hand into your deck and draw an equal number of cards. Shuffle Out of Body Experience into your deck.</t>
  </si>
  <si>
    <t>The Cavern's Maw</t>
  </si>
  <si>
    <t>After exploring the rainforest for hours, you reach the top of a steep ridge, from which you can see much of the surrounding area. Uncanny winged creatures caw at you from above, circling over the cavern entrance like vultures waiting for their meal. From this vantage point, you may be able to see approaching threats as they traverse the brush below. If only you had something to help you see farther...
Shuffle the encounter discard pile into the encounter deck.
The lead investigator chooses one investigator to be the group's lookout. That investigator checks his or her supplies. 
If the lookout has binoculars, he or she is able to see the creature approaching and avoid it. The lookout suffers no ill effects.
If the lookout does not have binoculars, discard cards from the top of the encounter deck until an enemy is discarded. Spawn that enemy at the lookout's location.</t>
  </si>
  <si>
    <t>Night comes swiftly, blanketing the rainforest in dim moonlight. The sounds of the jungle change as nocturnal creatures start to emerge. Soon, the air is filled with the buzzing and chirping of strange insects and even stranger beasts, the identity of which you are unable to determine.
The dangers of nighttime are too great to ignore, and the darkness makes it difficult for you to study the glyphs and patterns necessary to shift the pillars correctly. You have no choice but to set up camp and continue your exploration in the morning.
Each surviving investigator immediately resigns.</t>
  </si>
  <si>
    <t>With a deep rumbling that shakes the ground outside, something inside the cavern shifts. In a distinct sequence, the six obelisks slowly descend into the ground, twisting and turning. The serpent creature that guarded the cavern lets out a shriek of anger and hate before flying off and vanishing behind the treeline. One by one, the stone pillars disappear into the dirt, and the Earth stops shaking.
(-&gt;R1)</t>
  </si>
  <si>
    <t>Check Campaign Log. If the Harbinger is still alive:
From the entrance far behind you, a threatening hiss and an all-too-familiar rattling causes you to freeze in terror. You grip the nearest weapon you can find and turn in fright, hands trembling. How has it followed you this far? When will this awful hunt end?
Search the collection for the Harbinger of Valusia and spawn it at the location farthest from all investigators (if there are 8 or more tally marks under "Yig's Fury" in your Campaign Log, it enters play at the lead investigator's location, instead). It enters play with damage on it equal to the amount of damage recorded in parentheses in your Campaign Log.</t>
  </si>
  <si>
    <t>η If there are no clues on your location: Explore. Draw the top card of the exploration deck. If it is a connecting location, put it into play and move to it.
*This agenda gets +1π doom threshold.</t>
  </si>
  <si>
    <t>Without warning, a deafening crash echoes throughout the cave, and the ground under your feet rumbles with tremendous force. Stalactites and pieces of crumbling rock begin to fall from the ceiling of the cavern, striking the ground all around you and causing cracks to appear in the stone. "We have to get out of here!" you shout to Ichtaca, but by the time you realize what is coming, it is too late. The ground beneath your feet gives way, and suddenly you are falling, plummeting into the depths below...
Each surviving investigator is defeated and suffers 1 physical trauma.</t>
  </si>
  <si>
    <t>With very few landmarks to spot along the dark and lonely tunnels, you must rely on your wits and navigation skills to make your way forward without getting lost. If only you had an easy way to mark the places you have already visited...
Shuffle Descent to Yoth into the exploration deck.
The lead investigator chooses one investigator to be the group's scout. That investigator checks his or her supplies. 
If the scout has chalk, you are able to avoid traveling in circles. The scout suffers no ill effects. 
If the scout does not have chalk, place 1 clue on each location in play . Then, if the scout is on a single-sided location, shuffle that location back into the exploration deck. Move each enemy and investigator that was at that location to a connecting location nearest to the Mouth of K'n-yan.</t>
  </si>
  <si>
    <t>Before you lies an ornate and elaborately decorated doorway, a stone disc that has been rolled aside to unveil the hellish realm beyond. The caverns on the other side are bathed in a red glow. The serpent-themed statues and carvings along the walls inform you that you are on the right track.
Check Campaign Log. 
-: (-&gt;R1).
-: (-&gt;R2).</t>
  </si>
  <si>
    <t>As you traverse these strange halls, you come across a chamber you hadn't noticed before. It is filled with trinkets and items of all kinds from various civilizations. Many of them match the descriptions you have given to the city's inhabitants&amp;mdash;descriptions of the equipment you had on your person when you first encountered the creatures. Have they somehow replicated the objects you had with you? You take what you can find and continue exploring.
Each investigator searches the top 9 cards of his or her deck for up to 2 [[item]] assets and draws them. Shuffle each searched deck. Investigators are now able to put [[item]] assets into play.
Shuffle the encounter discard pile into the encounter deck.
If The Custodian is in play and not controlled by an investigator, move it to the location with the most clues on it.</t>
  </si>
  <si>
    <t>Shuffle the encounter discard pile into the encounter deck.
If The Custodian is in play and not controlled by an investigator, move it to the location with the most clues on it.
Check your supplies. If an investigator has a pendant, that investigator reads the following:
As you spend more and more time in the alien city, your memories of the past continue to fade. Then, a spark of hope returns to you, and you recall an object you once carried with you, one that brought you comfort when times were tough. You sift through the objects the Yithians replicated from your descriptions, and there you find it: a pendant on a silver chain. As you hold it, your real identity comes flooding back.
Each investigator with a pendant draws 2 cards. For the remainder of the scenario, each investigator with a pendant ignores any effect that would reduce his or her maximum hand size.</t>
  </si>
  <si>
    <t>You forget all that you once were. Your name, and your humanity, are lost. However, the lost city of Pnakotus calls to you, its peaceful halls a treasure trove of knowledge more vast than anything your mind could have comprehended before your arrival here. Your purpose lost in the haze, you live out your days with the Great Race of Yith, until one day...
Each surviving investigator is defeated.</t>
  </si>
  <si>
    <t xml:space="preserve">You explore the area near your interview chamber for some time, learning more of this city and its dwellers. It is a place of knowledge and research, inhabited by beings who call themselves the Great Race of Yith. For the most part, the Yithians allow you to explore the city without troubling you, though some of them follow you about and observe you with keen interest. As you pass through one of the city's meandering halls, you find a panel attached to the wall. It is a technological device you cannot hope to understand. As you stand in front of it, dumbfounded, one of your observers approaches cautiously. It extends one of its claw-appendages and manipulates the panel in a convoluted manner. To your surprise, the wall in front of you slides open to reveal another series of halls. The creature steps aside to let you pass.
Put each set-aside location into play (Great Library, Laboratory of the Great Race, Yithian Orrery, Deconstuction Room, and Towers of Pnakotus). Choose one of those locations at random. Put the set-aside The Custodian asset into play at the randomly chosen location.
</t>
  </si>
  <si>
    <t>Objective - If three of the following are true, you must advance:
&amp;mdash;An investigator "found the process."
&amp;mdash;An investigator "dissected an organ."
&amp;mdash;An investigator "interviewed a subject."
&amp;mdash;An investigator "realized what year it is."
&amp;mdash;An investigator "activated the device."
&amp;mdash;An investigator controls The Custodian.</t>
  </si>
  <si>
    <t>You believe you have discovered the process used by the Yithians to transport you here. But the truth is hard to accept. Your body was never brought to this place. Your mind has been transferred into the body of one of these creatures. Somewhere, in another place-in another time-one of the reviled creatures dwells in your body.
You no longer have to perform any of the following tasks. However, the more you have performed by the time the scenario ends, the easier the transition to your human body will be, and the less likely the process is to fail or backfire. Be careful...
Place this act in the victory display with this side faceup, as a reminder.
-An investigator "found the process."
-An investigator "dissected an organ."
-An investigator "interviewed a subject."
-An investigator "realized what year it is."
-An investigator "activated the device."
-An investigator controls The Custodian.</t>
  </si>
  <si>
    <t xml:space="preserve">Each Yithian Observer gains hunter.
η Spend 1 clue: Draw. Draw 2 cards instead of 1. If your hand exceeds your maximum hand size, draw 1 additional card.
Objective - If each surviving investigator has 10 or more cards in his or her hand, immediately advance. </t>
  </si>
  <si>
    <t>The machine whirs with intense vibration. It has taken many hours to construct, and you have had to build it in secret, using the knowledge you have gathered from the various areas within the city. It is a strange device of rods, wheels, and glass, about the size of a small filing cabinet. A circular mirror in the center sends your alien reflection staring back at you.
You activate the device, and you feel a tugging on your psyche, stretching your consciousness across the aether of space and time. The memories come flooding back.
(-&gt;R1)</t>
  </si>
  <si>
    <t>Deck Size: What it used to be, when you were human.
Deckbuilding Options: Yithians can't build decks.
Deckbuilding Requirements: Do you remember...?</t>
  </si>
  <si>
    <t>Pillars of Judgement</t>
  </si>
  <si>
    <t>Knyan</t>
  </si>
  <si>
    <t>The Depths Beneath</t>
  </si>
  <si>
    <t>η: Check your supplies.If you have a map, look at the top 2 cards of the exploration deck. Discard each treachery looked at by this effect. Shuffle the exploration deck.</t>
  </si>
  <si>
    <t>0494b53f-d03c-42ff-b7c8-f5185babe0e9</t>
  </si>
  <si>
    <t>The Depths of Yoth</t>
  </si>
  <si>
    <t>TDOY</t>
  </si>
  <si>
    <t>4ee386b3-19fe-4718-8546-d092ae121791</t>
  </si>
  <si>
    <t>AV</t>
  </si>
  <si>
    <t>Handcuffs</t>
  </si>
  <si>
    <t>Item. Police.</t>
  </si>
  <si>
    <t>η If Handcuffs is not attached to an enemy: Evade. Use only on a [[Humanoid]] enemy. This evasion attempt uses ή instead of ί. If you succeed, attach Handcuffs to the just-evaded enemy._x000D_
If the attached enemy is non-[[Elite]], it cannot ready and doom cannot be placed on it.</t>
  </si>
  <si>
    <t>e18601aa-21ed-4468-8e2c-a613bfd1f75a</t>
  </si>
  <si>
    <t>Blood Eclipse</t>
  </si>
  <si>
    <t>As an additional cost to play Blood Eclipse, take up to 3 damage._x000D_
Fight. This attack uses ά instead of ή. You get +1 ά and deal +1 damage for this attack for each damage taken as part of this card's cost.</t>
  </si>
  <si>
    <t>336f8a91-80d9-4e56-9319-9c54d177472e</t>
  </si>
  <si>
    <t>Feed the Mind</t>
  </si>
  <si>
    <t>Uses (3 secrets)._x000D_
η Exhaust Feed the Mind and spend 1 secret: Test έ (0). For each point you succeed by, draw 1 card. Then, take 1 horror for each card in your hand in excess of your maximum hand size.</t>
  </si>
  <si>
    <t>80f17c0a-b83a-4005-b263-0266b7b6b706</t>
  </si>
  <si>
    <t>Colt Vest Pocket</t>
  </si>
  <si>
    <t>Uses (5 ammo)._x000D_
η Spend 1 ammo: Fight. You get +1 ή for this attack. This attack deals +1 damage._x000D_
Forced - At the end of the round: Discard Colt Vest Pocket.</t>
  </si>
  <si>
    <t>2fbc296b-cf99-4e32-bafe-b5b7f2f184cd</t>
  </si>
  <si>
    <t>Coup de Grâce</t>
  </si>
  <si>
    <t>Tactic. Fated.</t>
  </si>
  <si>
    <t>Deal 1 damage to an enemy at your location. If this effect defeats that enemy, draw 1 card. If it is your turn, end your turn. This action does not provoke attacks of opportunity.</t>
  </si>
  <si>
    <t>4e70891d-c8cf-4b97-af2e-01f295ebf389</t>
  </si>
  <si>
    <t>The Skeleton Key</t>
  </si>
  <si>
    <t>Exceptional. Fast._x000D_
η: Attach The Skeleton Key to your location. If it is already attached to your location, detach it and return it to your play area instead._x000D_
Set the attached location's shroud value to 1.</t>
  </si>
  <si>
    <t>df1b6b4d-f263-4c9a-9a30-6ed8c1353208</t>
  </si>
  <si>
    <t>Uses (5 charges)._x000D_
η Spend 1 charge: Evade. This evasion attempt uses ά instead of ί. You get +3 ά for this evasion attempt. If you succeed, after evading the chosen enemy, you may move to a connecting location. If a α, β, γ, δ, or ζ symbol is revealed during this evasion attempt, choose and discard a card from your hand.</t>
  </si>
  <si>
    <t>655e57bc-72fc-4bb6-b971-dc8cb8d96519</t>
  </si>
  <si>
    <t>Winging It</t>
  </si>
  <si>
    <t>You may play Winging It from your discard pile. If you do, shuffle it into your deck after resolving its effects._x000D_
Investigate. Your location gets -1 shroud for this investigation. (If you played Winging It from your discard pile, discover 1 additional clue if you succeed.)</t>
  </si>
  <si>
    <t>2990c62d-efff-4442-9084-97e491b814e6</t>
  </si>
  <si>
    <t>Old Hunting Rifle</t>
  </si>
  <si>
    <t>Uses (3 ammo)._x000D_
η Spend 1 ammo: Fight. You get +3 ή and deal +2 damage for this attack. If a α or ζ symbol is revealed during this attack, the rifle jams. (This attack automatically fails. Before you can activate this ability again, you must perform the following ability: "η: You clear the jam.")</t>
  </si>
  <si>
    <t>83868b15-c1e5-40b7-b248-e7bb29904491</t>
  </si>
  <si>
    <t>Thermos</t>
  </si>
  <si>
    <t>Uses (3 supplies)._x000D_
η Spend 1 supply, exhaust Thermos: Heal 1 damage from an investigator at your location (2 damage instead if he or she has 2 or more physical trauma)._x000D_
η Spend 1 supply, exhaust Thermos: Heal 1 horror from an investigator at your location (2 horror instead if he or she has 2 or more mental trauma).</t>
  </si>
  <si>
    <t>d8c9c917-aec2-4bc1-93dc-3b3cd1d44135</t>
  </si>
  <si>
    <t>Hemispheric Map</t>
  </si>
  <si>
    <t>While your current location is connected to at least 2 other locations, you get +1 ά and +1 έ._x000D_
While your current location is connected to at least 4 other locations, you get an additional +1 ά and +1 έ.</t>
  </si>
  <si>
    <t>6705ff5f-bf95-4310-83d6-30fb1684e8ae</t>
  </si>
  <si>
    <t>Timeworn Brand</t>
  </si>
  <si>
    <t>η If Timeworn Brand is ready: Fight. You get +2 ή and deal +1 damage for this attack._x000D_
η Exhaust Timeworn Brand: Fight. Add your ά to your skill value for this attack. This attack deals +3 damage. If this attack defeats an [[Elite]] enemy, draw 3 cards. (Max once per game.)</t>
  </si>
  <si>
    <t>6876db05-c1e2-4e46-b172-1739f700f716</t>
  </si>
  <si>
    <t>Easy / Standard_x000D_
α: -X. X is the current depth level._x000D_
β: Reveal another token. If you fail, each [[Serpent]] enemy at your location or a connecting location heals 2 damage._x000D_
γ: Reveal another token. If you fail, place 1 clue on your location (from the token pool)._x000D_
δ: -2. If there are 3 or more vengeance points in the victory display, you automatically fail this test, instead.</t>
  </si>
  <si>
    <t>Hard / Expert_x000D_
α: -X. X is the current depth level. If you fail, take 1 horror._x000D_
β: Reveal another token. If you fail, each [[Serpent]] enemy at your location or a connecting location heals 2 damage._x000D_
γ: Reveal another token. If you fail, place 1 clue on your location (from the token pool)._x000D_
δ: -4. If there are 3 or more vengeance points in the victory display, you automatically fail this test, instead.</t>
  </si>
  <si>
    <t>3fc2759d-a3a7-45b2-be16-854895115bbc</t>
  </si>
  <si>
    <t>The Descent Begins</t>
  </si>
  <si>
    <t>City of the Damned</t>
  </si>
  <si>
    <t>Find the enemy that is in pursuit with the highest evade value, and spawn it in the location where the investigators began at this depth level.</t>
  </si>
  <si>
    <t>464121d8-849d-4945-a07d-7169286e7369</t>
  </si>
  <si>
    <t>Horrific Descent</t>
  </si>
  <si>
    <t>Fountain of Venom</t>
  </si>
  <si>
    <t>Find the enemy that is in pursuit with the highest evade value, and spawn it at the location where the investigators began at this depth level._x000D_
Check your supplies. If an investigator has a canteen, that investigator must decide: _x000D_
- This could be useful. Remember that you have "collected a strange liquid."_x000D_
- I'm not going anywhere near that.You suffer no ill effects.</t>
  </si>
  <si>
    <t>de6357c3-3817-404d-9272-8060ee0763f1</t>
  </si>
  <si>
    <t>Endless Caverns</t>
  </si>
  <si>
    <t>Deep below the Earth</t>
  </si>
  <si>
    <t>Find the enemy that is in pursuit with the highest evade value, and spawn it at the location where the investigators began at this depth level._x000D_
The lead investigator chooses one investigator to be the group's scout. That investigator checks his or her supplies._x000D_
If the scout has rope, he or she is able to climb up with ease, and the investigators suffer no ill effects. _x000D_
If the scout does not have rope, he or she must test ή or ί (5). If the performing investigator fails, he or she makes it to the top but suffers 1 physical trauma from the exhaustion of the climb.</t>
  </si>
  <si>
    <t>94b133fb-3875-4499-be79-a7bfbab1b78e</t>
  </si>
  <si>
    <t>City of Blood</t>
  </si>
  <si>
    <t>The Sleeper's Pursuit</t>
  </si>
  <si>
    <t>If the Harbinger of Valusia is set aside, move it to the pursuit area._x000D_
Find the enemy that is in pursuit with the highest evade value, and spawn it at the location where the investigators began at this depth level.</t>
  </si>
  <si>
    <t>4a422def-881a-45e7-aeb8-31c4defb0e7c</t>
  </si>
  <si>
    <t>Fury That Shakes the Earth</t>
  </si>
  <si>
    <t>Forced - After the third doom is placed on this agenda: Find the enemy that is in pursuit with the highest evade value, and spawn it at the location where the investigators began at this depth level.</t>
  </si>
  <si>
    <t>Yig Emerges</t>
  </si>
  <si>
    <t>Find the enemy that is in pursuit with the highest evade value, and spawn it at the location where the investigators began at this depth level._x000D_
If Yig is set aside:_x000D_
The ground shakes with each of the massive creature's steps. He crushes the stone beneath his mighty feet, tearing through walls with his clawed, scaly hands. He sets his hateful eyes on you, unhinging his jaw in a cruel display of hunger._x000D_
Spawn Yig in the location where the investigators began at this depth level.</t>
  </si>
  <si>
    <t>3055b330-ea7e-47b0-8b7b-0db55b041b2e</t>
  </si>
  <si>
    <t>The Red Depths</t>
  </si>
  <si>
    <t>Forced - After any amount of doom is placed on this agenda: Find the enemy that is in pursuit with the highest evade value, and spawn it at the location where the investigators began at this depth level.</t>
  </si>
  <si>
    <t>The Serpents' Final Bite</t>
  </si>
  <si>
    <t>Find the enemy that is in pursuit with the highest evade value, and spawn it in the location where the investigators began at this depth level._x000D_
Until the end of the scenario, the current agenda gains: "Forced - After any amount of doom is placed on the current agenda: Find the enemy that is in pursuit with the highest evade value, and spawn it in the location where the investigators began at this depth level."_x000D_
Place this card in the pursuit area with this side faceup, as a reminder.</t>
  </si>
  <si>
    <t>895f706a-3263-4cc1-b5ff-3fc157def818</t>
  </si>
  <si>
    <t>VENGEANCE</t>
  </si>
  <si>
    <t>Forced - At the end of the 'check doom threshold' step of the mythos phase: The investigators must draw 1 additional encounter card for each doom in play, in player order._x000D_
Objective - If each investigator is defeated, advance this agenda.</t>
  </si>
  <si>
    <t>The Chasm</t>
  </si>
  <si>
    <t>1f204153-9aa1-4c95-9e5d-deb7b8b16481</t>
  </si>
  <si>
    <t>Journey to the Nexus</t>
  </si>
  <si>
    <t>η If there are no clues on your location: Explore. Draw the top card of the exploration deck. If it is a connecting location, put it into play and move to it._x000D_
Objective - At the end of the round, if investigators at Steps of Yoth possess the requisite number of clues, they may advance. (Beware - any investigator who is not at Steps of Yoth will be defeated.)</t>
  </si>
  <si>
    <t>One Level Deeper</t>
  </si>
  <si>
    <t>Add 1 resource to the current depth level. If the current depth level is 5+ and you are playing in Campaign Mode, go to (-&gt;R2)._x000D_
Otherwise, perform the following:_x000D_
- Each investigator who is not at Steps of Yoth is left behind and is defeated. Each surviving investigator loses each of his or her clues. _x000D_
- Move each enemy in play to the pursuit area._x000D_
- Remove all doom from locations in play. Set each location in play and in the exploration deck aside, out of play. Investigators are not defeated during this process._x000D_
- Draw a random set-aside location other than Steps of Yoth, put it into play, and place each surviving investigator at that location._x000D_
- Create a new exploration deck consisting of Steps of Yoth and 4 other random set-aside locations. Shuffle the exploration deck._x000D_
- Flip this act back over. Journey as deep as you can…</t>
  </si>
  <si>
    <t>1ec867c4-b0c0-42e4-8b6a-f57f83c74eca</t>
  </si>
  <si>
    <t>Steps of Yoth</t>
  </si>
  <si>
    <t>Ancient. Forgotten. Yoth.</t>
  </si>
  <si>
    <t>ι When adding to the current depth level, if investigators at Steps of Yoth possess 5π clues as a group, an investigator at Steps of Yoth crosses rope off from his or her supplies: Add 1 additional resource to the current depth level. (Max once per game.)</t>
  </si>
  <si>
    <t>93d0dc54-236b-40c9-abb0-60fac45d6b04</t>
  </si>
  <si>
    <t>City of the Serpents</t>
  </si>
  <si>
    <t>Ancient. Cave. Yoth.</t>
  </si>
  <si>
    <t>While City of the Serpents has no clues on it, it is considered to be in the victory display (for the purposes of counting vengeance).</t>
  </si>
  <si>
    <t>0b0c6e37-8804-4eb2-a2e3-dfa2b6666114</t>
  </si>
  <si>
    <t>Hall of Heresy</t>
  </si>
  <si>
    <t>While an investigator is in Hall of Heresy, it is considered to be in the victory display (for the purposes of counting vengeance).</t>
  </si>
  <si>
    <t>41fa1d15-e606-486f-bbc0-3c59a68e7ae4</t>
  </si>
  <si>
    <t>Crumbling Precipice</t>
  </si>
  <si>
    <t>Forced - When you attempt to explore while at Crumbling Precipice: Test ά (4). If you fail, test ί (3). If you fail, test ή (2). If you fail, you fall to your death and are killed. (If you succeed at any of these tests, you explore as usual.)</t>
  </si>
  <si>
    <t>07ac1e64-3486-4504-b111-359b9049fa2f</t>
  </si>
  <si>
    <t>Caverns of Yoth</t>
  </si>
  <si>
    <t>Forced - After Caverns of Yoth enters play: Place clues on it equal to the current depth level.</t>
  </si>
  <si>
    <t>b94c4560-7fe7-4d19-aea8-e0cac3781d47</t>
  </si>
  <si>
    <t>Forked Path</t>
  </si>
  <si>
    <t>Forced - When you explore while at Forked Path, check your supplies. If you have a map: Continue drawing cards from the exploration deck until you have drawn 2 connecting locations, if able. Put both of those locations into play and choose 1 to move to.</t>
  </si>
  <si>
    <t>84d4bc64-aa84-4ede-a0eb-ab858ad14ded</t>
  </si>
  <si>
    <t>Bridge over N'kai</t>
  </si>
  <si>
    <t>Bridge over N'kai gets +1 shroud for each vengeance point in the victory display.</t>
  </si>
  <si>
    <t>1b7152da-96ae-4bd9-a778-23bbcb4a3ed3</t>
  </si>
  <si>
    <t>Broken Passage</t>
  </si>
  <si>
    <t>Forced - When you explore while at Broken Passage, check your supplies. If you do not have a pickaxe: Place 1 doom on Broken Passage.</t>
  </si>
  <si>
    <t>48708e1a-6021-40d0-ad6c-7d9a5ef894ad</t>
  </si>
  <si>
    <t>Abandoned Site</t>
  </si>
  <si>
    <t>X is the current depth level.</t>
  </si>
  <si>
    <t>e6a9042c-94a9-4ee1-b485-c74086f2a36a</t>
  </si>
  <si>
    <t>Bright Canyon</t>
  </si>
  <si>
    <t>Forced - After you enter Bright Canyon, if you are poisoned: Take 1 damage._x000D_
η: Check your supplies. If you have binoculars, discover 2 clues on Bright Canyon. (Group limit once each depth level.)</t>
  </si>
  <si>
    <t>736032a4-bfdd-408e-8547-5148a271bc34</t>
  </si>
  <si>
    <t>Yig</t>
  </si>
  <si>
    <t>The Father of Serpents</t>
  </si>
  <si>
    <t>Ancient One. Serpent. Elite.</t>
  </si>
  <si>
    <t>Hunter. Massive._x000D_
Yig gets +6π health._x000D_
Yig cannot be damaged while there is another ready [[Serpent]] enemy at its location._x000D_
Each other [[Serpent]] enemy at Yig's location gains alert and retaliate.</t>
  </si>
  <si>
    <t>fd16f750-79d2-432a-ad22-410720cd76b0</t>
  </si>
  <si>
    <t>Pit Warden</t>
  </si>
  <si>
    <t>Spawn - If Yig is in play, spawn Pit Warden at Yig's location. Otherwise, place Pit Warden in the pursuit area._x000D_
Hunter.</t>
  </si>
  <si>
    <t>47ce8ab2-7c1c-4f16-8940-125a8ba009e1</t>
  </si>
  <si>
    <t>Eater of the Depths</t>
  </si>
  <si>
    <t>Spawn - Put a random set-aside location into play and spawn Eater of the Depths there._x000D_
Hunter. Massive._x000D_
X is the current depth level.</t>
  </si>
  <si>
    <t>7896d01c-88e8-4cd3-b8ba-d5f90e85c7f3</t>
  </si>
  <si>
    <t>Children of Valusia</t>
  </si>
  <si>
    <t>Revelation - Put Children of Valusia into play next to the agenda deck._x000D_
Each [[Serpent]] enemy gets +1 fight and +1 evade._x000D_
Forced - At the end of the round: Discard 1 copy of Children of Valusia from play. (Max once per round.)</t>
  </si>
  <si>
    <t>7df4c15d-ddbe-4f7e-967e-7b584a6a864d</t>
  </si>
  <si>
    <t>Lightless Shadow</t>
  </si>
  <si>
    <t>Revelation - Test ί (1). This test gets +X difficulty, where X is the current depth level. If you fail, take 2 damage.</t>
  </si>
  <si>
    <t>fc7b7c62-7ef8-41c7-8574-27a8cdbeb1d8</t>
  </si>
  <si>
    <t>Bathophobia</t>
  </si>
  <si>
    <t>Revelation - Test ά (1). This test gets +X difficulty, where X is the current depth level. If you fail, take 2 horror.</t>
  </si>
  <si>
    <t>e9c86453-9774-48e1-8884-24feefa208ab</t>
  </si>
  <si>
    <t>Serpent's Ire</t>
  </si>
  <si>
    <t>Revelation - If there are no [[Serpent]] enemies in pursuit, Serpent's Ire gains surge. Otherwise, find the [[Serpent]] enemy in pursuit with the highest fight value and spawn it engaged with you. If an enemy is spawned by this effect, test ί (X), where X is that enemy's fight value. If you fail, that enemy immediately attacks you.</t>
  </si>
  <si>
    <t>e672cb77-056e-4f2e-95ba-3a8484e751c7</t>
  </si>
  <si>
    <t>Repossess the Past</t>
  </si>
  <si>
    <t>θ Exhaust Relic of Ages: Test ά or έ (4). If you succeed, remove 1 doom from any card in play. (Max one success per game.)</t>
  </si>
  <si>
    <t>16ba646f-1232-48eb-9489-8650ce9c2094</t>
  </si>
  <si>
    <t>62050909-0089-4686-9ce5-12d9e7af2869</t>
  </si>
  <si>
    <t>Shattered Aeons</t>
  </si>
  <si>
    <t>The Labyrinths of Lunacy</t>
  </si>
  <si>
    <t>SHA</t>
  </si>
  <si>
    <t>LOL</t>
  </si>
  <si>
    <t>04d5f69a-a40f-49ac-914f-fa53687ea7b9</t>
  </si>
  <si>
    <t>AW</t>
  </si>
  <si>
    <t>Kerosene</t>
  </si>
  <si>
    <t>Uses (3 supplies). If Kerosene has no supplies, discard it._x000D_
η If an enemy was defeated at this location this round, exhaust Kerosene and spend 1 supply: Heal up to 2 horror from among investigators and [[Ally]] assets at your location.</t>
  </si>
  <si>
    <t>2d5a7b01-f50d-42a3-8db3-3c383cb17912</t>
  </si>
  <si>
    <t>Flamethrower</t>
  </si>
  <si>
    <t>Body. Hand x2</t>
  </si>
  <si>
    <t>Uses (4 ammo)._x000D_
η Spend 1 ammo: Fight. The enemy chosen for this attack must be the enemy engaged with you with the highest fight. You get +4 ή for this attack. If this attack is successful, instead of its standard damage, you may assign up to 4 damage among enemies engaged with you (any additional damage adds to this total).</t>
  </si>
  <si>
    <t>4bdb5e96-f6c5-488a-8c78-d71183239041</t>
  </si>
  <si>
    <t>Vantage Point</t>
  </si>
  <si>
    <t>Fast. Play after a location enters play or is revealed during an investigator's turn._x000D_
Until the end of the active investigator's turn, that location gets -1 shroud. You may move 1 clue to that location from any other location.</t>
  </si>
  <si>
    <t>b4b13e0c-abd7-4a1e-93f7-0781cab068ee</t>
  </si>
  <si>
    <t>Pnakotic Manuscripts</t>
  </si>
  <si>
    <t>Mind-Expanding Ideas</t>
  </si>
  <si>
    <t>Item. Relic. Tome.</t>
  </si>
  <si>
    <t>Uses (3 secrets)._x000D_
ι When an investigator at your location would perform a skill test during a revelation effect, spend 1 secret: Do not reveal chaos tokens for that test._x000D_
η Spend 1 secret: Choose an investigator at your location. Do not reveal chaos tokens for the next skill test that investigator performs this round.</t>
  </si>
  <si>
    <t>6b70667e-4179-4b6e-815b-440bef3b5606</t>
  </si>
  <si>
    <t>Borrowed Time</t>
  </si>
  <si>
    <t>Exceptional._x000D_
η: Place 1 resource on Borrowed Time, as a click (to a maximum of 3 clicks on Borrowed Time). Does not provoke attacks of opportunity._x000D_
Forced - When your turn begins: Remove all clicks from Borrowed Time. You may take that many additional actions this turn.</t>
  </si>
  <si>
    <t>3394aa3b-c35a-49d3-b1b6-bc0bc0162ff9</t>
  </si>
  <si>
    <t>Max 1 committed per skill test._x000D_
If this test is successful, draw 1 card for each point you succeeded by, to a maximum of 5. Shuffle each weakness drawn by this effect back into your deck without resolving it.</t>
  </si>
  <si>
    <t>5e413d84-f3e8-4c40-8b83-fe1e69f73c6c</t>
  </si>
  <si>
    <t>Shards of the Void</t>
  </si>
  <si>
    <t>Seal (0). Uses (3 charges)._x000D_
η Spend 1 charge or release a chaos token sealed here: Fight. This attack uses ά instead of ή and deals +1 damage. You get +2 ά for this attack for each "0" token sealed on Shards of the Void. For each "0" token revealed during this attack, seal that token on Shards of the Void and this attack deals 1 additional damage.</t>
  </si>
  <si>
    <t>36561aa6-4bce-494e-80ec-c98b80088213</t>
  </si>
  <si>
    <t>Seal of the Seventh Sign</t>
  </si>
  <si>
    <t>Over the Threshold and Beyond</t>
  </si>
  <si>
    <t>Spell. Ritual.</t>
  </si>
  <si>
    <t>Seal (ζ). Uses (7 charges). If Seal of the Seventh Sign has no charges, or if it leaves play, remove it from the game._x000D_
Forced - After a α, β, γ, or δ token is revealed during any skill test: Remove 1 charge from Seal of the Seventh Sign.</t>
  </si>
  <si>
    <t>52209ebb-4ac1-4b38-b47e-a85fb7ff22c0</t>
  </si>
  <si>
    <t>Impromptu Barrier</t>
  </si>
  <si>
    <t>You may play Impromptu Barrier from your discard pile. If you do, shuffle it into your deck after resolving its effects._x000D_
Evade. The chosen enemy gets -1 evade for this evasion attempt. (If you played Impromptu Barrier from your discard pile, you may evade an additional enemy at the same location with evade X or lower. X is the amount you succeed by.)</t>
  </si>
  <si>
    <t>f981c0dc-32f1-4646-b3a2-d93d45ba37d1</t>
  </si>
  <si>
    <t>Alter Fate</t>
  </si>
  <si>
    <t>Fast. Play during any θ player window._x000D_
Choose and discard from play a non-weakness treachery that is not attached to an [[Elite]] enemy.</t>
  </si>
  <si>
    <t>9595aa3f-07ec-4d79-8d74-b8a79256e49f</t>
  </si>
  <si>
    <t>α: -1 (-4 instead if the Relic of Ages is at your location).
β: -2. If you do not succeed by at least 1, place 1 doom on the nearest [β] enemy.
γ: -2. If you are poisoned, this test automatically fails instead.
δ: -2. If you fail, shuffle the topmost [[hex]] treachery in the encounter discard pile into the exploration deck.</t>
  </si>
  <si>
    <t>α: -2 (-5 instead if the Relic of Ages is at your location).
β: -3. Place 1 doom on each [β] enemy.
γ: -3. If you are poisoned, this test automatically fails instead. If you are not poisoned and you fail, put a set-aside Poisoned weakness into play in your threat area.
δ: -3. Shuffle the topmost [[hex]] treachery in the encounter discard pile into the exploration deck.</t>
  </si>
  <si>
    <t>72c7e19e-d6f4-4b52-881d-50a629959432</t>
  </si>
  <si>
    <t>Threads of Time</t>
  </si>
  <si>
    <t>Forced - If an investigator with the Relic of Ages in his or her hand, deck, discard pile, or play area is eliminated: Immediately advance to agenda 3b.</t>
  </si>
  <si>
    <t>Shuffle the encounter discard pile into the encounter deck.
Spawn the set-aside Formless Spawn in the Nexus of N'kai.
Place this card in the victory display. It gains Vengeance 1.</t>
  </si>
  <si>
    <t>1d947ab7-49e3-4937-82ec-65194ac53c69</t>
  </si>
  <si>
    <t>Pendulous Threads</t>
  </si>
  <si>
    <t>Shuffle the encounter discard pile into the encounter deck.
If Formless Spawn is in play, place 2 doom on the Nexus of N'kai. If Formless Spawn is in the victory display, shuffle it into the encounter deck.
Place this card in the victory display. It gains Vengeance 1.</t>
  </si>
  <si>
    <t>11348581-4801-44e1-b463-1ea2d11bd9a4</t>
  </si>
  <si>
    <t>Snapped Threads</t>
  </si>
  <si>
    <t>(-&gt;R4)</t>
  </si>
  <si>
    <t>b42714b0-c093-4cb4-a2f9-63cd2522369d</t>
  </si>
  <si>
    <t>Worlds Beyond</t>
  </si>
  <si>
    <t>Forced - When an enemy would spawn at an empty location and there are no empty locations in play: Reveal cards from the exploration deck until a location is revealed. Put that location into play and spawn that enemy there. Shuffle the exploration deck.</t>
  </si>
  <si>
    <t>Shuffle the set-aside A Pocket in Time location into the exploration deck.</t>
  </si>
  <si>
    <t>871beb2e-a160-4e9e-97a2-ca45c7e74453</t>
  </si>
  <si>
    <t>Search for the Brotherhood</t>
  </si>
  <si>
    <t>Objective - If an investigator enters A Pocket in Time, advance.</t>
  </si>
  <si>
    <t>Shuffle the set-aside [[shattered]] locations into the exploration deck. Each investigator shuffles the topmost treachery in the encounter discard pile into the exploration deck.
Check Campaign Log.
Attach the set-aside Relic of Ages to A Pocket in Time, under no investigator's control.
Advance to Act 3a-The Yithian Relic.</t>
  </si>
  <si>
    <t>c68b083c-875c-4bbe-be2d-a9d133b10936</t>
  </si>
  <si>
    <t>The Yithian Relic</t>
  </si>
  <si>
    <t>η: Search your deck or discard pile for the Relic of Ages and add it to your hand. Shuffle your deck.
η If the Relic of Ages is attached to your location and there are no clues on that location: Take control of the Relic of Ages.
Objective - If an investigator controls the Relic of Ages, advance.</t>
  </si>
  <si>
    <t>If Ichtaca is set against you:
Spawn the set-aside Ichtaca in the Nexus of N'kai.
If Alejandro is set against you:
"Fools! Are you blind?" Alejandro motions to the worlds before him. "Your kind stands no chance against the ravages of time."
Spawn the set-aside Alejandro in A Pocket in Time.</t>
  </si>
  <si>
    <t>4789e966-5d6b-4fe3-a3d2-e540703d96e2</t>
  </si>
  <si>
    <t>Mend the Shatter</t>
  </si>
  <si>
    <t>η If you are at a [[shattered]] location with no clues: Test ά or έ (3). If you succeed, attach your location facedown to the Relic of Ages. Each investigator and enemy at that location is moved to A Pocket in Time.
Objective - If the number of locations attached to the Relic of Ages is equal to 1 plus the number of investigators who started the game, advance.</t>
  </si>
  <si>
    <t>If Relic of Ages (Repossess the Past) is the version of the Relic of Ages that the investigators control, proceed to (-&gt;R5).
If the investigators control any other version of the Relic of Ages, proceed to (-&gt;R1).</t>
  </si>
  <si>
    <t>426e07e6-8729-484a-a0bc-73ca0281addd</t>
  </si>
  <si>
    <t>Paradise Lost</t>
  </si>
  <si>
    <t>η If you are at a [[shattered]] location with no clues: Test ά or έ (3). If you succeed, attach your location facedown to the Relic of Ages. Each investigator and enemy at that location is moved to A Pocket in Time.
Objective - If Valusia is attached to the Relic of Ages, advance.</t>
  </si>
  <si>
    <t>1d817dd9-032c-441b-a49f-0efdce77d3be</t>
  </si>
  <si>
    <t>Timelock</t>
  </si>
  <si>
    <t>η If you are at a [[shattered]] location with no clues: Test ά or έ (3). If you succeed, attach your location facedown to the Relic of Ages. Each investigator and enemy at that location is moved to A Pocket in Time.
Objective - If Pnakotus is attached to the Relic of Ages, advance.</t>
  </si>
  <si>
    <t>(-&gt;R3)</t>
  </si>
  <si>
    <t>9964782a-d79b-452f-8e16-20a890f9f700</t>
  </si>
  <si>
    <t>Nexus of N'kai</t>
  </si>
  <si>
    <t>Unraveling the Threads</t>
  </si>
  <si>
    <t>Forced - After you move from Nexus of N'kai to an [[otherworld]] location, or vice versa: Take 1 horror for each clue on that [[otherworld]] location.
η: Explore. Draw the top card of the exploration deck. If it is a connecting location, put it into play and move to it. Do not take horror from the above Forced ability when moving via this effect.</t>
  </si>
  <si>
    <t>74080182-a727-4a63-98b0-42e0909e4bdc</t>
  </si>
  <si>
    <t>Yig's Mercy</t>
  </si>
  <si>
    <t>Check Campaign Log. If there are 16 or more tally marks under "Yig's Fury":
Ichtaca refuses your plea. Flip this card back over.
If there are 15 or fewer tally marks:
Ichtaca ceases her assault and listens to your words. "Valusia must be returned to glory. There is no other way," she decrees with bitter certainty. "Help us to achieve this goal, and you can join with us. Yig will remake you in his image, and we shall live together in our timeless paradise of Valusia."
The investigators must decide (choose one):
"I could never turn my back on humanity!" Flip this card back over. For the remainder of the scenario, you cannot parley with Ichtaca.
"I accept." Remove this card and Act 4a "Mend the Shatter" from the game and advance to the set-aside Act 4a "Paradise Lost". For the remainder of the scenario, you cannot parley with Alejandro Vela, and [[serpent]] enemies do not engage or attack you.</t>
  </si>
  <si>
    <t>Hunter. Retaliate.
η: Parley. Test έ (5) to plead for your life. If a β symbol is revealed during this test, you automatically succeed. If you fail, Ichtaca attacks you. If you succeed, flip this card over and resolve its text.</t>
  </si>
  <si>
    <t>bbe64a25-336f-4deb-a46c-6dfb3909b5dd</t>
  </si>
  <si>
    <t>Another Way</t>
  </si>
  <si>
    <t>Alejandro -if it is really him beneath that guise of humanity- contemplates your words. "Very well. We will spare you, but only if you assist the Brotherhood." He motions to the gateways all around you. "Your kind was not the first to inherit the Earth. You know this, now, from your travels. We tried to get you to understand, but in your stubbornness, you would not listen. Hear me now. The creatures that drove us to ruin will return. They will wipe humanity off this planet, and the only evidence of your existence will live on in Pnakotus. But together we can stop them. Join us, and you may yet save the Earth and yourselves."
The investigators must decide (choose one):
"I could never turn my back on humanity!" Flip this card back over. For the remainder of the scenario, you cannot parley with Alejandro Vela.
"I accept." Remove this card and Act 4a "Mend the Shatter" from the game and advance to the set-aside Act 4a "Timelock". For the remainder of the scenario, you cannot parley with Ichtaca, and [β] enemies do not engage or attack you.</t>
  </si>
  <si>
    <t>Alert. Hunter.
η: Parley. Test έ (5) to plead for your life. If a γ symbol is revealed during this test, you automatically succeed. If you fail, Alejandro Vela attacks you. If you succeed, flip this card over and resolve its text.</t>
  </si>
  <si>
    <t>6490e55a-3fe2-4c4d-a1c4-4a135eb67270</t>
  </si>
  <si>
    <t>Yuggoth</t>
  </si>
  <si>
    <t>η: Flip a clue on Yuggoth to its doom side. Draw 1 card.</t>
  </si>
  <si>
    <t>21e1dea3-83a0-4e12-8030-f854c05d3599</t>
  </si>
  <si>
    <t>Shores of R'lyeh</t>
  </si>
  <si>
    <t>Shores of R'lyeh gets +1 shroud for each doom on each card in Shores of R'lyeh (including itself).
Forced - After Shores of R'lyeh enters play: Place 1 doom on it.</t>
  </si>
  <si>
    <t>1d9a0644-1a4c-4458-acf8-0859124b94d7</t>
  </si>
  <si>
    <t>City of the Unseen</t>
  </si>
  <si>
    <t>Forced - After 1 or more doom is placed on a [β] enemy at City of the Unseen: Place 1 additional doom on that enemy.</t>
  </si>
  <si>
    <t>eba05542-79ba-44d4-940b-029d53705c26</t>
  </si>
  <si>
    <t>A Pocket in Time</t>
  </si>
  <si>
    <t>Extradimensional.</t>
  </si>
  <si>
    <t>Forced - After you move from A Pocket in Time to a [[shattered]] location, or vice versa: Take 1 damage for each clue on that [[shattered]] location.
η: Explore. Draw the top card of the exploration deck. If it is a connecting location, put it into play and move to it. Do not take damage from the above Forced ability when moving via this effect.</t>
  </si>
  <si>
    <t>65d2d198-22f5-442e-8470-c52b9098de7d</t>
  </si>
  <si>
    <t>Ruins of New York</t>
  </si>
  <si>
    <t>Shattered. Future. Ruins.</t>
  </si>
  <si>
    <t>Forced - After Ruins of New York enters play: Put the top card of the lead investigator's deck into play at this location, facedown (2 cards instead if there are 3 or 4 investigators in the game). Treat each of those cards as Flying Polyp enemies with 2 fight, 2 health, 2 evade, 1 damage, and the [[monster]] trait.</t>
  </si>
  <si>
    <t>8e0afc24-98cd-4e26-a6a8-6bd2fb920741</t>
  </si>
  <si>
    <t>Mu</t>
  </si>
  <si>
    <t>Shattered. Ancient.</t>
  </si>
  <si>
    <t>While you are at Mu, the first α, β, γ, or δ symbol you reveal during each skill test gains: "Reveal another token."</t>
  </si>
  <si>
    <t>08f10edb-be29-4429-8920-ea642aa7aece</t>
  </si>
  <si>
    <t>Atlantis</t>
  </si>
  <si>
    <t>Forced - After an ζ symbol is revealed during a skill test at any location: Place 1 doom on Atlantis. Then, if there are 3 or more doom on Atlantis, remove it from the game. Each enemy and investigator that was at Atlantis is defeated.</t>
  </si>
  <si>
    <t>f1d78a4e-87ae-40cf-a508-f3e6380f8013</t>
  </si>
  <si>
    <t>Pnakotus</t>
  </si>
  <si>
    <t>η If there are at least 3 γ tokens in the chaos bag or sealed on cards in play: Discover all of the clues on Pnakotus and draw that many cards. (Group limit once per game.)</t>
  </si>
  <si>
    <t>b8450b58-6cc4-4f93-b389-861a932b62dc</t>
  </si>
  <si>
    <t>Valusia</t>
  </si>
  <si>
    <t>η If there are at least 3 β tokens in the chaos bag or sealed on cards in play: Heal 2 damage and 2 horror. Set Valusia's shroud to 0 for the remainder of the game. (Group limit once per game.)</t>
  </si>
  <si>
    <t>8fab82bd-d9ba-456f-bffc-63645029a15a</t>
  </si>
  <si>
    <t>Plateau of Leng</t>
  </si>
  <si>
    <t>Shattered. Present-Day.</t>
  </si>
  <si>
    <t>Forced - If you reveal an δ symbol during a skill test at Plateau of Leng: Take 1 horror.</t>
  </si>
  <si>
    <t>f9b9ed93-13c5-48ed-9063-4d373a57fbde</t>
  </si>
  <si>
    <t>Formless Spawn</t>
  </si>
  <si>
    <t>From the Abyss</t>
  </si>
  <si>
    <t>Spawn - Nexus of N'kai.
Massive. Formless Spawn cannot move or be moved.
Formless Spawn gets +1 fight and +1 evade for each doom on each card in Nexus of N'kai .</t>
  </si>
  <si>
    <t>f5a87d07-b721-49e0-aa1e-af668db9a863</t>
  </si>
  <si>
    <t>Temporal Devourer</t>
  </si>
  <si>
    <t>Monster. Extradimensional.</t>
  </si>
  <si>
    <t>Spawn - Farthest [[shattered]] or [[extradimensional]] location. If there are no such locations in play, Temporal Devourer gains surge.
Hunter.
Forced - After Temporal Devourer enters a Shattered or Extradimensional location: Place 1 clue on that location .</t>
  </si>
  <si>
    <t>dd7befc2-f6ed-4a64-afcf-269050618bab</t>
  </si>
  <si>
    <t>Shattered Ages</t>
  </si>
  <si>
    <t>Revelation - Test ά (4). If you fail, place 1 clue on each location other than Nexus of N'kai.</t>
  </si>
  <si>
    <t>bf17be6b-e611-4bdc-98a6-4150e5041fa1</t>
  </si>
  <si>
    <t>Between Worlds</t>
  </si>
  <si>
    <t>Revelation - Put Between Worlds into play as an [[otherworld]] location with 3 shroud and 1 clue, and move to it. It is connected to the Nexus of N'kai. (If drawn from the exploration deck, this exploration is still considered unsuccessful.)
Forced - At the end of the round: Each investigator in Between Worlds takes 1 damage and 1 horror. If there are no investigators in this location, discard it and move each enemy that was here to Nexus of N'kai.</t>
  </si>
  <si>
    <t>72e4caaa-c2fc-45bd-982f-9dba075771e9</t>
  </si>
  <si>
    <t>Wracked by Time</t>
  </si>
  <si>
    <t>Revelation - Test ά (3). Each investigator at a [[shattered]] location must also perform this skill test. Each investigator who fails takes 2 damage. Each asset assigned damage by this effect that is not defeated is shuffled into its owner's deck.</t>
  </si>
  <si>
    <t>59f90626-8415-4234-961f-62d156c824fb</t>
  </si>
  <si>
    <t>Creeping Darkness</t>
  </si>
  <si>
    <t>Revelation - Attach to Nexus of N'kai. Place 1 doom on Creeping Darkness.
Formless Spawn gets +1π health.
η η: Test ά (3) or check your supplies. If you succeed, or if you have torches, Discard Creeping Shadows.</t>
  </si>
  <si>
    <t>0511e933-fe25-4020-8014-cd4c8aa23cb1</t>
  </si>
  <si>
    <t>Unleash the Timestream</t>
  </si>
  <si>
    <t>Forced - After you resolve a treachery while exploring: Shuffle that treachery back into the exploration deck instead of discarding it.</t>
  </si>
  <si>
    <t>88c8a01f-7824-4ff3-9df4-4437ec24d12e</t>
  </si>
  <si>
    <t>Turn Back Time</t>
  </si>
  <si>
    <t>α: -X . X is the number of locations with doom on them.
δ: -4. If you fail, place 1 doom on your location.</t>
  </si>
  <si>
    <t>α: -X . X is the total amount of doom on locations.
δ: -6. Place 1 doom on your location.</t>
  </si>
  <si>
    <t>24fcae1d-8f27-41b7-9b4d-f4ed826cf0e1</t>
  </si>
  <si>
    <t>Into the Ruins Once Again</t>
  </si>
  <si>
    <t>Shuffle the set-aside Chamber of Time location into the exploration deck.
Place this act in the victory display. It gains Vengeance 2.</t>
  </si>
  <si>
    <t>c802ada6-af92-4074-80db-144588d0c244</t>
  </si>
  <si>
    <t>The Chamber of Still Remains</t>
  </si>
  <si>
    <t>η: Explore. Draw the top card of the exploration deck. If it is a connecting location, put it into play and move to it.
Objective - Only investigators in the Chamber of Time may spend the requisite number of clues, as a group, to advance.</t>
  </si>
  <si>
    <t>Choose an investigator in the Chamber of Time to take control of the Relic of Ages.
Search the collection for Yig (The Forgotten Age card #296). Spawn it in the Chamber of Time.
Place this act in the victory display. It gains Vengeance 2.</t>
  </si>
  <si>
    <t>3497fd96-86dd-4b4f-af60-8cca3ecc9729</t>
  </si>
  <si>
    <t>Moment of Doom</t>
  </si>
  <si>
    <t>Relic of Ages gains: "η: Test ά or έ (4). If you succeed, flip a clue controlled by an investigator at your location to its doom side, and place it on your location. Then, deal 3 damage to Yig."
Objective - If Yig is defeated, advance.</t>
  </si>
  <si>
    <t>(-&gt;R1).</t>
  </si>
  <si>
    <t>0319b932-9c94-4643-8240-97e05e9db3a6</t>
  </si>
  <si>
    <t>AX</t>
  </si>
  <si>
    <t>Standard_x000D_
α: -1. Reveal another token._x000D_
β: -3. If you fail, place 1 of your clues on your location._x000D_
γ: -4. If you fail, lose 2 resources._x000D_
δ: -4. If you fail, discard a random card from your hand.</t>
  </si>
  <si>
    <t>Hard_x000D_
α: -1. Reveal another token. If you fail, you must either take 1&amp;nbsp;damage or 1 horror._x000D_
β: -3. Place 1 of your clues on your location._x000D_
γ: -4. Lose 2 resources._x000D_
δ: -4. Discard a random card from your hand.</t>
  </si>
  <si>
    <t>f555a583-ef14-428c-8382-f80a67ea873c</t>
  </si>
  <si>
    <t>Forced - At the end of the round, if there is at least 1 doom on this agenda and no group has yet triggered this ability: The lead investigator of Group A chooses a random set-aside [[Act 1]] story card and draws it. Announce the chosen card's title to all three groups. Each other lead investigator draws that story card.</t>
  </si>
  <si>
    <t>Hope Lingers</t>
  </si>
  <si>
    <t>Advance the current act card and follow its instructions._x000D_
When you are instructed to resolve Act 2 Setup, those setup instructions can be found in the rules booklet (use the section for your Group).</t>
  </si>
  <si>
    <t>2708956f-ddda-4207-ad70-e10c9ba99d3c</t>
  </si>
  <si>
    <t>c6c3a7fb-e872-4c2a-a533-591f191c684c</t>
  </si>
  <si>
    <t>Agony and Despair</t>
  </si>
  <si>
    <t>Forced - At the end of the round, if there is at least 1 doom on this agenda and no group has yet triggered this ability: The lead investigator of Group A chooses a random set-aside [[Act 2]] story card and draws it. Announce the chosen card's title to all three groups. Each other lead investigator draws that story card.</t>
  </si>
  <si>
    <t>Hope Fades</t>
  </si>
  <si>
    <t>Advance the current act card and follow its instructions._x000D_
When you are instructed to resolve Act 3 Setup, those setup instructions can be found in the rules booklet (use the section for your Group).</t>
  </si>
  <si>
    <t>b49fd1c7-d7a9-457c-be01-6b2dbf032b5e</t>
  </si>
  <si>
    <t>274bbc0d-1755-47ba-ab67-f2fbf3ed2a04</t>
  </si>
  <si>
    <t>The Mastermind</t>
  </si>
  <si>
    <t>Each [[distortion]] location gains:_x000D_
"η ξ4+1&amp;lt; T %2β+: &amp;lt;+@2 H &amp;lt;@6@~+ ά9 EIXODOLON. (Group limit once per game.)"_x000D_
Objective - If each investigator is defeated, advance this agenda.</t>
  </si>
  <si>
    <t>Hope is Lost</t>
  </si>
  <si>
    <t>In this timeline, the ritual is complete._x000D_
If you are playing in Epic Multiplayer Mode, move all damage from Eixodolon to another group's copy of Eixodolon._x000D_
Each investigator in this group is killed. (-&gt;R1)</t>
  </si>
  <si>
    <t>162cd2e5-78fd-49f4-bd4f-ef8b55391546</t>
  </si>
  <si>
    <t>Sealed In (Group A)</t>
  </si>
  <si>
    <t>Timed - Do not advance this act until you are instructed. By the time the agenda advances, investigators must possess the Key of Mysteries and the requisite number of clues. (Beware- If the agenda advanced and you do not meet this condition, each investigator in this group will be killed.)</t>
  </si>
  <si>
    <t>Success… Or Death</t>
  </si>
  <si>
    <t>If the investigators possess the Key of Mysteries and 2π clues:You push the key into the lock, and the wall of the chamber opens up, leading into a dark, narrow corridor of corrugated metal and concrete. The whistling of the pipes all around you dampens to a faint whimper.
The investigators spend 2π clues, as a group. Remove the Key of Mysteries from the game. Resolve Act 2 Setup.
If the investigators do not possess the Key of Mysteries and/or 2π clues:_x000D_
A powerful, noxious gas spews forth from the vents and fills the room. Your vision grow hazy and you collapse to the ground. "The fate that inevitably awaits us all," a sinister voice explains. Everything goes dark._x000D_
Each investigator in this group is killed. (-&gt;R1)</t>
  </si>
  <si>
    <t>6853489f-f727-4bea-adef-63b7751546c3</t>
  </si>
  <si>
    <t>Watery Grave (Group B)</t>
  </si>
  <si>
    <t>Timed - Do not advance this act until you are instructed. By the time the agenda advances, investigators at the same location must possess the requisite number of clues. (Beware- If the agenda advances and you do not meet this condition, the investigator in the Chamber of Rain will be killed.)</t>
  </si>
  <si>
    <t>A Slow Death</t>
  </si>
  <si>
    <t>If investigators at the same location possess 2π clues:_x000D_
You breath a sigh of relief as the water drains harmlessly._x000D_
Investigators at the same location spend 2π clues, as a group. Resolve Act 2 Setup.
If investigators at the same location do not possess 2π clues:_x000D_
The water level continues to rise. It fills the tank and then your lungs. You struggle in futility against the glass. Freedom is so close, and yet so far._x000D_
Each investigator loses each of his or her clues. _x000D_
The investigator in the Chamber of Rain is killed._x000D_
Resolve Act 2 Setup.</t>
  </si>
  <si>
    <t>500dfe08-f5ad-4659-8031-ec73ea11aa4f</t>
  </si>
  <si>
    <t>The Levers (Group C)</t>
  </si>
  <si>
    <t>Timed - Do not advance this act until you are instructed. Before the agenda advances, one investigator must activate the η ability on the Chamber of Regret. (Beware- If you pull the wrong lever, you will be killed.)</t>
  </si>
  <si>
    <t>Which Lever?</t>
  </si>
  <si>
    <t>If an investigator activated the η ability on the Chamber of Regret, that investigator examines the Chamber of Secrets in Group A's play area to see if its flavor text matches the lever that was pulled._x000D_
* If it does not match, rows of razor-sharp blades emerge from the walls of the chamber, dissecting you with horrifying precision. You are killed. Resolve Act 2 Setup._x000D_
* If it matches, the gate ascends, and the door in the Chamber of Night opens. Resolve Act 2 Setup.
If no investigator activated the η ability on the Chamber of Regret:Time is up. You rush to the levers, but you are too late. Rows of razor-sharp blades emerge from the walls of the chamber, dissecting you with horrifying precision._x000D_
The investigator nearest to the Chamber of Regret is killed. In the event of a tie, the investigators decide. Resolve Act 2 Setup.</t>
  </si>
  <si>
    <t>86b254c4-6ac5-4e0d-a81e-d5d8c1b1501e</t>
  </si>
  <si>
    <t>Timed - Do not advance this act until you are instructed. Before the agenda advances, one investigator must activate the η ability on the Chamber of Regret. Beware- If you pull the wrong lever, you will be killed</t>
  </si>
  <si>
    <t>If an investigator activated the η ability on the Chamber of Regret, that investigator examines the Chamber of Secrets location underneath the scenario reference card to see if its flavor text matches the lever that was pulled._x000D_
* If it does not match, rows of razor-sharp blades emerge from the walls of the chamber, dissecting you with horrifying precision. You are killed. Resolve Act 2 Setup._x000D_
* If it matches, the gate ascends, and the door in the Chamber of Night opens. Resolve Act 2 Setup.
If no investigator activated the η ability on the Chamber of Regret:_x000D_
Time is up. You rush to the levers, but you are too late. Rows of razor-sharp blades emerge from the walls of the chamber, dissecting you with horrifying precision._x000D_
The investigator nearest to the Chamber of Regret is killed. (In the vent of a tie, the investigators decide). Resolve Act 2 Setup.</t>
  </si>
  <si>
    <t>b3c6471d-3649-414e-9aa7-6d30b43c5084</t>
  </si>
  <si>
    <t>Distortions in Time (Group A)</t>
  </si>
  <si>
    <t>Timed - Do not advance this act until you are instructed. When the agenda advances, there must be at least 11 doom in play. (Beware- If the agenda advances and you do not meet this condition, each invesigator in this group will be killed.)</t>
  </si>
  <si>
    <t>Reverse Rhythm</t>
  </si>
  <si>
    <t>If there was at least 11 doom in play when the agenda advanced:_x000D_
You spin the dial on the device to its maximum value, struggling to keep hold of it as your muscles tighten and you begin to decay. The dial stops with a click, then slowly you are able to continue turning it in the same direction. You are in intense pain as it slowly turns, round and round, finally making it way back where it began. The air thins, and time returns to its original pace._x000D_
Resolve Act 3 Setup.
If there was less than 11 doom in play when the agenda advanced:Your muscles and skin tighten, and you feel your body draining of energy. You try to scream, but no air escapes your throat. Your organs shrivel and decay. The fate that inevitably awaits us all, a sinister voice explains. Within minutes, you are naught but dust._x000D_
Each investigator in this group is killed. (-&gt;R1)</t>
  </si>
  <si>
    <t>edf519c4-d5c4-4473-8d83-a3dfdae1c225</t>
  </si>
  <si>
    <t>Seeping Death (Group B)</t>
  </si>
  <si>
    <t>Timed - Do not advance this act until you are instructed. Before the agenda advances, one investigator must activate the η ability on the Chamber of Poison.</t>
  </si>
  <si>
    <t>The Pit of Poison</t>
  </si>
  <si>
    <t>If an investigator activated the η ability on the Chamber of Poison, that investigator reads the following:_x000D_
* If you have been injected, the sludge is disgusting but harmless. Resolve Act 3 Setup._x000D_
* If you have not been injected, its poison seeps through your skin, devouring your organs from inside. You are killed. Resolve Act 3 Setup.
If no investigator activated the η ability on the Chamber of Poison:_x000D_
The floors and walls of the entire labyrinth shift and turn, and you lose your balance. Sliding along the floor as gravity twists, you are knocked into the poisonous pit._x000D_
Move each investigator to the Chamber of Poison. Each investigator in this group who has not been injected is killed. Resolve Act 3 Setup.</t>
  </si>
  <si>
    <t>f4f9a3bb-b647-4f6f-8450-f1625e2ade46</t>
  </si>
  <si>
    <t>The Pet (Group C)</t>
  </si>
  <si>
    <t>Timed - Do not advance this act until you are instructed. Find a way to deal with Eixodolon's Pet before the agenda advances. (Beware- If the creature is still locked away when the agenda advances, it will break free.)</t>
  </si>
  <si>
    <t>Endless Hunger</t>
  </si>
  <si>
    <t>If you sent Eixodolon's Pet to another group:_x000D_
Choose another group, at random. At the end of the current round, that group spawns their set-aside copy of Eixodolon's Pet in one of their Labyrinthine Halls. Resolve Act 3 Setup.
If Eixodolon's Pet is in the victory display:_x000D_
You breathe a sigh of relief as the creature crumples lifelessly to the ground._x000D_
Resolve Act 3 Setup.
If neither of the above are true:_x000D_
The creature smashes through the glass of its terrarium and lashes out hungrily at anyone nearby._x000D_
Move Eixodolon's Pet to Chamber of Hunger. It attacks each investigator in the Chamber of Hunger, in player order. Resolve Act 3 Setup.</t>
  </si>
  <si>
    <t>fefaab53-49ea-44df-b920-7bdac3f88425</t>
  </si>
  <si>
    <t>The Escape</t>
  </si>
  <si>
    <t>Objective - At the end of the round, if Eixodolon has no remaining health, you may move any damage on him in excess of his health to another group's copy of Eixodolon. Then, advance.</t>
  </si>
  <si>
    <t>Parallel Labyrinths</t>
  </si>
  <si>
    <t>If any copy of Eixodolon in any surviving group's play area has health remaining:_x000D_
The figure distorts and shimmers through space-time._x000D_
Flip this act back over.
If each other surviving group's copy of Eixodolon has no health remaining:_x000D_
- If your group is the only surviving group, proceed to (-&gt;R2)._x000D_
- If only two groups survived, those groups proceed to (-&gt;R3)._x000D_
- If all three groups survived, all three groups proceed to (-&gt;R4).</t>
  </si>
  <si>
    <t>5919c177-00eb-4105-a07d-13b64cc4751a</t>
  </si>
  <si>
    <t>Objective - If Eixodolon has no remaining health, advance.</t>
  </si>
  <si>
    <t>If you are playing in standalone mode:_x000D_
Proceed to (-&gt;R2)._x000D_
If you are playing as a mini-campaign and this is the first or second group played:_x000D_
Begin as a new group to discover which resolution is reached.
If you are playing as a mini-campaign, and this is the third group played:_x000D_
- If only one group survived, proceed to (-&gt;R2)._x000D_
- If two groups survived, proceed to (-&gt;R3)._x000D_
- If all three groups survived, proceed to (-&gt;R4).</t>
  </si>
  <si>
    <t>c52ad456-85c4-4186-ba30-d97bb58b55f6</t>
  </si>
  <si>
    <t>Chamber of Secrets</t>
  </si>
  <si>
    <t>Prison. Distortion.</t>
  </si>
  <si>
    <t>Bloody Prison</t>
  </si>
  <si>
    <t>η: You pound your fists on the wall of the chamber. Nobody responds.</t>
  </si>
  <si>
    <t>71accc6d-c332-4b43-bb2b-7dce823b239f</t>
  </si>
  <si>
    <t>Mysterious Prison</t>
  </si>
  <si>
    <t>155bc3e4-bc00-4546-aba6-2331d69da40b</t>
  </si>
  <si>
    <t>Enshrouded Prison</t>
  </si>
  <si>
    <t>abcd74a9-9cd2-4a2b-bc30-5429d39a6871</t>
  </si>
  <si>
    <t>Chamber of Rain</t>
  </si>
  <si>
    <t>Distortion.</t>
  </si>
  <si>
    <t>The Chamber of Rain is sealed shut while the water flows. While it is Act 1, this location gains:_x000D_
Investigators cannot move into or out of this location._x000D_
Forced - When an investigator here draws an enemy card: Discard it and draw a new card to replace it.</t>
  </si>
  <si>
    <t>62ff2676-2c68-41b2-9101-c91afde75d11</t>
  </si>
  <si>
    <t>Chamber of Sorrows</t>
  </si>
  <si>
    <t>Prison.</t>
  </si>
  <si>
    <t>η: Test ή (1) to try to break down the door to the flooding terrarium. Regardless of whether you succeed or fail, it does not budge. Remember that you tried your best.</t>
  </si>
  <si>
    <t>3ae10f16-2962-4f82-a442-8b3e0d695a29</t>
  </si>
  <si>
    <t>η: Test ά (2) to interpret the diagram inscribed on the glass. If you succeed, take control of 1 clue on an investigator in either Chamber of Sorrows or Chamber of Rain (or from that location if you are the only investigator in the game). Any investigator in either Chamber of Sorrows or Chamber of Rain may perform this action.</t>
  </si>
  <si>
    <t>fb52a488-cc7f-449f-8f9a-76ba87819984</t>
  </si>
  <si>
    <t>Chamber of Night</t>
  </si>
  <si>
    <t>η: You call out for help as loud as you can. Nobody responds.</t>
  </si>
  <si>
    <t>1cc12b7c-5316-43f6-9ded-cb45fdddea9a</t>
  </si>
  <si>
    <t>η: Test έ (4). If you succeed, you notice strange writing inscribed along the wall; look at the revealed side of the location underneath the scenario reference card. When you are satisfied, place it back underneath the scenario reference card.</t>
  </si>
  <si>
    <t>78f85a38-3188-4a3e-b3d2-d3653562ba94</t>
  </si>
  <si>
    <t>Chamber of Regret</t>
  </si>
  <si>
    <t>No more than one investigator may be in the Chamber of Regret at a time.</t>
  </si>
  <si>
    <t>ba58c714-53ff-4d39-bea4-31d6ef8ef0d8</t>
  </si>
  <si>
    <t>Labyrinthine Halls</t>
  </si>
  <si>
    <t>Foul-smelling Path</t>
  </si>
  <si>
    <t>θ Choose and discard 2 cards from your hand: You find an old lockbox in a pile of refuse, and decide to leave something behind. At the end of the round, choose another investigator in any group. That investigator draws 2 cards. (Group limit once per game.)</t>
  </si>
  <si>
    <t>cacefbbf-36a4-4042-bfba-74287bdbc209</t>
  </si>
  <si>
    <t>Corpse-filled Path</t>
  </si>
  <si>
    <t>θ Spend 4 resources: You find the corpse of someone you think you once knew, and wish you could have saved them. At the end of the round, choose another investigator in any group. That investigator gains 4 resources. (Group limit once per game.)</t>
  </si>
  <si>
    <t>9694b3b0-914a-4c42-9948-8f7818f73f60</t>
  </si>
  <si>
    <t>Overgrown Path</t>
  </si>
  <si>
    <t>η η: You peer through an overgrown mirror and see an unfamiliar reflection. At the end of the round, choose another investigator in any group. That investigator may take 2 additional actions during his or her next turn. (Group limit once per game.)</t>
  </si>
  <si>
    <t>a75a5edc-4232-4866-847b-e33bb49af072</t>
  </si>
  <si>
    <t>Chamber of Hunger</t>
  </si>
  <si>
    <t>θ If there are no clues on Chamber of Hunger: There is something strange drawn on the glass. Take control of the set-aside Hunger Diagram.</t>
  </si>
  <si>
    <t>3fa85904-9e4d-4edb-b4d9-0b2f42fb521b</t>
  </si>
  <si>
    <t>Chamber of Decay</t>
  </si>
  <si>
    <t>θ If there are no clues on Chamber of Decay: There's a journal here with some strange scribblings. Take control of the set-aside Decay Diagram.</t>
  </si>
  <si>
    <t>ec3a83c6-789d-46e2-b80a-76eb265d6765</t>
  </si>
  <si>
    <t>Chamber of Rot</t>
  </si>
  <si>
    <t>θ If there are no clues on Chamber of Rot: There is something strange etched on the walls. Take control of the set-aside Rot Diagram.</t>
  </si>
  <si>
    <t>a6434c25-d4d1-48b9-90f3-103ad50e7bcb</t>
  </si>
  <si>
    <t>Chamber of Poison</t>
  </si>
  <si>
    <t>The ladder leading into the Chamber of Poison must be lowered. As an additional cost to enter the Chamber of Poison, investigators in the Chamber of Rot must spend 1π clues, as a group.</t>
  </si>
  <si>
    <t>91dbe868-4e64-4001-980f-6b5f287f1a0f</t>
  </si>
  <si>
    <t>78b1daa0-8ef2-4d3a-9945-dcfb34884472</t>
  </si>
  <si>
    <t>Arcane Runes</t>
  </si>
  <si>
    <t>Act 1.</t>
  </si>
  <si>
    <t>Revelation - Attach Arcane Runes to a [[Distortion]] location._x000D_
θ If there are 1π resources on this card: Flip it over and follow the instructions on its other side._x000D_
η: sTteέ)3(. fI uoy ucdee,cs ceapl 1 cesueorr no tsih cr.ad_x000D_
If an investigator in this group has successfully resolved the above ability, this card gains: η: es)3Tέ(t. oYu ancnto mctmio rdcsa ot htsi klisl e.tts fI uyo duec,esc ealcp 1 srcrouee no nhotera ugpro's coyp fo raeAnc nRues.</t>
  </si>
  <si>
    <t>Deep Within the Labyrinth…</t>
  </si>
  <si>
    <t>If you are in Group B:_x000D_
Etched upon the glass of the capsule slowly filling with water, you can see a blueprint begin to glow._x000D_
Each investigator in this group may immediately trade clues among one another. Move any number of clues from Chamber of Rain to Chamber of Sorrows, or vice-versa. Flip this card back over.
If you are in Group A:_x000D_
The runes glow, and a piece of the wall slides to reveal a secret compartment, filled with trinkets._x000D_
Put the Key of Mysteries into play at the Chamber of Secrets. Flip this card back over.
If you are in Group C:_x000D_
The runes in your chamber shift to form a word._x000D_
The word you see is the same word inscribed upon the wall of the Chamber of Secrets in Group A's play area (you may examine Group A's play area) Flip this card back over.</t>
  </si>
  <si>
    <t>182f682b-9f14-4c22-a977-c7a63ffd165c</t>
  </si>
  <si>
    <t>The Rift</t>
  </si>
  <si>
    <t>Act 1. Act 2.</t>
  </si>
  <si>
    <t>Revelation - Attach The Rift to the current act. If it is act 1, Groups B and C put the set-aside Key of Mysteries into play at a [[Distortion]] location._x000D_
Forced - At the end of the round, if there is at least 3 doom on each group's agenda: The rift opens wide enough for an investigator to step through. Choose an investigator at any location to enter the rift. Then, that investigator flips this card over and follows the instructions on its other side.</t>
  </si>
  <si>
    <t>Each investigator that entered the rift takes this story card and meets in private, away from each group. Investigators within the rift can speak freely, and may exchange any number of clues, resources, cards in hand, or story assets controlled. Once the investigators are satisfied, each investigator returns to his or her original group. Flip this card back over.</t>
  </si>
  <si>
    <t>03fc5d18-fd91-424f-8fbe-01d267d25a5e</t>
  </si>
  <si>
    <t>The Vent</t>
  </si>
  <si>
    <t>Revelation - Place The Vent in a [[Distortion]] location. If it is act 1, Groups B and C put the set-aside Key of Mysteries into play at that location._x000D_
θ: Place any number of your resource tokens or clues on this card, and/or place any number of [[Item]] assets you control underneath this card. You may also place a written note underneath this card._x000D_
η: Take control of any number of tokens, cards, or notes on/underneath this card._x000D_
ι At the end of the round: You send all of the tokens and cards gathered here through the ventilation shaft. Flip this card over and follow the instructions on the other side.</t>
  </si>
  <si>
    <t>Take the cards, tokens, and notes on or underneath this card and place them on or underneath another group's copy of The Vent._x000D_
Flip this card back over.</t>
  </si>
  <si>
    <t>b6b4cd34-035a-4cc4-a45b-a00c70e18b3c</t>
  </si>
  <si>
    <t>The Dilemma</t>
  </si>
  <si>
    <t>Act 2.</t>
  </si>
  <si>
    <t>Revelation - Put The Dilemma into play, next to the act deck. _x000D_
The current act gains:  At the end of the round: Desperate, you are willing to sacrifice yourself for the benefit of the other groups. Flip The Dilemma over and follow the instructions on the other side.</t>
  </si>
  <si>
    <t>You must choose and discard all but X cards from your hand, and remove all but X resources from your resource pool. X is the amount of doom on the current agenda.
Read the following to each group aloud:_x000D_
The words and letters on the note shift and change to form a strange diagram._x000D_
The lead investigator of Group A takes control of the set-aside Rot Diagram._x000D_
The lead investigator of Group B takes control of the set-aside Hunger Diagram._x000D_
The lead investigator of Group C takes control of the set-aside Decay Diagram._x000D_
Remove each group's copy of The Dilemma from the game.</t>
  </si>
  <si>
    <t>a74f55de-c7e4-49de-9948-c5bc2248efa1</t>
  </si>
  <si>
    <t>The Gate</t>
  </si>
  <si>
    <t>Revelation - Attach The Gate to a [[Distortion]] location._x000D_
η Spend 1 clue: You enter the doorway. Flip this story card over and follow the instructions on its other side.</t>
  </si>
  <si>
    <t>Depending on which group you are in, put a different location into play, as follows:_x000D_
- If you are in Group A, put the Chamber of Rot into play._x000D_
- If you are in Group B, put the Chamber of Hunger into play._x000D_
- If you are in Group C, put the Chamber of Decay into play._x000D_
Disengage from each enemy and move to the location just put into play._x000D_
Until there is at least 5 doom on the current agenda, that location is not considered to be connected to any other location._x000D_
Remove this card from the game.</t>
  </si>
  <si>
    <t>61fb1a4c-b8c4-492e-b62c-d0ac5a6412c6</t>
  </si>
  <si>
    <t>Encrypted Glyphs</t>
  </si>
  <si>
    <t>Revelation - Attach Encrypted Glyphs to a [[Distortion]] location._x000D_
Forced - If there is at least 1 horror and 1π damage on this card: Flip it over and follow the instructions on its other side._x000D_
η: Test έ (2) to attempt to decipher the glyphs. If you succeed, place 1 damage on this card._x000D_
η: Test ά (4) to move the glyphs to their proper order. If you succeed, place 1 horror on each group's copy of Encrypted Glyphs.</t>
  </si>
  <si>
    <t>If you are in Group A:_x000D_
Choose an investigator to take control of the set-aside Rot Diagram. Remove this card from the game.
If you are in Group B:_x000D_
Choose an investigator to take control of the set-aside Hunger Diagram. Remove this card from the game.
If you are in Group C:_x000D_
Choose an investigator to take control of the set-aside Decay Diagram. Remove this card from the game.</t>
  </si>
  <si>
    <t>0a109bdc-b669-4300-853c-a321d0b48929</t>
  </si>
  <si>
    <t>Eixodolon's Note</t>
  </si>
  <si>
    <t>Item. Script.</t>
  </si>
  <si>
    <t>Forced - When you are defeated: Give control of Eixolodon's Note to another investigator.</t>
  </si>
  <si>
    <t>655b63b0-7c6e-43b5-968c-3c15722b73c5</t>
  </si>
  <si>
    <t>Key of Mysteries</t>
  </si>
  <si>
    <t>Forced - When you are defeated: Place Key of Mysteries at your location._x000D_
While the Key of Mysteries is uncontrolled, it gains: η: Investigate. If you succeed, instead of discovering clues, take control of the Key of Mysteries.</t>
  </si>
  <si>
    <t>a2b55f0c-5180-44ab-bef2-12041c2659e6</t>
  </si>
  <si>
    <t>Mysterious Syringe</t>
  </si>
  <si>
    <t>Forced - When you are defeated: Give control of Mysterious Syringe to another investigator._x000D_
η: Choose an investigator at your location and remove Mysterious Syringe from the game. Remember that the chosen investigator has been injected.</t>
  </si>
  <si>
    <t>beff7428-875f-4616-9241-2c36f57a30aa</t>
  </si>
  <si>
    <t>Rot Diagram</t>
  </si>
  <si>
    <t>Forced - When you are defeated: Give control of Rot Diagram to another investigator._x000D_
While you are in the Chamber of Decay, it gains: η: Place 1 doom here. Flip any number of your clues to their doom side and place them here.</t>
  </si>
  <si>
    <t>cce2e5c7-4b6e-4d16-afaa-cf0ee40777c4</t>
  </si>
  <si>
    <t>Forced - When you are defeated: Give control of Rot Diagram to another investigator._x000D_
While you are in the Chamber of Rot, it gains: η: Investigate. If you succeed, instead of discovering clues, take control of the set-aside Mysterious Syringe.</t>
  </si>
  <si>
    <t>447e1794-13e1-448a-adee-2739317beaf9</t>
  </si>
  <si>
    <t>Hunger Diagram</t>
  </si>
  <si>
    <t>Forced - When you are defeated: Give control of Hunger Diagram to another investigator._x000D_
While you are in the Chamber of Rot, it gains: η: Investigate. If you succeed, instead of discovering clues, take control of the set-aside Mysterious Syringe.</t>
  </si>
  <si>
    <t>d25f33d2-c4cd-4299-857f-e0ac2e3a2d73</t>
  </si>
  <si>
    <t>Forced - When you are defeated: Give control of Hunger Diagram to another investigator._x000D_
While you are in the Chamber of Hunger, it gains: â€œη If Eixodolon's Pet is 'locked away,' spend 1 clue: Deal 4 damage to Eixodolon's Pet.â€</t>
  </si>
  <si>
    <t>9e268ce7-82fa-4b15-b0bc-a1f034203a44</t>
  </si>
  <si>
    <t>Decay Diagram</t>
  </si>
  <si>
    <t>Forced - When you are defeated: Give control of Decay Diagram to another investigator._x000D_
While you are in the Chamber of Hunger, it gains: η If Eixodolon's Pet is 'locked away,' spend 1 clue: Deal 4 damage to Eixodolon's Pet.</t>
  </si>
  <si>
    <t>2a04acb2-4b13-4bd7-bb65-954d817c6b47</t>
  </si>
  <si>
    <t>Forced - When you are defeated: Give control of Decay Diagram to another investigator._x000D_
While you are in the Chamber of Decay, it gains: η: Place 1 doom here. Flip any number of your clues to their doom side and place them here.</t>
  </si>
  <si>
    <t>675e2459-3ba9-4d1b-bfb2-9329599e8e85</t>
  </si>
  <si>
    <t>Eixodolon</t>
  </si>
  <si>
    <t>Your Anguish Is My Power</t>
  </si>
  <si>
    <t>Hunter. Retaliate._x000D_
Eixodolon gets +6π health and cannot be defeated by damage._x000D_
Forced - When the enemy phase begins, if there is a copy of Harvested Pain in the victory display: Ready Eixodolon.</t>
  </si>
  <si>
    <t>723de15a-c682-4880-bac6-7d9c9646026f</t>
  </si>
  <si>
    <t>Eixodolon's Pet</t>
  </si>
  <si>
    <t>You Are Not Its First Victim, Or Its Last</t>
  </si>
  <si>
    <t>Hunter. Retaliate._x000D_
While Eixodolon's Pet is locked away, it is immune to player card effects and Chamber of Hunger gains: η Investigators at Chamber of Hunger spend 1π clues, as a group: Set Eixodolon's Pet aside, out of play. Remember that you sent Eixodolon's Pet to another group.</t>
  </si>
  <si>
    <t>cdd2f61c-e48e-48bb-8ad5-c0395e8192a3</t>
  </si>
  <si>
    <t>Hunter. Retaliate._x000D_
While Eixodolon's Pet is locked away, it is immune to player card effects.</t>
  </si>
  <si>
    <t>e86a6253-1c9a-4e3a-834d-3d516d6ba780</t>
  </si>
  <si>
    <t>The Jailor</t>
  </si>
  <si>
    <t>Spawn - Nearest Labyrinthine Halls._x000D_
Hunter._x000D_
Eixodolon's Note gains: η Fight. Use only on The Jailor. Use either ά or ή for this attack. If you succeed, set The Jailor aside, out of play. At the end of the round, move The Jailor to another group's Labyrinthine Halls (it keeps all tokens and attachments).</t>
  </si>
  <si>
    <t>a0dda595-0a83-4fe6-bf4b-1b11c002ccf3</t>
  </si>
  <si>
    <t>Faceless Abductor</t>
  </si>
  <si>
    <t>Spawn - Nearest [[Prison]] location._x000D_
Hunter._x000D_
Forced - After Faceless Abductor attacks an investigator: Move that investigator to a [[Prison]] location.</t>
  </si>
  <si>
    <t>e8de7e2c-0a50-4e5b-9052-6fad81db512d</t>
  </si>
  <si>
    <t>Tortured Victim</t>
  </si>
  <si>
    <t>Humanoid. Extradimensional.</t>
  </si>
  <si>
    <t>Revelation - You must either discard a random card from your hand, or Tortured Victim makes an immediate attack against you.</t>
  </si>
  <si>
    <t>c4cbc597-a14f-418e-a29d-0ad507042021</t>
  </si>
  <si>
    <t>Mi-Go Guard</t>
  </si>
  <si>
    <t>Monster. Mi-Go.</t>
  </si>
  <si>
    <t>Prey - Most remaining health._x000D_
For each α, β, γ, or δ token revealed during an attack against Mi-Go Guard, that attack deals 1 fewer damage.</t>
  </si>
  <si>
    <t>8f6adac8-af71-4353-9d15-67e89b8fd247</t>
  </si>
  <si>
    <t>Unnatural Weariness</t>
  </si>
  <si>
    <t>Injury. Poison.</t>
  </si>
  <si>
    <t>Peril._x000D_
Revelation - Test ά (3). For each point you fail by, you must choose a different option:_x000D_
- Lose 3 resources._x000D_
- Lose 1 action._x000D_
- Discard a random card from your hand.</t>
  </si>
  <si>
    <t>3a70204f-91c5-4fff-8261-bc02e7d6ce96</t>
  </si>
  <si>
    <t>Poisonous Gas</t>
  </si>
  <si>
    <t>Trap. Poison.</t>
  </si>
  <si>
    <t>Revelation - Test ί (4). If you fail, lose 1 action (2 actions instead if you fail by 2 or more). When this skill test begins, an investigator at your location may place 1 of his or her clues on your location to reduce the difficulty of this test by 2.</t>
  </si>
  <si>
    <t>61e38ecf-feb7-4f0b-bec0-a70817bff237</t>
  </si>
  <si>
    <t>Dreadful Mechanism</t>
  </si>
  <si>
    <t>Revelation - Put Dreadful Mechanism into play in your threat area._x000D_
Forced - After you perform an action other than the η ability below: Take 1 damage, discard an asset taking up at least 1 hand slot, and discard Dreadful Mechanism._x000D_
η: Test ή (2). If you succeed, discard Dreadful Mechanism.</t>
  </si>
  <si>
    <t>3f93460c-2ed9-4059-980e-38bc3563841b</t>
  </si>
  <si>
    <t>Blood and Rust</t>
  </si>
  <si>
    <t>Revelation - Test ί (4). If you fail, take 1 damage (2 damage instead if you fail by 2 or more). When this skill test begins, an investigator at your location may place 1 of his or her clues on your location to reduce the difficulty of this test by 2.</t>
  </si>
  <si>
    <t>859735ee-63a7-484c-b826-8a9cf68c64e1</t>
  </si>
  <si>
    <t>Paradox Effect</t>
  </si>
  <si>
    <t>Revelation - Test ά (3). For each point you fail by, take 1 horror. If you succeed, put Paradox Effect into play in your threat area._x000D_
Forced - At the end of the round: Discard Paradox Effect and choose an investigator in another group. You and that investigator may talk in private and may exchange resources, story assets, and cards in hand.</t>
  </si>
  <si>
    <t>6deaf02c-fdb3-46a1-bb27-9da31837d320</t>
  </si>
  <si>
    <t>644831e1-17cd-4433-820c-8001dcf2361d</t>
  </si>
  <si>
    <t>Harvested Pain</t>
  </si>
  <si>
    <t>Peril._x000D_
Revelation - If you have 3 or fewer remaining health or sanity, add Harvested Pain to the victory display. Otherwise, take 1 damage and 1 horror._x000D_
While Harvested Pain is in the victory display, Eixodolon gets +1 fight.</t>
  </si>
  <si>
    <t>Ictaca</t>
  </si>
  <si>
    <t>Scion of Yig</t>
  </si>
  <si>
    <t>Or, Is He?</t>
  </si>
  <si>
    <t>a07c684c-0e19-4938-bbf1-2a88e0e353a4</t>
  </si>
  <si>
    <t>Return to Dunwich Legacy</t>
  </si>
  <si>
    <t>RTDL</t>
  </si>
  <si>
    <t>8c777114-0122-444a-b853-827bb67f2afa</t>
  </si>
  <si>
    <t>You have two additional hand slots, which can only be used to hold [[Weapon]] assets._x000D_
While you have [[Weapon]] assets held in 2 or more hand slots, you get +1 ά.</t>
  </si>
  <si>
    <t>362acc37-0402-4bc2-bbf1-37b2e3ae12e6</t>
  </si>
  <si>
    <t>η: Fight. You get +2 ή for this attack. If you perform this attack againt an enemy engaged with another investigator, you deal +1 damage for this attack if you succeed, and no damage if you fail.</t>
  </si>
  <si>
    <t>4a5056f1-3d65-4b08-95d8-0e28b36919de</t>
  </si>
  <si>
    <t>Play only if there is a clue on your location._x000D_
Draw three cards.</t>
  </si>
  <si>
    <t>a1fea95e-7df1-4a93-9295-3b8c7d03079b</t>
  </si>
  <si>
    <t>Empowering Elixir</t>
  </si>
  <si>
    <t>You can only include this asset in your deck by upgrading it from Strange Solution (Unidentified), and only if you have "identified the solution" in your Campaign Log._x000D_
Uses (3 supplies)._x000D_
η Spend 1 supply and exhaust Strange Solution: Choose an investigator at your location to gain 2 resources and draw 1 card.</t>
  </si>
  <si>
    <t>ae54262f-7d83-4fb4-a4da-2579b365e7c9</t>
  </si>
  <si>
    <t>Choose an asset controlled by an investigator at your location. Either (choose one):_x000D_
- Place 2 ammo or supply tokens on that asset and draw 1 card._x000D_
- Double the number of ammo or supply tokens on that asset.</t>
  </si>
  <si>
    <t>be1bc76c-8781-4970-93e3-3490ca6e563c</t>
  </si>
  <si>
    <t>ίίέ</t>
  </si>
  <si>
    <t>Fast. Play when an enemy enters your location._x000D_
Immediately move to a connecting location. (The enemy still enters your previous location.)</t>
  </si>
  <si>
    <t>7acfa3d3-3b31-4b29-ac63-8c35070d8375</t>
  </si>
  <si>
    <t>Uses (3 charges)._x000D_
η Spend 1 charge: Investigate. Investigate using ά instead of έ. You get +2 ά for this test. If you succeed you discover 1 additional clue at this location. If a α, β, γ, δ, or ζ symbol is revealed during this test, after this test resolves lose all remaining actions and immediately end your turn.</t>
  </si>
  <si>
    <t>91d3766f-b81c-46fd-b7d3-cc461cff0ee1</t>
  </si>
  <si>
    <t>Uses (4 charges)._x000D_
η Spend 1 charge: Heal 2 horror from among investigators at your location.</t>
  </si>
  <si>
    <t>56009113-7758-4ebe-9eed-f36ea64edc39</t>
  </si>
  <si>
    <t>ίήή</t>
  </si>
  <si>
    <t>Fast. Play after you fail a skill test by 3 or less while attacking an enemy._x000D_
Deal this attack's damage to any enemy at your location. If the attacked enemy is engaged with another investigator, this attack deals no damage to that investigator.</t>
  </si>
  <si>
    <t>b27d9c77-b7a1-4427-a368-f148fdf51261</t>
  </si>
  <si>
    <t>Commit only to a skill test you are performing, and only if the difficulty of that test is higher than your base skill value._x000D_
Rise to the Occasion gets +X ΰ icons, where X is the difference between your base skill and this test's difficulty (to a maximum of +3 ΰ icons).</t>
  </si>
  <si>
    <t>49b96c05-175b-4727-b9d0-8bbfdc22d608</t>
  </si>
  <si>
    <t>Through the Gates</t>
  </si>
  <si>
    <t>Pact. Mystery.</t>
  </si>
  <si>
    <t>Revelation - Draw the top card of your deck. If it is not a weakness, remove that card from the game. Then, search your deck, discard pile, hand, and all play areas for each other copy of that card you own, and remove them from the game, as well.</t>
  </si>
  <si>
    <t>AY</t>
  </si>
  <si>
    <t>88718a2a-19b8-4045-86ea-7974c01b8f11</t>
  </si>
  <si>
    <t>Return to Extracurricular Activities</t>
  </si>
  <si>
    <t>7fbec8f4-d389-4249-8b5c-aa86ee49cd38</t>
  </si>
  <si>
    <t>Warren Observatory</t>
  </si>
  <si>
    <t>67150130-081e-4e9d-bf63-5b054f1dea87</t>
  </si>
  <si>
    <t>Enthralled Security Guard</t>
  </si>
  <si>
    <t>Humanoid. Abomination.</t>
  </si>
  <si>
    <t>4e1daa6b-d846-49c0-959d-226cdaa21497</t>
  </si>
  <si>
    <t>Return to The House Always Wins</t>
  </si>
  <si>
    <t>- Set the Clover Club Stage aside, out of play._x000D_
- Choose one of the two Clover Club Lounge locations at random. Put the chosen location into play along with the rest of the starting locations. Remove the other version of Clover Club Lounge from the game.</t>
  </si>
  <si>
    <t>7ab63941-b149-4aaf-98de-704e97b07070</t>
  </si>
  <si>
    <t>15d3b5bb-8c2d-426d-8ec3-9c5028ff66cc</t>
  </si>
  <si>
    <t>Clover Club Stage</t>
  </si>
  <si>
    <t>Clover Club Bar is connected to Clover Club Stage.</t>
  </si>
  <si>
    <t>80800d2d-2133-4e98-be92-52ef45bf8153</t>
  </si>
  <si>
    <t>Caught Cheating</t>
  </si>
  <si>
    <t>Illicit.</t>
  </si>
  <si>
    <t>ab0dd597-1d80-4db9-a9cc-9bbb5cf54983</t>
  </si>
  <si>
    <t>Raise the Stakes</t>
  </si>
  <si>
    <t>ceff1f22-cc40-45e6-8290-bc342b8227c4</t>
  </si>
  <si>
    <t>Return to The Miskatonic Museum</t>
  </si>
  <si>
    <t>9231feac-b813-4555-8c20-39b5d77a47d6</t>
  </si>
  <si>
    <t>Medieval Exhibit</t>
  </si>
  <si>
    <t>6c6495a9-3b5c-4700-92c8-fb799355fa4b</t>
  </si>
  <si>
    <t>The Archives</t>
  </si>
  <si>
    <t>ebb07765-76da-41fc-8da4-98d3da16ccfe</t>
  </si>
  <si>
    <t>Dark Bidding</t>
  </si>
  <si>
    <t>4bb24867-11fb-4723-abd5-da67f161f081</t>
  </si>
  <si>
    <t>Night Beyond Void</t>
  </si>
  <si>
    <t>ac9fad31-26f1-4563-bb17-dc438cc9cd2c</t>
  </si>
  <si>
    <t>Return to The Essex County Express</t>
  </si>
  <si>
    <t>- Remove Agenda 1a - "A Tear in Reality," from the game and replace it with the new Agenda 0a - "Where There's Smoke" and the new agenda 1a - "A Tear in Reality (v.II)." (When you construct the agenda deck, agenda 0a should be on top.)_x000D_
- When choosing 6 Train Car locations to put into play at random, include the 2 new Train Car locations in this encounter set, for a total of 10 possible cards._x000D_
- When choosing an Engine Car location to put into play at random, include the new Engine Car location in this encounter set, for a total of 4 possible cards._x000D_
Set the Engineer story asset aside, out of play.</t>
  </si>
  <si>
    <t>bde145c7-7917-4067-ba3f-6f30caebe18b</t>
  </si>
  <si>
    <t>Where There's Smoke</t>
  </si>
  <si>
    <t>4f42702e-b199-439c-a2ee-94335ef8a315</t>
  </si>
  <si>
    <t>The Conductor</t>
  </si>
  <si>
    <t>Beast from beyond the Gate</t>
  </si>
  <si>
    <t>ef5a7a89-35a3-44d1-897d-9920d2099093</t>
  </si>
  <si>
    <t>A Tear in Reality (v.II)</t>
  </si>
  <si>
    <t>Remove the leftmost location from the game (or place it in the victory display if it has Victory X and no clues on it). Each investigator at that location is defeated. Each enemy and asset at that location is discarded._x000D_
Discard all clues controlled by the investigators.</t>
  </si>
  <si>
    <t>c81f849a-64d5-4444-bc1a-314870e5ba56</t>
  </si>
  <si>
    <t>Engine Car is connected to the location to the left of it._x000D_
You cannot enter Engine Car unless all of the clues on the location to its left have been discovered.</t>
  </si>
  <si>
    <t>0fa20844-7237-4ff4-be80-0f31fe6accfc</t>
  </si>
  <si>
    <t>Freight Car</t>
  </si>
  <si>
    <t>Train Car is connected to the locations to the left and right of it._x000D_
You cannot enter Train Car unless all of the clues on the location to its left have been discovered.</t>
  </si>
  <si>
    <t>a152582d-bd8f-48ee-9939-7e8383067d95</t>
  </si>
  <si>
    <t>Baggage Car</t>
  </si>
  <si>
    <t>7a1102fd-f1d5-4cf5-a99a-ea75b678b08d</t>
  </si>
  <si>
    <t>Engineer</t>
  </si>
  <si>
    <t>268fed05-adc1-4adb-9576-24b91cd135d4</t>
  </si>
  <si>
    <t>Return to Blood on the Altar</t>
  </si>
  <si>
    <t>2d3c2b40-d775-419e-8e88-efdade5ee5cb</t>
  </si>
  <si>
    <t>Silent Decay</t>
  </si>
  <si>
    <t>07c26c59-f752-4300-bd1d-5b637c497f42</t>
  </si>
  <si>
    <t>Bishop's Brook</t>
  </si>
  <si>
    <t>343b7334-2bdd-49f6-90f5-6f4549dc3abf</t>
  </si>
  <si>
    <t>73664ed1-d664-4a91-8c09-8e2cac562424</t>
  </si>
  <si>
    <t>Osborn's General Store</t>
  </si>
  <si>
    <t>5197081e-569a-4093-802f-8e4f22f592d9</t>
  </si>
  <si>
    <t>c29a7228-7b52-47d8-bc05-3160f1c6445b</t>
  </si>
  <si>
    <t>d7ec503a-473a-4f3f-87dc-b76caf8454b9</t>
  </si>
  <si>
    <t>8a32ab23-999b-4c7f-ad78-e417c4f6a8cf</t>
  </si>
  <si>
    <t>Hired Gun</t>
  </si>
  <si>
    <t>Humanoid. Criminal. Syndicate.</t>
  </si>
  <si>
    <t>0fab286f-04e0-4e7f-b888-5cb1ec5d4826</t>
  </si>
  <si>
    <t>Return to Undimensioned and Unseen</t>
  </si>
  <si>
    <t>ba51ce1d-50b9-4d09-b88d-1d5c804179f5</t>
  </si>
  <si>
    <t>Charging Beast</t>
  </si>
  <si>
    <t>55628c36-70ad-4855-9e6f-4e1e04093d88</t>
  </si>
  <si>
    <t>Swelling Devourer</t>
  </si>
  <si>
    <t>7bd6e269-bfe1-463c-a216-03faa3816201</t>
  </si>
  <si>
    <t>Thrashing Spawn</t>
  </si>
  <si>
    <t>0b8e1a78-4425-4c9f-a0de-d3477381629d</t>
  </si>
  <si>
    <t>Amorphous Terror</t>
  </si>
  <si>
    <t>c49e03d3-66c3-4f2c-a949-58b7fe951ff9</t>
  </si>
  <si>
    <t>Imperceptible Creature</t>
  </si>
  <si>
    <t>ab93d222-6c67-4e91-b473-b9e0c39b61e2</t>
  </si>
  <si>
    <t>Return to Where Doom Awaits</t>
  </si>
  <si>
    <t>5e33616e-3251-498e-8b52-7765911e2d93</t>
  </si>
  <si>
    <t>Warped and Twisted</t>
  </si>
  <si>
    <t>95721a1b-fc69-4fe7-8b8c-62bff3bc0df1</t>
  </si>
  <si>
    <t>The path leading farther up the hill is masked. You cannot move into Ascending Path.</t>
  </si>
  <si>
    <t>10ad9b62-60a3-46b2-bfa7-98cd0810a68a</t>
  </si>
  <si>
    <t>Abandoned Camp</t>
  </si>
  <si>
    <t>f29036d6-eb41-433e-af3a-6f4ac14a2429</t>
  </si>
  <si>
    <t>Fathomless Lake</t>
  </si>
  <si>
    <t>4edb7393-4a73-4bc0-ab6d-4053e6feecc4</t>
  </si>
  <si>
    <t>Naomi O'Bannion</t>
  </si>
  <si>
    <t>Ruthless Tactician</t>
  </si>
  <si>
    <t>έέήή</t>
  </si>
  <si>
    <t>Ally. Criminal. Syndicate.</t>
  </si>
  <si>
    <t>23bb3a70-dfd7-494f-a295-17aa6592cffc</t>
  </si>
  <si>
    <t>Return to Lost in Time and Space</t>
  </si>
  <si>
    <t>f2657fbe-2f44-4cb7-81ff-69139a45c68f</t>
  </si>
  <si>
    <t>Breaking Through (v. II)</t>
  </si>
  <si>
    <t>The Key and the Gate (v. II)</t>
  </si>
  <si>
    <t>d0311731-da7a-4c3d-813a-db280d59fb68</t>
  </si>
  <si>
    <t>Into the Beyond (v. II)</t>
  </si>
  <si>
    <t>The Vessel Awaits</t>
  </si>
  <si>
    <t>fa3e7f58-8fd2-4a69-8e3c-c0be7a2b4fbe</t>
  </si>
  <si>
    <t>Thrall of Yog-Sothoth</t>
  </si>
  <si>
    <t>Humanoid. Monster. Abomination. Elite.</t>
  </si>
  <si>
    <t>2e2b554d-fc2d-4765-a06c-ee20fae32e28</t>
  </si>
  <si>
    <t>Realms Beyond</t>
  </si>
  <si>
    <t>All-In-One</t>
  </si>
  <si>
    <t>b2970210-868a-4163-a171-bb39efd669a4</t>
  </si>
  <si>
    <t>Indecipherable Stairs</t>
  </si>
  <si>
    <t>725c30d2-7930-4244-ac72-d776caffb9c6</t>
  </si>
  <si>
    <t>Towering Luminosity</t>
  </si>
  <si>
    <t>9b909205-76dd-4092-b818-cfe82e216271</t>
  </si>
  <si>
    <t>Unstable Vortex</t>
  </si>
  <si>
    <t>7f8eb721-f86c-49c4-8f16-539a12be2313</t>
  </si>
  <si>
    <t>Beyond the Threshold</t>
  </si>
  <si>
    <t>Haunting Recollections</t>
  </si>
  <si>
    <t>399509b0-154b-4ba5-818c-ac5464777152</t>
  </si>
  <si>
    <t>A Baleful Welcome</t>
  </si>
  <si>
    <t>5ef6ba51-1346-408d-9b1d-2533ac6d96a8</t>
  </si>
  <si>
    <t>Infinite Doorway</t>
  </si>
  <si>
    <t>61dcba54-8642-4d1e-83ed-cc1d00b119ab</t>
  </si>
  <si>
    <t>Resurgent Evils</t>
  </si>
  <si>
    <t>c8fad645-60f9-4af9-aced-624e43afee0a</t>
  </si>
  <si>
    <t>Secret Doors</t>
  </si>
  <si>
    <t>Secret Door</t>
  </si>
  <si>
    <t>7f293f19-090f-4d19-92fe-851f42b40e86</t>
  </si>
  <si>
    <t>Creeping Cold</t>
  </si>
  <si>
    <t>Inexplicable Cold</t>
  </si>
  <si>
    <t>4d7175b2-9fd6-49f0-91e2-42b7f7646417</t>
  </si>
  <si>
    <t>Oppressive Mists</t>
  </si>
  <si>
    <t>b5ed3923-db68-4d89-9b62-17aff5f9f48b</t>
  </si>
  <si>
    <t>Erratic Fear</t>
  </si>
  <si>
    <t>Violent Commands</t>
  </si>
  <si>
    <t>8b5b3023-3ec8-4b05-97fb-986d8e811e94</t>
  </si>
  <si>
    <t>Idle Hands</t>
  </si>
  <si>
    <t>d1772086-b9fa-43af-b50c-a06c276769e6</t>
  </si>
  <si>
    <t>Need for Knowledge</t>
  </si>
  <si>
    <t>29c7d134-fbc3-46bb-a04b-2873f982b4dd</t>
  </si>
  <si>
    <t>Yog Sothoth's Emissaries</t>
  </si>
  <si>
    <t>Vassal of the Lurker</t>
  </si>
  <si>
    <t>db6854fb-64c1-4fd3-86b9-470410339d1a</t>
  </si>
  <si>
    <t>Eldritch Accord</t>
  </si>
  <si>
    <t>Perform the setup as indicated in The Dunwich Legacy Campaign Guide, with the following exceptions:_x000D_
- When gathering encounter sets, also gather the new encounter sets for Return to Extracurricular Activities shown here._x000D_
(Continued on reverse side.)</t>
  </si>
  <si>
    <t>- Randomly choose between Orne Library and Warren Observatory. Put the chosen location into play, along with the rest of the starting locations. Remove the other location from the game._x000D_
- If you have completed Return to The House Always Wins, search the encounter sets for 1 copy of Enthralled Security Guard, and spawn it at the Administration Building.</t>
  </si>
  <si>
    <t>Forced - After you discover 1 or more clues at Warren Observatory: Discard 3 cards from the top of your deck for each clue just discovered.</t>
  </si>
  <si>
    <t>Hunter. Retaliate._x000D_
Forced - After Enthralled Security Guard attacks you: Discard the top 2 cards of your deck._x000D_
Forced - After Enthralled Security Guard is evaded: It is defeated.</t>
  </si>
  <si>
    <t>Perform the setup as indicated in The Dunwich Legacy Campaign Guide, with the following exceptions:_x000D_
- When gathering encounter sets, also gather the new encounter sets for Return to The House Always Win shown here._x000D_
(Continued on reverse side.)</t>
  </si>
  <si>
    <t>Forced - After Clover Club Lounge is revealed: Put the set-aside Clover Club Stage into play._x000D_
While it is Act 1, Clover Club Lounge gains: "η: Look at the top card of your deck. If it is an [[Ally]] asset, you may put it into play. Otherwise, draw it. (Limit once per round.)"</t>
  </si>
  <si>
    <t>Surge._x000D_
Revelation - Each player who has "cheated" must lose 2 resources and take 1 damage.</t>
  </si>
  <si>
    <t>Revelation - You must (choose one):_x000D_
- Remember that you have "cheated."_x000D_
- Lose 5 resources._x000D_
- Put Raise the Stakes into play in your threat area. It gains: "Each [[Criminal]] enemy at your location loses aloof. If it is Act 2 or 3, each [[Criminal]] enemy engaged with you gets +1 fight and +1 evade."</t>
  </si>
  <si>
    <t>Perform the setup as indicated in The Dunwich Legacy Campaign Guide, with the following exceptions:_x000D_
- When gathering encounter sets, also gather the new encounter sets for Return to The Miskatonic Museum shown here._x000D_
(Continued on reverse side.)</t>
  </si>
  <si>
    <t>- Before creatng the "Exhibit Deck," add the 2 new Exhibit Hall locations to the original 6 Exhibit Hall locations. Set Exhibit Hall (Restricted Hall) aside and randomly remove 2 Exhibit Hall locations from the game. Then, continue creating the Exhibit Deck as normal._x000D_
For the duration of this scenario, the following additional rule applies:_x000D_
"While an investigator is resolving the text on agenda 1b and agenda 2b, the Forced ability on the next agenda in the agenda deck is considered to be active."_x000D_
Attach this card to the scenario reference card as a reminder.</t>
  </si>
  <si>
    <t>Forced - After you fail a skill test while investigating this location: Take 1 damage.</t>
  </si>
  <si>
    <t>η η: Gain 2 clues (from the token bank). Then, if Hunting Horror is in play, place 1 resource on Shadow-spawned. Otherwise, search the encounter deck, discard pile, and the void for Hunting Horror and spawn it in the Museum Halls. Shuffle the encounter deck.</t>
  </si>
  <si>
    <t>Revelation - Attach Dark Bidding to Hunting Horror, even if it is out of play. Dark Bidding remains attached to Hunting Horror if it enters the void._x000D_
Forced - When Hunting Horror attacks an investigator: That investigator must take 1 additional damage and 1 additional horror. Heal 2 damage from Hunting Horror. Discard Dark Bidding. (Max once per attack.)</t>
  </si>
  <si>
    <t>Revelation - Place 1 resource on Shadow-spawned, even if it is out of play.</t>
  </si>
  <si>
    <t>Perform the setup as indicated in The Dunwich Legacy Campaign Guide, with the following exceptions:_x000D_
- When gathering encounter sets, also gather the new encounter sets for Return to The Essex County Express shown here._x000D_
(Continued on reverse side.)</t>
  </si>
  <si>
    <t>Spawn - Leftmost location._x000D_
Hunter. Massive._x000D_
Forced - When The Conductor is defeated: Attach it to the current agenda. After you advance the attached agenda, draw The Conductor._x000D_
Forced - When The Conductor's location leaves play: Instead of discarding The Conductor, move it one location to the right.</t>
  </si>
  <si>
    <t>η If Engineer is ready: Parley. Test ά or έ (4). If you succeed, take control of Engineer. If you already control Engineer, discover 1 clue from your location instead. Any investigator at Engineer's location may trigger this action._x000D_
Forced - When Engineer would be discarded: Instead, heal all damage and horror from it, lose control of it, and exhaust it.</t>
  </si>
  <si>
    <t>Perform the setup as indicated in The Dunwich Legacy Campaign Guide, with the following exceptions:_x000D_
- When gathering encounter sets, also gather the new encounter sets for Return to Blood on the Altar shown here._x000D_
- Set each copy of Hired Gun aside, out of play._x000D_
- Remove the original Village Commons location from the game and replace it with the new Village Commons (Silent Decay)._x000D_
(Continued on reverse side.)</t>
  </si>
  <si>
    <t>- Add the new locations to the original locations from the Blood on the Altar encounter set. Remove 1 of the 3 copies of each of these locations from the game at random. Then, choose 1 of the 6 remaining locations at random and remove it from the game as well. Put the remaining locations into play._x000D_
- When placing encounter cards underneath locations, do not include the 6 cards from the Naomi's Crew encounter set._x000D_
- Check Campaign Log. If the O'Bannion gang has a bone to pick with the investigators: Spawn one set-aside Hired Gun at one of the locations not connected to Village Commons. Shuffle the other set-aside Hired Gun into the encounter deck.</t>
  </si>
  <si>
    <t>Each investigator at Village Commons cannot take draw or resource actions._x000D_
η: Resign. "This is suicide! We're better off hiding out the night."</t>
  </si>
  <si>
    <t>Forced - After you reveal Bishop's Brook: Test ί (4). If you fail, take 2 damage._x000D_
θ If there are no clues here: Draw the encounter card underneath Bishop's Brook. (Group limit once per game.)</t>
  </si>
  <si>
    <t>Forced - After you successfully investigate Burned Ruins: Take 1 damage._x000D_
θ If there are no clues here: Draw the encounter card underneath Burned Ruins. (Group limit once per game.)</t>
  </si>
  <si>
    <t>Forced - After you reveal Osborn's General Store: Gain 2 resources._x000D_
θ If there are no clues here: Draw the encounter card underneath Osborn's General Store. (Group limit once per game.)</t>
  </si>
  <si>
    <t>Forced - After you reveal Congregational Church: Search the encounter deck and discard pile for a copy of Kidnapped! and draw it. Shuffle the encounter deck._x000D_
θ If there are no clues here: Draw the encounter card underneath Congregational Church. (Group limit once per game.)</t>
  </si>
  <si>
    <t>While you are in the House in the Reeds, you cannot play assets._x000D_
θ If there are no clues here: Draw the encounter card underneath House in the Reeds. (Group limit once per game.)</t>
  </si>
  <si>
    <t>Forced - After you discover a clue from this location: Search the encounter deck and discard pile for a copy of Servant of Many Mouths and draw it. Shuffle the encounter deck._x000D_
θ If there are no clues here: Draw the encounter card underneath Schoolhouse. (Group limit once per game.)</t>
  </si>
  <si>
    <t>Each [[Criminal]] enemy (including Hired Gun) gains: "Hunter. Prey - Most resources."_x000D_
Each copy of Hunted Down gains peril and surge.</t>
  </si>
  <si>
    <t>Perform the setup as indicated in The Dunwich Legacy Campaign Guide, with the following exceptions:_x000D_
- When gathering encounter sets, also gather the new encounter sets for Return to Undimensioned and Unseen shown here._x000D_
(Continued on reverse side.)</t>
  </si>
  <si>
    <t>- Remove 4 copies of Brood of Yog-Sothoth from the original scenario and replace them with the 4 new versions of Brood of Yog-Sothoth from the Return to Undimensioned and Unseen encounter set._x000D_
For the duration of this scenario, the following additional rule applies:_x000D_
"If a Brood of Yog-Sothoth would be put into play, it is chosen at random from among the set-aside versions of Brood of Yog-Sothoth."_x000D_
Attach this card to the scenario reference card as a reminder.</t>
  </si>
  <si>
    <t>Massive._x000D_
Brood of Yog-Sothoth gets +1 π health and cannot be damaged or attacked except using the ability on Esoteric Formula._x000D_
Forced - After Brood of Yog-Sothoth moves for the first time each round, if it is unengaged: It immediately moves again toward a random location.</t>
  </si>
  <si>
    <t>Massive._x000D_
Brood of Yog-Sothoth gets +2 π health and cannot be damaged or attacked except using the ability on Esoteric Formula.</t>
  </si>
  <si>
    <t>Massive. Retaliate._x000D_
Brood of Yog-Sothoth gets +1 π health and cannot be damaged or attacked except using the ability on Esoteric Formula.</t>
  </si>
  <si>
    <t>Massive. Retaliate._x000D_
Brood of Yog-Sothoth gets +1 π health and cannot be damaged or attacked except using the ability on Esoteric Formula._x000D_
Forced - After Brood of Yog-Sothoth enters your location, or vice versa: Test ά (3). If you fail, take 1 horror.</t>
  </si>
  <si>
    <t>Surge._x000D_
Revelation - Attach to a Brood of Yog-Sothoth enemy in play without a copy of Imperceptible Creature attached. Remove 1 clue from that enemy._x000D_
Attached enemy gains [[Elite]].</t>
  </si>
  <si>
    <t>Perform the setup as indicated in The Dunwich Legacy Campaign Guide, with the following exceptions:_x000D_
- When gathering encounter sets, also gather the new encounter sets for Return to Where Doom Awaits shown here._x000D_
- Set Naomi O'Bannion aside, out of play._x000D_
(Continued on reverse side.)</t>
  </si>
  <si>
    <t>- Replace the original Base of the Hill and Ascending Path with the new Base of the Hill (Warped and Twisted) and Ascending Path (Warped and Twisted)._x000D_
- Add the new Diverging Path and Altered Path to the original Diverging Paths and Altered Paths. Then, randomly remove 1 of each from the game. (You will remove an additional copy of each during standard setup.)_x000D_
- Check Campaign Log. If Naomi has your back: Instead of gaining clues from the token bank via the effect from Part 1 in the Campaign Guide, the lead investigator may choose an investigator to add the set-aside Naomi O'Bannion to his or her deck. This card does not count toward that investigator's deck size.</t>
  </si>
  <si>
    <t>Base of the Hill is connected to each copy of Diverging Path._x000D_
Forced - After you discover 1 or more clues from Base of the Hill: Spend those clues and put that many random set-aside Diverging Path locations into play._x000D_
η: Resign. "This is more than I signed up for!"</t>
  </si>
  <si>
    <t>Forced - After you reveal Abandoned Camp: Lose 2 resources for each action you have performed this round (including this one, if applicable).</t>
  </si>
  <si>
    <t>Forced - After you reveal Fathomless Lake: If you have 2 or more actions remaining, place 1 doom on the current agenda.</t>
  </si>
  <si>
    <t>You get +1 έ and +1 ή._x000D_
ι When an investigator at your location reveals a non-ζ chaos token during an έ or ή test, exhaust Naomi O'Bannion: Cancel that chaos token and reveal a new chaos token. For the remainder of this test, if another copy of the canceled chaos token is revealed, cancel it and reveal a new chaos token.</t>
  </si>
  <si>
    <t>Perform the setup as indicated in The Dunwich Legacy Campaign Guide, with the following exceptions:_x000D_
- When gathering encounter sets, also gather the new encounter sets for Return to Lost in Time and Space shown here._x000D_
- Set Seth Bishop (Thrall of Yog-Sothoth) aside, out of play._x000D_
(Continued on reverse side.)</t>
  </si>
  <si>
    <t>- Check Campaign Log. If the Ritual was completed: Replace Act 2a - "Into the Beyond" with the new Act 2a - "Into the Beyond (v. II)" included in this encounter set._x000D_
- Replace Agenda 3a - "Breaking Through" with the new Agenda 3a - "Breaking Through (v. II)" included in this encounter set._x000D_
- Put the single-sided Realms Beyond location into play and spawn Yog-Sothoth there.</t>
  </si>
  <si>
    <t>Revelation - Move Yog-Sothoth to The Edge of the Universe (or Another Dimension if The Edge of the Universe is not in play). Remove Realms Beyond from the game and advance to agenda 4a. Ignore the text on Realms Beyond while resolving this ability.</t>
  </si>
  <si>
    <t>Spawn the set-aside Seth Bishop (Thrall of Yog-Sothoth) enemy at The Edge of the Universe.</t>
  </si>
  <si>
    <t>Retaliate._x000D_
Forced - When Seth Bishop attacks you during the enemy phase: Either move to Another Dimension after this attack, or Seth Bishop deals +2 damage for this attack._x000D_
Forced - After Yog-Sothoth enters Seth Bishop's location (or vice versa): Seth is devoured whole. Remove Seth Bishop from the game. Heal 6 damage from Yog-Sothoth.</t>
  </si>
  <si>
    <t>Yog-Sothoth is immune to player card effects, cannot take damage, and cannot leave Realms Beyond._x000D_
As an additional cost for you to leave Realms Beyond, test ά or ί (3). If you fail, cancel the effects of the move._x000D_
Forced - When a forced effect would move an investigator or enemy to Another Dimension: Move them here instead. Cannot be canceled.</t>
  </si>
  <si>
    <t>Revelation - Put Indecipherable Stairs into play and discard the top 3 cards of your deck._x000D_
Forced - After you leave Indecipherable Stairs: You must either take 2 horror, or discard Indecipherable Stairs.</t>
  </si>
  <si>
    <t>Revelation - Put Towering Luminosity into play and either place 1 doom on it or take 2 damage._x000D_
Forced - After you fail a test while at this location: You  must either flip 1 clue on Towering Luminosity to its doom side, or discard Towering Luminosity.</t>
  </si>
  <si>
    <t>Revelation - Put Unstable Vortex into play and discard 1 copy of Tear Through Space, if able._x000D_
Forced - At the end of your turn, if you are at Unstable Vortex: You must either draw the top card of the encounter deck, or shuffle Unstable Vortex into the encounter deck.</t>
  </si>
  <si>
    <t>Revelation - For each card in your hand, if there is a copy of that card in your discard pile, take 1 horror (to a maximum of 3 horror). If you take no horror from this effect, discard the top 3 cards of your deck.</t>
  </si>
  <si>
    <t>Peril._x000D_
Revelation - Choose two of the following actions (investigate, fight, evade, move, or play). For the remainder of the round, each investigator cannot perform each chosen action. If this is not the first copy of A Baleful Welcome drawn this phase, choose three of those actions instead.</t>
  </si>
  <si>
    <t>Revelation - Attach to your location._x000D_
As an additional cost to move into or out of attached location, discard the top card of your deck. If the discarded card is a weakness, draw it. Otherwise, for each copy of the discarded card in your hand or play area, you must either take 1 horror or discard that card.</t>
  </si>
  <si>
    <t>Peril._x000D_
Revelation - You must either (choose one):_x000D_
- Draw the top 2 cards of the encounter deck._x000D_
- Place 1 doom on the current agenda. This effect can cause the current agenda to advance.</t>
  </si>
  <si>
    <t>Revelation - Attach to the location with the most investigators, and without a Secret Door attached._x000D_
Investigators cannot leave this location._x000D_
η: Test ά (3) to search for the passage or έ (3) to discern the way out. If you succeed, discard Secret Door.</t>
  </si>
  <si>
    <t>Revelation - Test ί (4). For each point you fail by, you must either choose and discard 1 card from your play area or from your hand, or take 1 damage.</t>
  </si>
  <si>
    <t>Revelation - Attach to your location. Limit 1 per location._x000D_
Forced - After an investigator at this location draws 1 or more cards, that investigator must test ά (3). If that investigator fails, he or she chooses and discards an equal number of cards._x000D_
η η: Discard Oppressive Mists.</t>
  </si>
  <si>
    <t>Revelation - Put Violent Commands into play in your threat area._x000D_
η: Deal 2 damage to an investigator at your location and discard Violent Commands._x000D_
Forced - At the end of your turn: Test ά (3). If you fail, take 1 horror.</t>
  </si>
  <si>
    <t>Revelation - Put Idle Hands into play in your threat area._x000D_
θ If Idle Hands is in your threat area, during your turn, take 2 damage and discard Idle Hands: You may take an additional action this turn._x000D_
Forced - At the end of your turn: Take 1 horror.</t>
  </si>
  <si>
    <t>Revelation - If you have no clues, Need for Knowledge gains surge. Otherwise, test έ (X), where X equals the number of clues you have (to a maximum of 5). For each point you fail by, you must either take 1 horror or place 1 of your clues on your location.</t>
  </si>
  <si>
    <t>Hunter._x000D_
Forced - At the end of the enemy phase: Each investigator at Vassal of the Lurker's location discards 1 card from the top of his or her deck.</t>
  </si>
  <si>
    <t>Peril._x000D_
Revelation - You may draw 1 card. You may choose and discard up to 2 cards from your hand. Test ά (X). If you fail, take 2 horror. X equals the number of cards in your hand when this test begins.</t>
  </si>
  <si>
    <t>c3e9e9fd-8230-4702-9fc9-9cabba506e34</t>
  </si>
  <si>
    <t>1d67372b-eadc-4b3c-b0f8-67fa6dbb3634</t>
  </si>
  <si>
    <t>AZ</t>
  </si>
  <si>
    <t>Carolyn Fern</t>
  </si>
  <si>
    <t>The Psychologist</t>
  </si>
  <si>
    <t>Medic.</t>
  </si>
  <si>
    <t>ι After one of your card effects heals horror from an investigator or [[Ally]] asset: The healed card's controller gains 1 resource._x000D_
ε effect: +1. You may heal 1 horror from an investigator or [[Ally]] asset at your location.</t>
  </si>
  <si>
    <t>Deck size: 30._x000D_
Deckbuilding Options: Guardian cards (κ) level 0-3, Neutral cards level 0-5, cards that "heal horror" level 0-5, up to 15 Seeker and/or Mystic cards level 0-1 (λ and/or μ)._x000D_
Deckbuilding Requirements (do not count toward deck size): Hypnotic Therapy, Rational Thought, 1 random basic weakness._x000D_
Additional Restrictions: No [[Weapon]] cards level 1-5.</t>
  </si>
  <si>
    <t>b394f2bb-1494-4c61-866b-6f508dff1089</t>
  </si>
  <si>
    <t>Joe Diamond</t>
  </si>
  <si>
    <t>The Private Investigator</t>
  </si>
  <si>
    <t>Detective.</t>
  </si>
  <si>
    <t>Forced - When the investigation phase begins: Reveal the top card of your hunch deck. Until the end of the phase, you may play that card as if it were in your hand, at -2 cost. If it is still revealed at the end of the phase, shuffle it back into your hunch deck._x000D_
ε effect: +1. You may move an [[Insight]] event from your discard pile to the bottom of your hunch deck.</t>
  </si>
  <si>
    <t>Deck size: 40._x000D_
Deckbuilding options: Seeker cards (λ) level 0-5, Guardian cards (κ) level 0-2, Neutral cards level 0-5._x000D_
Deckbuilding requirements (do not count toward deck size): Detective's Colt 1911s, Unsolved Case, 1 random basic weakness._x000D_
Additional Requirements: Your deck must include at least 11 [[Insight]] events (including Unsolved Case). During the setup of each scenario, you must choose 11 [[Insight]] events from your deck (one of which must be Unsolved Case) and shuffle them into a separate "hunch deck".</t>
  </si>
  <si>
    <t>dda3a082-6554-4a1c-99e3-3e268f80c6e7</t>
  </si>
  <si>
    <t>Preston Fairmont</t>
  </si>
  <si>
    <t>The Millionaire</t>
  </si>
  <si>
    <t>Silver Twilight. Socialite.</t>
  </si>
  <si>
    <t>Anytime you gain 1 or more resources from a card effect, place them on Family Inheritance instead of in your resource pool._x000D_
ε effect: +0. You may spend 2 resources to automatically succeed, instead.</t>
  </si>
  <si>
    <t>Deck size: 30._x000D_
Deckbuilding Options: Rogue cards (ν) level 0-5, Survivor cards (ξ) level 0-2, Neutral cards level 0-5._x000D_
Deckbuilding Requirements (do not count toward deck size): Family Inheritance, Lodge "Debts," 1 random basic weakness._x000D_
Deckbuilding Restrictions: No [[Illicit]] cards.</t>
  </si>
  <si>
    <t>f64d745e-76e8-4b17-81a5-9d0db3ef956b</t>
  </si>
  <si>
    <t>Diana Stanley</t>
  </si>
  <si>
    <t>The Redeemed Cultist</t>
  </si>
  <si>
    <t>Cultist. Silver Twilight.</t>
  </si>
  <si>
    <t>Diana Stanley gets +1 ά for each card beneath her._x000D_
ι After a card you own cancels or ignores a card effect or game effect, if there are fewer than 5 cards beneath Diana Stanley: Place that card facedown beneath her. Draw 1 card and gain 1 resource. (Limit once per phase.)_x000D_
ε effect: +2. You may choose a card beneath Diana Stanley and add it to your hand.</t>
  </si>
  <si>
    <t>Deck size: 35._x000D_
Deckbuilding options: Mystic cards (μ) level 0-5, Guardian cards (κ) level 0-2, Neutral cards level 0-5._x000D_
Deckbuilding requirements (do not count toward deck size): Twilight Blade, Dark Insight, Terrible Secret, 1 random basic weakness._x000D_
Additional Setup: You begin each game with Dark Insight as an additional card in your opening hand.</t>
  </si>
  <si>
    <t>4cafe3c1-087e-4e0e-bcc3-ada58d5e1dbb</t>
  </si>
  <si>
    <t>Rita Young</t>
  </si>
  <si>
    <t>The Athlete</t>
  </si>
  <si>
    <t>ι After you evade an enemy: Either deal 1 damage to that enemy, or move to a connecting location. (Limit once per round.)_x000D_
ε effect: +2. Until the end of the round, ignore the limit on the above ι ability.</t>
  </si>
  <si>
    <t>Deck size: 30._x000D_
Deckbuilding Options: Survivor cards (ξ) level 0-5, Neutral cards level 0-5, [[Trick]] cards level 0-3._x000D_
Deckbuilding Requirements (do not count toward deck size): "I'm done runnin'!," Hoods, 1 random basic weakness.</t>
  </si>
  <si>
    <t>bfb911bc-2214-4eff-95f5-b5b42a3d3431</t>
  </si>
  <si>
    <t>While you have 1 or more doom among cards you control, you may take an additional action during your turn, which can only be used to play [[Spell]] cards or activate [[Spell]] η abilities._x000D_
ε effect: +1. You may add 1 doom to or remove 1 doom from a card you control.</t>
  </si>
  <si>
    <t>Deck size: 30._x000D_
Deckbuilding options: [[Spell]] cards level 0-5, Mystic cards (μ) level 0-3, Neutral cards level 0-5, [[Occult]] cards level 0, up to five other level 0 Seeker and/or Survivor cards (λ and/or ξ)._x000D_
Deckbuilding requirements (do not count toward deck size): Mystifying Song, Baron Samedi, 1 random basic weakness.</t>
  </si>
  <si>
    <t>cf04f2cd-fe08-477d-9c91-2c166f42673d</t>
  </si>
  <si>
    <t>Hypnotic Therapy</t>
  </si>
  <si>
    <t>Carolyn Fern deck only._x000D_
η Exhaust Hypnotic Therapy: Test έ (2). If you succeed, heal 1 horror from an investigator at your location. Then, that investigator may draw 1 card._x000D_
ι After one of your other card effects heals horror from an investigator, exhaust Hypnotic Therapy: That effect heals 1 additional horror.</t>
  </si>
  <si>
    <t>3825c109-0aa5-49d9-b49c-b25c33788242</t>
  </si>
  <si>
    <t>Rational Thought</t>
  </si>
  <si>
    <t>Revelation - Put Rational Thought into play in your threat area, with 4 horror on it. Horror on Rational Thought may be healed as if it were on Carolyn Fern. If there is no horror on Rational Thought, discard it._x000D_
You cannot heal horror from cards other than Rational Thought. You cannot gain resources from Carolyn Fern's ι ability.</t>
  </si>
  <si>
    <t>19e8a7f7-881b-45fe-9af1-14b1e5978a92</t>
  </si>
  <si>
    <t>Detective's Colt 1911s</t>
  </si>
  <si>
    <t>Joe Diamond deck only. Uses (4 ammo)._x000D_
Up to 2 [[Tool]] assets you control do not take up hand slots._x000D_
η Spend 1 ammo: Fight. You get +1 ή and deal +1 damage for this attack. If this attack defeats an enemy, you may move an [[Insight]] event from your discard pile to the bottom of your hunch deck.</t>
  </si>
  <si>
    <t>6b9f7126-ea28-4dbe-b2ee-53cca4f43487</t>
  </si>
  <si>
    <t>Unsolved Case</t>
  </si>
  <si>
    <t>Insight. Mystery.</t>
  </si>
  <si>
    <t>Place 1 of your clues on the location with the highest shroud. Remove Unsolved Case from the game._x000D_
Forced - If Unsolved Case would be shuffled into your hunch deck: Add it to your threat area instead. For the remainder of the game, it gains: "Forced - When the game ends: Joe Diamond earns 2 fewer experience for this scenario."</t>
  </si>
  <si>
    <t>ffd72944-9abf-4323-b32c-76877aa31684</t>
  </si>
  <si>
    <t>Family Inheritance</t>
  </si>
  <si>
    <t>A Windfall? Or a Burden?</t>
  </si>
  <si>
    <t>Boon.</t>
  </si>
  <si>
    <t>Permanent. Preston Fairmont deck only._x000D_
η: Move all resources from this card to your resource pool._x000D_
Forced - When your turn begins: Place 4 resources (from the token pool) on this card. Resources on this card may be spent as if they were in your resource pool. Discard all resources from this card at the end of your turn.</t>
  </si>
  <si>
    <t>281c7fec-343f-43cf-8abe-5eb648691bfa</t>
  </si>
  <si>
    <t>Lodge "Debts"</t>
  </si>
  <si>
    <t>Remove Lodge "Debts" from the game._x000D_
Forced - When the game ends or you are eliminated, if Lodge "Debts" is still in your hand: You suffer 1 mental trauma.</t>
  </si>
  <si>
    <t>d4b63a20-a3af-45ba-b33d-31654dd194d2</t>
  </si>
  <si>
    <t>Twilight Blade</t>
  </si>
  <si>
    <t>Sanctum's Reward</t>
  </si>
  <si>
    <t>Item. Relic. Weapon.</t>
  </si>
  <si>
    <t>Diana Stanley deck only._x000D_
η: Fight.&lt;/b. You may use ά instead of ή for this attack._x000D_
You may play or commit events and skills beneath Diana Stanley as if they were in your hand. As an additional cost to play or commit a card in this way, exhaust Twlight Blade. You cannot trigger Diana Stanley's ι ability while playing or committing a card in this way.</t>
  </si>
  <si>
    <t>cb173026-e2ea-4e55-b3aa-cb386e988658</t>
  </si>
  <si>
    <t>Dark Insight</t>
  </si>
  <si>
    <t>Diana Stanley deck only._x000D_
Fast. Play when an investigator at your location draws an encounter card or a weakness._x000D_
Cancel all of that card's effects and shuffle it back into its deck. (Do not draw a new card to replace it.)</t>
  </si>
  <si>
    <t>d8ce9a2c-1943-452f-a2c9-2b0fc7e80126</t>
  </si>
  <si>
    <t>Terrible Secret</t>
  </si>
  <si>
    <t>Revelation - If there are no card beneath Diana Stanley, shuffle Terrible Secret back into your deck. Otherwise, for each card beneath Diana Stanley, you must either discard that card or take 1 horror. Cannot be canceled.</t>
  </si>
  <si>
    <t>f93044c1-8f80-4aba-97c6-f21288ee6a8c</t>
  </si>
  <si>
    <t>"I'm done runnin'!"</t>
  </si>
  <si>
    <t>Rita Young deck only._x000D_
Fast. Play only during your turn._x000D_
Ready and engage all enemies at your location. For the remainder of your turn, whenever you evade an enemy, instead of exhausting and disengaging from that enemy, you may deal it 1 damage. (All other effects of the successful evasion still apply.)</t>
  </si>
  <si>
    <t>8d7c69e4-9ff4-4658-903d-eaabd6411a5c</t>
  </si>
  <si>
    <t>Hoods</t>
  </si>
  <si>
    <t>Prey - Rita Young only._x000D_
Alert. Hunter._x000D_
Forced - After you evade Hoods: It attacks you.</t>
  </si>
  <si>
    <t>408e4162-24b4-4e93-a0f7-e8af22ca672e</t>
  </si>
  <si>
    <t>99963b23-0d40-4758-8366-06bbd43c2c5b</t>
  </si>
  <si>
    <t>Revelation - Put Baron Samedi into play. He cannot leave play while he has less than 3 doom on him._x000D_
Forced â€“ When any amount of damage is placed on an investigator in Baron Samedi's location: Place 1 additional damage on that investigator._x000D_
θ Exhaust Baron Samedi: Place 1 doom on Baron Samedi. If he has 3 or more doom on him, discard him.</t>
  </si>
  <si>
    <t>43caf116-2a77-4168-a3cb-13885b676b25</t>
  </si>
  <si>
    <t>Interrogate</t>
  </si>
  <si>
    <t>Tactic. Insight.</t>
  </si>
  <si>
    <t>Parley. Choose a [[Humanoid]] enemy at your location and test ή (3). This test gets +X difficulty, where X is the chosen enemy's damage value. If you succeed, discover 1 clue at your location and 1 clue at any other location.</t>
  </si>
  <si>
    <t>e6c87818-e603-49c0-8f09-0c7506745501</t>
  </si>
  <si>
    <t>Delay the Inevitable</t>
  </si>
  <si>
    <t>Insight. Spirit. Tactic.</t>
  </si>
  <si>
    <t>Fast. Play only during your turn. Attach to an investigator at your location, under his or her control._x000D_
ι When you are dealt damage and/or horror: Discard Delay the Inevitable and cancel all damage and/or horror just dealt._x000D_
Forced - When the mythos phase ends: You must either spend 2 resources or discard Delay the Inevitable.</t>
  </si>
  <si>
    <t>cdb3dc5a-bf08-4d23-842c-a4b50168df70</t>
  </si>
  <si>
    <t>Steadfast</t>
  </si>
  <si>
    <t>While you have 5 or more total remaining health and sanity, Steadfast gains ά ή (while you have 10 or more total remaining health and sanity, Steadfast gains ά ά ή ή, instead).</t>
  </si>
  <si>
    <t>d3dbcdb1-4657-4ab8-b6cf-bf74def65486</t>
  </si>
  <si>
    <t>Ace of Swords</t>
  </si>
  <si>
    <t>Let Your Arrow Fly True</t>
  </si>
  <si>
    <t>Tarot</t>
  </si>
  <si>
    <t>Tarot.</t>
  </si>
  <si>
    <t>You get +1 ή._x000D_
ι When the game begins, if Ace of Swords is in your opening hand: Put it into play.</t>
  </si>
  <si>
    <t>400e76f9-d8bf-4964-b9b6-516fe76a98fd</t>
  </si>
  <si>
    <t>Fingerprint Kit</t>
  </si>
  <si>
    <t>Item. Tool</t>
  </si>
  <si>
    <t>Uses (3 supplies)._x000D_
η Exhaust Fingerprint Kit and spend 1 supply: Investigate. You get +1 έ for this investigation. If you succeed, you discover 1 additional clue at your location.</t>
  </si>
  <si>
    <t>b9ae78d7-eb00-4df5-a22f-df7badbf3922</t>
  </si>
  <si>
    <t>Connect the Dots</t>
  </si>
  <si>
    <t>Fast. Play after you discover the last clue at your location._x000D_
Discover 2 clues at a location with a lower printed shroud value than your location.</t>
  </si>
  <si>
    <t>4a7794f9-c8be-4c42-b1ef-46d7dfdd4a0a</t>
  </si>
  <si>
    <t>Curiosity</t>
  </si>
  <si>
    <t>While you have 4 or more cards in hand, Curiosity gains ά έ (while you have 7 or more cards in hand, Curiosity gains ά ά έ έ, instead).</t>
  </si>
  <si>
    <t>cb477972-7436-4bcc-81a9-1f3829ff1afb</t>
  </si>
  <si>
    <t>Death XIII</t>
  </si>
  <si>
    <t>Free from the Past</t>
  </si>
  <si>
    <t>You get +1 έ._x000D_
ι When the game begins, if Death â€¢ XIII is in your opening hand: Put it into play.</t>
  </si>
  <si>
    <t>8ed7541a-893c-47db-96df-152e8950abc5</t>
  </si>
  <si>
    <t>Well Connected</t>
  </si>
  <si>
    <t>Limit 1 per investigator._x000D_
[fast] Exhaust Well Connected: You get +1 skill value for this skill test for every 5 resources you have.</t>
  </si>
  <si>
    <t>6a2d7bfa-30e9-4cb0-ac13-60f103eca5c7</t>
  </si>
  <si>
    <t>Money Talks</t>
  </si>
  <si>
    <t>Favor. Gambit.</t>
  </si>
  <si>
    <t>Fast. Play when you initiate a skill test._x000D_
Instead of the skill type indicated for this test (ά, έ, ή, or ί), this is a resource skill test. Your base skill value for this test is equal to half the number of resources in your resource pool (rounded down).</t>
  </si>
  <si>
    <t>562dea47-be08-4c89-b1fc-2f03d3b7cf9f</t>
  </si>
  <si>
    <t>Cunning</t>
  </si>
  <si>
    <t>While you have 5 or more resources, Cunning gains έ ί (while you have 10 or more resources, Cunning gains έ έ ί ί, instead).</t>
  </si>
  <si>
    <t>5979ffd1-1971-4802-abdd-c345fc60cb9c</t>
  </si>
  <si>
    <t>The Moon XVIII</t>
  </si>
  <si>
    <t>Message from Your Inner Self</t>
  </si>
  <si>
    <t>You get +1 ί._x000D_
ι When the game begins, if The Moon â€¢ XVIII is in your opening hand: Put it into play.</t>
  </si>
  <si>
    <t>fa4ac919-ac11-4699-91c6-ccb37d0900f4</t>
  </si>
  <si>
    <t>Deny Existence</t>
  </si>
  <si>
    <t>Fast. Play when an encounter card or an enemy attack would cause you to do one of the following (choose one): Discard cards from hand, lose resources, lose actions, take damage, or take horror._x000D_
You ignore that aspect of the effect. (Each other aspect resolves normally.)</t>
  </si>
  <si>
    <t>c39b5679-d3a1-467d-8051-50047cc34281</t>
  </si>
  <si>
    <t>Eldritch Inspiration</t>
  </si>
  <si>
    <t>Fast. Play when you would resolve an effect on a μ card that triggers when a α, β, γ, δ, or ζ symbol is revealed._x000D_
Either cancel that effect, or resolve it an additional time.</t>
  </si>
  <si>
    <t>7be54dfa-9595-4c17-bc29-d678e593e8c4</t>
  </si>
  <si>
    <t>Prophesy</t>
  </si>
  <si>
    <t>While there are 3 or more doom in play, Prophesy gains ΰ (while there are 6 or more doom in play, Prophesy gains ΰ ΰ, instead).</t>
  </si>
  <si>
    <t>d58e1b85-2760-4019-9951-5a43c74c7227</t>
  </si>
  <si>
    <t>Four of Cups</t>
  </si>
  <si>
    <t>Chalice of the Heart</t>
  </si>
  <si>
    <t>You get +1 ά._x000D_
ι When the game begins, if Four of Cups is in your opening hand: Put it into play.</t>
  </si>
  <si>
    <t>0046b1cf-c6d2-425d-bd02-d49686e400fa</t>
  </si>
  <si>
    <t>Track Shoes</t>
  </si>
  <si>
    <t>Item. Clothing. Footwear.</t>
  </si>
  <si>
    <t>Limit 1 [[Footwear]] per investigator._x000D_
You get +1 ί._x000D_
ι After you move, but before enemies at your new location engage you, exhaust Track Shoes: Test ί (3). If you succeed, move to a connecting location.</t>
  </si>
  <si>
    <t>4f8887d7-511b-4094-bb50-c873e4d778dc</t>
  </si>
  <si>
    <t>Act of Desperation</t>
  </si>
  <si>
    <t>Tactic. Gambit.</t>
  </si>
  <si>
    <t>As an additional cost to play Act of Desperation, choose and discard an [[Item]] asset that takes up at least 1 hand slot from your hand or play area._x000D_
Fight. You get +X ή and deal +1 damage for this attack, where X is the chosen asset's printed resource cost. If you succeed and that asset was in your play area, gain X resources.</t>
  </si>
  <si>
    <t>d5b60e5a-cb31-4b98-9c40-aed4322a2347</t>
  </si>
  <si>
    <t>Able Bodied</t>
  </si>
  <si>
    <t>While you control 2 or fewer [[Item]] assets, Able Bodied gains ή ί (while you control 1 or fewer [[Item]] assets, Able Bodied gains ή ή ί ί, instead).</t>
  </si>
  <si>
    <t>f9ad6423-0640-4045-ac80-55dd103d113a</t>
  </si>
  <si>
    <t>Five of Pentacles</t>
  </si>
  <si>
    <t>From the Brink</t>
  </si>
  <si>
    <t>You get +1 health and +1 sanity._x000D_
ι When the game begins, if Five of Pentacles is in your opening hand: Put it into play.</t>
  </si>
  <si>
    <t>78c05ca7-c225-40b4-9a58-5ec8d45f8e31</t>
  </si>
  <si>
    <t>Ace of Rods</t>
  </si>
  <si>
    <t>The Fateful Step</t>
  </si>
  <si>
    <t>[fast] During your turn, remove Ace of Rods from the game: You may take an additional action this turn, during which you get +2 to each of your skills._x000D_
ι When the game begins, if Ace of Rods is in your opening hand: Put it into play.</t>
  </si>
  <si>
    <t>479a3456-8e6c-4df7-a778-dad99d0a0f9d</t>
  </si>
  <si>
    <t>The Thirteenth Vision</t>
  </si>
  <si>
    <t>Revelation - Put The 13th Vision into play in your threat area._x000D_
Investigators at your location fail ties during skill tests._x000D_
η η: Discard The 13th Vision.</t>
  </si>
  <si>
    <t>46163897-b6a8-4c6e-86ef-27c5eeb7f443</t>
  </si>
  <si>
    <t>The Tower XVI</t>
  </si>
  <si>
    <t>Circumstances Beyond Your Control</t>
  </si>
  <si>
    <t>Omen. Tarot.</t>
  </si>
  <si>
    <t>You cannot commit cards to skill tests while The Tower â€¢ XVI is in your hand._x000D_
If The Tower â€¢ XVI is drawn in your opening hand during setup (before or after taking a mulligan), you cannot replace it. It must stay in your opening hand.</t>
  </si>
  <si>
    <t>The Circle Undone</t>
  </si>
  <si>
    <t>TCU</t>
  </si>
  <si>
    <t>57e4c960-af10-44cc-9af3-e1f4db571445</t>
  </si>
  <si>
    <t>009a9055-355a-4d33-80d1-6877af906369</t>
  </si>
  <si>
    <t>bf62dc7a-2d9f-4a41-8d90-3852188df560</t>
  </si>
  <si>
    <t>295aec50-d0a1-4934-b97d-d880573323d8</t>
  </si>
  <si>
    <t>84d907e0-b23c-43e5-9c3e-d27436076a73</t>
  </si>
  <si>
    <t>8f9953c8-71d5-4e2d-96d2-4d0b2f5c9937</t>
  </si>
</sst>
</file>

<file path=xl/styles.xml><?xml version="1.0" encoding="utf-8"?>
<styleSheet xmlns="http://schemas.openxmlformats.org/spreadsheetml/2006/main" xmlns:mc="http://schemas.openxmlformats.org/markup-compatibility/2006" xmlns:x14ac="http://schemas.microsoft.com/office/spreadsheetml/2009/9/ac" mc:Ignorable="x14ac">
  <fonts count="19">
    <font>
      <sz val="11"/>
      <color theme="1"/>
      <name val="Calibri"/>
      <family val="2"/>
      <scheme val="minor"/>
    </font>
    <font>
      <sz val="9"/>
      <color theme="1"/>
      <name val="Calibri"/>
      <family val="2"/>
      <scheme val="minor"/>
    </font>
    <font>
      <i/>
      <sz val="11"/>
      <color rgb="FF373737"/>
      <name val="Georgia"/>
      <family val="1"/>
    </font>
    <font>
      <sz val="14"/>
      <color rgb="FF0070C0"/>
      <name val="Calibri"/>
      <family val="2"/>
      <scheme val="minor"/>
    </font>
    <font>
      <b/>
      <sz val="9"/>
      <color theme="1"/>
      <name val="Calibri"/>
      <family val="2"/>
      <scheme val="minor"/>
    </font>
    <font>
      <sz val="9"/>
      <color rgb="FF0070C0"/>
      <name val="Calibri"/>
      <family val="2"/>
      <scheme val="minor"/>
    </font>
    <font>
      <sz val="9"/>
      <name val="Calibri"/>
      <family val="2"/>
      <scheme val="minor"/>
    </font>
    <font>
      <b/>
      <sz val="9"/>
      <color rgb="FFFFC000"/>
      <name val="Calibri"/>
      <family val="2"/>
      <scheme val="minor"/>
    </font>
    <font>
      <sz val="11"/>
      <color theme="1"/>
      <name val="Calibri Arkham"/>
      <family val="2"/>
    </font>
    <font>
      <sz val="11"/>
      <color rgb="FF373737"/>
      <name val="Calibri Arkham"/>
      <family val="2"/>
    </font>
    <font>
      <b/>
      <sz val="9"/>
      <color rgb="FFFFC000"/>
      <name val="Calibri Arkham"/>
      <family val="2"/>
    </font>
    <font>
      <sz val="9"/>
      <color theme="1"/>
      <name val="Calibri Arkham"/>
      <family val="2"/>
    </font>
    <font>
      <sz val="9"/>
      <color theme="0"/>
      <name val="Calibri Arkham"/>
      <family val="2"/>
    </font>
    <font>
      <b/>
      <sz val="9"/>
      <color theme="0"/>
      <name val="Calibri Arkham"/>
      <family val="2"/>
    </font>
    <font>
      <sz val="12"/>
      <color theme="1"/>
      <name val="Calibri Arkham"/>
      <family val="2"/>
    </font>
    <font>
      <sz val="10"/>
      <color theme="1"/>
      <name val="Calibri Arkham"/>
      <family val="2"/>
    </font>
    <font>
      <sz val="11"/>
      <color rgb="FF000000"/>
      <name val="Calibri"/>
      <family val="2"/>
    </font>
    <font>
      <sz val="9"/>
      <color theme="1"/>
      <name val="Calibri Arkham"/>
    </font>
    <font>
      <sz val="9"/>
      <color theme="0"/>
      <name val="Calibri Arkham"/>
    </font>
  </fonts>
  <fills count="20">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1" tint="0.34998626667073579"/>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002060"/>
        <bgColor indexed="64"/>
      </patternFill>
    </fill>
    <fill>
      <patternFill patternType="solid">
        <fgColor theme="9" tint="-0.249977111117893"/>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rgb="FFFFFFCC"/>
        <bgColor indexed="64"/>
      </patternFill>
    </fill>
    <fill>
      <patternFill patternType="solid">
        <fgColor theme="5" tint="0.79998168889431442"/>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thin">
        <color indexed="64"/>
      </bottom>
      <diagonal/>
    </border>
    <border>
      <left style="hair">
        <color indexed="64"/>
      </left>
      <right/>
      <top/>
      <bottom/>
      <diagonal/>
    </border>
    <border>
      <left/>
      <right style="hair">
        <color indexed="64"/>
      </right>
      <top/>
      <bottom/>
      <diagonal/>
    </border>
  </borders>
  <cellStyleXfs count="1">
    <xf numFmtId="0" fontId="0" fillId="0" borderId="0"/>
  </cellStyleXfs>
  <cellXfs count="191">
    <xf numFmtId="0" fontId="0" fillId="0" borderId="0" xfId="0"/>
    <xf numFmtId="0" fontId="2" fillId="0" borderId="0" xfId="0" applyFont="1"/>
    <xf numFmtId="0" fontId="3" fillId="0" borderId="0" xfId="0" applyFont="1" applyBorder="1"/>
    <xf numFmtId="49" fontId="5" fillId="0" borderId="0" xfId="0" applyNumberFormat="1" applyFont="1" applyBorder="1"/>
    <xf numFmtId="0" fontId="1" fillId="0" borderId="0" xfId="0" applyFont="1"/>
    <xf numFmtId="0" fontId="6" fillId="0" borderId="0" xfId="0" applyFont="1"/>
    <xf numFmtId="49" fontId="1" fillId="0" borderId="0" xfId="0" applyNumberFormat="1" applyFont="1"/>
    <xf numFmtId="0" fontId="4" fillId="0" borderId="1" xfId="0" applyFont="1" applyBorder="1" applyAlignment="1">
      <alignment horizontal="center"/>
    </xf>
    <xf numFmtId="0" fontId="1" fillId="0" borderId="0" xfId="0" applyFont="1" applyFill="1"/>
    <xf numFmtId="0" fontId="7" fillId="3" borderId="0" xfId="0" applyFont="1" applyFill="1"/>
    <xf numFmtId="49" fontId="7" fillId="3" borderId="0" xfId="0" applyNumberFormat="1" applyFont="1" applyFill="1" applyBorder="1"/>
    <xf numFmtId="0" fontId="7" fillId="3" borderId="1" xfId="0" applyFont="1" applyFill="1" applyBorder="1"/>
    <xf numFmtId="0" fontId="0" fillId="0" borderId="0" xfId="0" applyAlignment="1">
      <alignment wrapText="1"/>
    </xf>
    <xf numFmtId="0" fontId="6" fillId="0" borderId="1" xfId="0" applyFont="1" applyFill="1" applyBorder="1" applyAlignment="1">
      <alignment horizontal="center"/>
    </xf>
    <xf numFmtId="0" fontId="6" fillId="0" borderId="0" xfId="0" applyFont="1" applyFill="1"/>
    <xf numFmtId="0" fontId="6" fillId="0" borderId="6" xfId="0" applyFont="1" applyFill="1" applyBorder="1" applyAlignment="1">
      <alignment horizontal="center"/>
    </xf>
    <xf numFmtId="0" fontId="8" fillId="0" borderId="0" xfId="0" applyFont="1"/>
    <xf numFmtId="0" fontId="8" fillId="0" borderId="0" xfId="0" applyFont="1" applyAlignment="1">
      <alignment horizontal="center"/>
    </xf>
    <xf numFmtId="0" fontId="5" fillId="0" borderId="0" xfId="0" applyFont="1" applyBorder="1" applyAlignment="1">
      <alignment wrapText="1"/>
    </xf>
    <xf numFmtId="0" fontId="6" fillId="0" borderId="0" xfId="0" applyFont="1" applyFill="1" applyBorder="1"/>
    <xf numFmtId="49" fontId="6" fillId="0" borderId="0" xfId="0" quotePrefix="1" applyNumberFormat="1" applyFont="1" applyFill="1" applyBorder="1"/>
    <xf numFmtId="0" fontId="9" fillId="0" borderId="0" xfId="0" applyFont="1" applyAlignment="1">
      <alignment horizontal="center"/>
    </xf>
    <xf numFmtId="0" fontId="0" fillId="0" borderId="0" xfId="0" applyAlignment="1">
      <alignment horizontal="center"/>
    </xf>
    <xf numFmtId="0" fontId="11" fillId="0" borderId="0" xfId="0" applyFont="1" applyAlignment="1">
      <alignment horizontal="left" vertical="top" wrapText="1"/>
    </xf>
    <xf numFmtId="0" fontId="11" fillId="0" borderId="0" xfId="0" applyNumberFormat="1" applyFont="1" applyAlignment="1">
      <alignment horizontal="left" vertical="top" wrapText="1"/>
    </xf>
    <xf numFmtId="0" fontId="11" fillId="0" borderId="7" xfId="0" applyNumberFormat="1" applyFont="1" applyBorder="1" applyAlignment="1">
      <alignment horizontal="left" vertical="top" wrapText="1"/>
    </xf>
    <xf numFmtId="0" fontId="11" fillId="12" borderId="0" xfId="0" applyFont="1" applyFill="1" applyAlignment="1">
      <alignment horizontal="left" vertical="top" wrapText="1"/>
    </xf>
    <xf numFmtId="0" fontId="11" fillId="12" borderId="0" xfId="0" applyNumberFormat="1" applyFont="1" applyFill="1" applyAlignment="1">
      <alignment horizontal="left" vertical="top" wrapText="1"/>
    </xf>
    <xf numFmtId="0" fontId="11" fillId="0" borderId="0" xfId="0" applyFont="1" applyFill="1" applyAlignment="1">
      <alignment horizontal="left" vertical="top" wrapText="1"/>
    </xf>
    <xf numFmtId="0" fontId="11" fillId="8" borderId="2" xfId="0" applyFont="1" applyFill="1" applyBorder="1" applyAlignment="1">
      <alignment horizontal="left" vertical="top" wrapText="1"/>
    </xf>
    <xf numFmtId="11" fontId="11" fillId="0" borderId="0" xfId="0" applyNumberFormat="1" applyFont="1" applyAlignment="1">
      <alignment horizontal="left" vertical="top" wrapText="1"/>
    </xf>
    <xf numFmtId="0" fontId="11" fillId="0" borderId="0" xfId="0" applyNumberFormat="1" applyFont="1" applyFill="1" applyAlignment="1">
      <alignment horizontal="left" vertical="top" wrapText="1"/>
    </xf>
    <xf numFmtId="0" fontId="11" fillId="0" borderId="7" xfId="0" applyFont="1" applyBorder="1" applyAlignment="1">
      <alignment horizontal="left" vertical="top" wrapText="1"/>
    </xf>
    <xf numFmtId="0" fontId="11" fillId="0" borderId="0" xfId="0" applyFont="1" applyAlignment="1">
      <alignment horizontal="left" vertical="top"/>
    </xf>
    <xf numFmtId="49" fontId="6" fillId="17" borderId="0" xfId="0" applyNumberFormat="1" applyFont="1" applyFill="1"/>
    <xf numFmtId="0" fontId="1" fillId="16" borderId="0" xfId="0" applyFont="1" applyFill="1" applyBorder="1"/>
    <xf numFmtId="49" fontId="6" fillId="16" borderId="0" xfId="0" quotePrefix="1" applyNumberFormat="1" applyFont="1" applyFill="1" applyBorder="1"/>
    <xf numFmtId="0" fontId="6" fillId="16" borderId="0" xfId="0" applyFont="1" applyFill="1"/>
    <xf numFmtId="49" fontId="6" fillId="16" borderId="0" xfId="0" applyNumberFormat="1" applyFont="1" applyFill="1"/>
    <xf numFmtId="0" fontId="1" fillId="17" borderId="0" xfId="0" applyFont="1" applyFill="1"/>
    <xf numFmtId="0" fontId="11" fillId="17" borderId="0" xfId="0" applyFont="1" applyFill="1" applyAlignment="1">
      <alignment horizontal="left" vertical="top" wrapText="1"/>
    </xf>
    <xf numFmtId="0" fontId="11" fillId="2" borderId="0" xfId="0" applyFont="1" applyFill="1" applyAlignment="1">
      <alignment horizontal="left" vertical="top" wrapText="1"/>
    </xf>
    <xf numFmtId="0" fontId="8" fillId="0" borderId="0" xfId="0" applyFont="1" applyAlignment="1">
      <alignment horizontal="left" vertical="top"/>
    </xf>
    <xf numFmtId="0" fontId="8" fillId="0" borderId="0" xfId="0" applyFont="1" applyAlignment="1">
      <alignment horizontal="left" vertical="top" wrapText="1"/>
    </xf>
    <xf numFmtId="0" fontId="10" fillId="3" borderId="0" xfId="0" applyFont="1" applyFill="1" applyAlignment="1">
      <alignment horizontal="left" textRotation="180" wrapText="1"/>
    </xf>
    <xf numFmtId="0" fontId="10" fillId="3" borderId="0" xfId="0" applyNumberFormat="1" applyFont="1" applyFill="1" applyAlignment="1">
      <alignment horizontal="left" textRotation="180" wrapText="1"/>
    </xf>
    <xf numFmtId="0" fontId="10" fillId="3" borderId="0" xfId="0" applyFont="1" applyFill="1" applyAlignment="1">
      <alignment horizontal="left" wrapText="1"/>
    </xf>
    <xf numFmtId="0" fontId="10" fillId="3" borderId="0" xfId="0" applyNumberFormat="1" applyFont="1" applyFill="1" applyAlignment="1">
      <alignment horizontal="left" wrapText="1"/>
    </xf>
    <xf numFmtId="0" fontId="10" fillId="11" borderId="0" xfId="0" applyFont="1" applyFill="1" applyAlignment="1">
      <alignment horizontal="left" wrapText="1"/>
    </xf>
    <xf numFmtId="0" fontId="10" fillId="11" borderId="0" xfId="0" applyFont="1" applyFill="1" applyAlignment="1">
      <alignment horizontal="left" textRotation="180" wrapText="1"/>
    </xf>
    <xf numFmtId="0" fontId="10" fillId="11" borderId="0" xfId="0" applyNumberFormat="1" applyFont="1" applyFill="1" applyAlignment="1">
      <alignment horizontal="left" wrapText="1"/>
    </xf>
    <xf numFmtId="0" fontId="13" fillId="15" borderId="0" xfId="0" applyFont="1" applyFill="1" applyAlignment="1">
      <alignment horizontal="left" wrapText="1"/>
    </xf>
    <xf numFmtId="0" fontId="14" fillId="0" borderId="0" xfId="0" applyFont="1" applyAlignment="1">
      <alignment horizontal="left" vertical="top"/>
    </xf>
    <xf numFmtId="0" fontId="11" fillId="2" borderId="0" xfId="0" applyNumberFormat="1" applyFont="1" applyFill="1" applyAlignment="1">
      <alignment horizontal="left" vertical="top"/>
    </xf>
    <xf numFmtId="0" fontId="11" fillId="2" borderId="0" xfId="0" applyFont="1" applyFill="1" applyAlignment="1">
      <alignment horizontal="left" vertical="top"/>
    </xf>
    <xf numFmtId="0" fontId="11" fillId="0" borderId="0" xfId="0" applyNumberFormat="1" applyFont="1" applyAlignment="1">
      <alignment horizontal="left" vertical="top"/>
    </xf>
    <xf numFmtId="0" fontId="10" fillId="3" borderId="0" xfId="0" applyNumberFormat="1" applyFont="1" applyFill="1" applyAlignment="1">
      <alignment horizontal="center" textRotation="180" wrapText="1"/>
    </xf>
    <xf numFmtId="0" fontId="10" fillId="3" borderId="2" xfId="0" applyNumberFormat="1" applyFont="1" applyFill="1" applyBorder="1" applyAlignment="1">
      <alignment horizontal="center" textRotation="180" wrapText="1"/>
    </xf>
    <xf numFmtId="0" fontId="10" fillId="3" borderId="2" xfId="0" applyFont="1" applyFill="1" applyBorder="1" applyAlignment="1">
      <alignment horizontal="center" textRotation="180" wrapText="1"/>
    </xf>
    <xf numFmtId="0" fontId="10" fillId="11" borderId="0" xfId="0" applyNumberFormat="1" applyFont="1" applyFill="1" applyAlignment="1">
      <alignment horizontal="center" textRotation="180" wrapText="1"/>
    </xf>
    <xf numFmtId="0" fontId="10" fillId="11" borderId="2" xfId="0" applyNumberFormat="1" applyFont="1" applyFill="1" applyBorder="1" applyAlignment="1">
      <alignment horizontal="center" textRotation="180" wrapText="1"/>
    </xf>
    <xf numFmtId="0" fontId="10" fillId="11" borderId="2" xfId="0" applyFont="1" applyFill="1" applyBorder="1" applyAlignment="1">
      <alignment horizontal="center" textRotation="180" wrapText="1"/>
    </xf>
    <xf numFmtId="0" fontId="11" fillId="0" borderId="0" xfId="0" applyNumberFormat="1" applyFont="1" applyAlignment="1">
      <alignment horizontal="center" vertical="top" wrapText="1"/>
    </xf>
    <xf numFmtId="0" fontId="11" fillId="9" borderId="2" xfId="0" applyNumberFormat="1" applyFont="1" applyFill="1" applyBorder="1" applyAlignment="1">
      <alignment horizontal="center" vertical="top" wrapText="1"/>
    </xf>
    <xf numFmtId="0" fontId="11" fillId="4" borderId="2" xfId="0" applyNumberFormat="1" applyFont="1" applyFill="1" applyBorder="1" applyAlignment="1">
      <alignment horizontal="center" vertical="top" wrapText="1"/>
    </xf>
    <xf numFmtId="0" fontId="11" fillId="10" borderId="2" xfId="0" applyNumberFormat="1" applyFont="1" applyFill="1" applyBorder="1" applyAlignment="1">
      <alignment horizontal="center" vertical="top" wrapText="1"/>
    </xf>
    <xf numFmtId="0" fontId="11" fillId="8" borderId="2" xfId="0" applyFont="1" applyFill="1" applyBorder="1" applyAlignment="1">
      <alignment horizontal="center" vertical="top" wrapText="1"/>
    </xf>
    <xf numFmtId="0" fontId="11" fillId="8" borderId="2" xfId="0" applyFont="1" applyFill="1" applyBorder="1" applyAlignment="1">
      <alignment horizontal="center" vertical="top"/>
    </xf>
    <xf numFmtId="0" fontId="11" fillId="7" borderId="2" xfId="0" applyFont="1" applyFill="1" applyBorder="1" applyAlignment="1">
      <alignment horizontal="center" vertical="top" wrapText="1"/>
    </xf>
    <xf numFmtId="0" fontId="12" fillId="13" borderId="2" xfId="0" applyNumberFormat="1" applyFont="1" applyFill="1" applyBorder="1" applyAlignment="1">
      <alignment horizontal="center" vertical="top" wrapText="1"/>
    </xf>
    <xf numFmtId="0" fontId="12" fillId="14" borderId="2" xfId="0" applyNumberFormat="1" applyFont="1" applyFill="1" applyBorder="1" applyAlignment="1">
      <alignment horizontal="center" vertical="top" wrapText="1"/>
    </xf>
    <xf numFmtId="0" fontId="11" fillId="6" borderId="2" xfId="0" applyNumberFormat="1" applyFont="1" applyFill="1" applyBorder="1" applyAlignment="1">
      <alignment horizontal="center" vertical="top" wrapText="1"/>
    </xf>
    <xf numFmtId="0" fontId="11" fillId="5" borderId="2" xfId="0" applyNumberFormat="1" applyFont="1" applyFill="1" applyBorder="1" applyAlignment="1">
      <alignment horizontal="center" vertical="top" wrapText="1"/>
    </xf>
    <xf numFmtId="0" fontId="11" fillId="0" borderId="0" xfId="0" applyFont="1" applyAlignment="1">
      <alignment horizontal="center" vertical="top" wrapText="1"/>
    </xf>
    <xf numFmtId="0" fontId="11" fillId="0" borderId="0" xfId="0" quotePrefix="1" applyFont="1" applyAlignment="1">
      <alignment horizontal="center" vertical="top" wrapText="1"/>
    </xf>
    <xf numFmtId="0" fontId="11" fillId="9" borderId="2" xfId="0" applyFont="1" applyFill="1" applyBorder="1" applyAlignment="1">
      <alignment horizontal="center" vertical="top" wrapText="1"/>
    </xf>
    <xf numFmtId="0" fontId="11" fillId="4" borderId="2" xfId="0" applyFont="1" applyFill="1" applyBorder="1" applyAlignment="1">
      <alignment horizontal="center" vertical="top" wrapText="1"/>
    </xf>
    <xf numFmtId="0" fontId="11" fillId="10" borderId="2" xfId="0" applyFont="1" applyFill="1" applyBorder="1" applyAlignment="1">
      <alignment horizontal="center" vertical="top" wrapText="1"/>
    </xf>
    <xf numFmtId="0" fontId="11" fillId="13" borderId="2" xfId="0" applyFont="1" applyFill="1" applyBorder="1" applyAlignment="1">
      <alignment horizontal="center" vertical="top" wrapText="1"/>
    </xf>
    <xf numFmtId="0" fontId="11" fillId="14" borderId="2" xfId="0" applyFont="1" applyFill="1" applyBorder="1" applyAlignment="1">
      <alignment horizontal="center" vertical="top" wrapText="1"/>
    </xf>
    <xf numFmtId="0" fontId="11" fillId="6" borderId="2" xfId="0" applyFont="1" applyFill="1" applyBorder="1" applyAlignment="1">
      <alignment horizontal="center" vertical="top" wrapText="1"/>
    </xf>
    <xf numFmtId="0" fontId="11" fillId="5" borderId="2" xfId="0" applyFont="1" applyFill="1" applyBorder="1" applyAlignment="1">
      <alignment horizontal="center" vertical="top" wrapText="1"/>
    </xf>
    <xf numFmtId="0" fontId="11" fillId="8" borderId="2" xfId="0" quotePrefix="1" applyFont="1" applyFill="1" applyBorder="1" applyAlignment="1">
      <alignment horizontal="center" vertical="top" wrapText="1"/>
    </xf>
    <xf numFmtId="0" fontId="12" fillId="13" borderId="2" xfId="0" applyFont="1" applyFill="1" applyBorder="1" applyAlignment="1">
      <alignment horizontal="center" vertical="top" wrapText="1"/>
    </xf>
    <xf numFmtId="0" fontId="12" fillId="14" borderId="2" xfId="0" applyFont="1" applyFill="1" applyBorder="1" applyAlignment="1">
      <alignment horizontal="center" vertical="top" wrapText="1"/>
    </xf>
    <xf numFmtId="0" fontId="11" fillId="0" borderId="7" xfId="0" applyFont="1" applyBorder="1" applyAlignment="1">
      <alignment horizontal="center" vertical="top" wrapText="1"/>
    </xf>
    <xf numFmtId="0" fontId="11" fillId="9" borderId="9" xfId="0" applyFont="1" applyFill="1" applyBorder="1" applyAlignment="1">
      <alignment horizontal="center" vertical="top" wrapText="1"/>
    </xf>
    <xf numFmtId="0" fontId="11" fillId="4" borderId="9" xfId="0" applyFont="1" applyFill="1" applyBorder="1" applyAlignment="1">
      <alignment horizontal="center" vertical="top" wrapText="1"/>
    </xf>
    <xf numFmtId="0" fontId="11" fillId="10" borderId="9" xfId="0" applyFont="1" applyFill="1" applyBorder="1" applyAlignment="1">
      <alignment horizontal="center" vertical="top" wrapText="1"/>
    </xf>
    <xf numFmtId="0" fontId="11" fillId="8" borderId="9" xfId="0" applyFont="1" applyFill="1" applyBorder="1" applyAlignment="1">
      <alignment horizontal="center" vertical="top" wrapText="1"/>
    </xf>
    <xf numFmtId="0" fontId="11" fillId="7" borderId="9" xfId="0" applyFont="1" applyFill="1" applyBorder="1" applyAlignment="1">
      <alignment horizontal="center" vertical="top" wrapText="1"/>
    </xf>
    <xf numFmtId="0" fontId="12" fillId="13" borderId="9" xfId="0" applyFont="1" applyFill="1" applyBorder="1" applyAlignment="1">
      <alignment horizontal="center" vertical="top" wrapText="1"/>
    </xf>
    <xf numFmtId="0" fontId="12" fillId="14" borderId="9" xfId="0" applyFont="1" applyFill="1" applyBorder="1" applyAlignment="1">
      <alignment horizontal="center" vertical="top" wrapText="1"/>
    </xf>
    <xf numFmtId="0" fontId="11" fillId="6" borderId="9" xfId="0" applyFont="1" applyFill="1" applyBorder="1" applyAlignment="1">
      <alignment horizontal="center" vertical="top" wrapText="1"/>
    </xf>
    <xf numFmtId="0" fontId="11" fillId="5" borderId="9" xfId="0" applyFont="1" applyFill="1" applyBorder="1" applyAlignment="1">
      <alignment horizontal="center" vertical="top" wrapText="1"/>
    </xf>
    <xf numFmtId="0" fontId="11" fillId="9" borderId="8" xfId="0" applyFont="1" applyFill="1" applyBorder="1" applyAlignment="1">
      <alignment horizontal="center" vertical="top" wrapText="1"/>
    </xf>
    <xf numFmtId="0" fontId="11" fillId="4" borderId="8" xfId="0" applyFont="1" applyFill="1" applyBorder="1" applyAlignment="1">
      <alignment horizontal="center" vertical="top" wrapText="1"/>
    </xf>
    <xf numFmtId="0" fontId="11" fillId="10" borderId="8" xfId="0" applyFont="1" applyFill="1" applyBorder="1" applyAlignment="1">
      <alignment horizontal="center" vertical="top" wrapText="1"/>
    </xf>
    <xf numFmtId="0" fontId="11" fillId="8" borderId="8" xfId="0" applyFont="1" applyFill="1" applyBorder="1" applyAlignment="1">
      <alignment horizontal="center" vertical="top" wrapText="1"/>
    </xf>
    <xf numFmtId="0" fontId="11" fillId="7" borderId="8" xfId="0" applyFont="1" applyFill="1" applyBorder="1" applyAlignment="1">
      <alignment horizontal="center" vertical="top" wrapText="1"/>
    </xf>
    <xf numFmtId="0" fontId="12" fillId="13" borderId="8" xfId="0" applyFont="1" applyFill="1" applyBorder="1" applyAlignment="1">
      <alignment horizontal="center" vertical="top" wrapText="1"/>
    </xf>
    <xf numFmtId="0" fontId="12" fillId="14" borderId="8" xfId="0" applyFont="1" applyFill="1" applyBorder="1" applyAlignment="1">
      <alignment horizontal="center" vertical="top" wrapText="1"/>
    </xf>
    <xf numFmtId="0" fontId="11" fillId="6" borderId="8" xfId="0" applyFont="1" applyFill="1" applyBorder="1" applyAlignment="1">
      <alignment horizontal="center" vertical="top" wrapText="1"/>
    </xf>
    <xf numFmtId="0" fontId="11" fillId="5" borderId="8" xfId="0" applyFont="1" applyFill="1" applyBorder="1" applyAlignment="1">
      <alignment horizontal="center" vertical="top" wrapText="1"/>
    </xf>
    <xf numFmtId="0" fontId="15" fillId="0" borderId="0" xfId="0" applyNumberFormat="1" applyFont="1" applyAlignment="1">
      <alignment horizontal="center" vertical="top"/>
    </xf>
    <xf numFmtId="0" fontId="11" fillId="9" borderId="2" xfId="0" applyNumberFormat="1" applyFont="1" applyFill="1" applyBorder="1" applyAlignment="1">
      <alignment horizontal="center" vertical="top"/>
    </xf>
    <xf numFmtId="0" fontId="11" fillId="4" borderId="2" xfId="0" applyNumberFormat="1" applyFont="1" applyFill="1" applyBorder="1" applyAlignment="1">
      <alignment horizontal="center" vertical="top"/>
    </xf>
    <xf numFmtId="0" fontId="11" fillId="10" borderId="2" xfId="0" applyNumberFormat="1" applyFont="1" applyFill="1" applyBorder="1" applyAlignment="1">
      <alignment horizontal="center" vertical="top"/>
    </xf>
    <xf numFmtId="0" fontId="12" fillId="13" borderId="2" xfId="0" applyNumberFormat="1" applyFont="1" applyFill="1" applyBorder="1" applyAlignment="1">
      <alignment horizontal="center" vertical="top"/>
    </xf>
    <xf numFmtId="0" fontId="12" fillId="14" borderId="2" xfId="0" applyNumberFormat="1" applyFont="1" applyFill="1" applyBorder="1" applyAlignment="1">
      <alignment horizontal="center" vertical="top"/>
    </xf>
    <xf numFmtId="0" fontId="11" fillId="6" borderId="2" xfId="0" applyNumberFormat="1" applyFont="1" applyFill="1" applyBorder="1" applyAlignment="1">
      <alignment horizontal="center" vertical="top"/>
    </xf>
    <xf numFmtId="0" fontId="11" fillId="5" borderId="2" xfId="0" applyNumberFormat="1" applyFont="1" applyFill="1" applyBorder="1" applyAlignment="1">
      <alignment horizontal="center" vertical="top"/>
    </xf>
    <xf numFmtId="0" fontId="11" fillId="0" borderId="0" xfId="0" applyNumberFormat="1" applyFont="1" applyAlignment="1">
      <alignment horizontal="center" vertical="top"/>
    </xf>
    <xf numFmtId="0" fontId="11" fillId="18" borderId="2" xfId="0" applyFont="1" applyFill="1" applyBorder="1" applyAlignment="1">
      <alignment horizontal="center" vertical="top"/>
    </xf>
    <xf numFmtId="11" fontId="11" fillId="2" borderId="0" xfId="0" applyNumberFormat="1" applyFont="1" applyFill="1" applyAlignment="1">
      <alignment horizontal="left" vertical="top"/>
    </xf>
    <xf numFmtId="11" fontId="11" fillId="0" borderId="0" xfId="0" applyNumberFormat="1" applyFont="1" applyAlignment="1">
      <alignment horizontal="left" vertical="top"/>
    </xf>
    <xf numFmtId="0" fontId="11" fillId="2" borderId="0" xfId="0" applyNumberFormat="1" applyFont="1" applyFill="1" applyAlignment="1">
      <alignment horizontal="left" vertical="top" wrapText="1"/>
    </xf>
    <xf numFmtId="0" fontId="11" fillId="0" borderId="0" xfId="0" applyFont="1" applyAlignment="1">
      <alignment wrapText="1"/>
    </xf>
    <xf numFmtId="0" fontId="11" fillId="9" borderId="2" xfId="0" applyNumberFormat="1" applyFont="1" applyFill="1" applyBorder="1" applyAlignment="1">
      <alignment horizontal="left" vertical="top" wrapText="1"/>
    </xf>
    <xf numFmtId="0" fontId="11" fillId="4" borderId="2" xfId="0" applyNumberFormat="1" applyFont="1" applyFill="1" applyBorder="1" applyAlignment="1">
      <alignment horizontal="left" vertical="top" wrapText="1"/>
    </xf>
    <xf numFmtId="0" fontId="11" fillId="10" borderId="2" xfId="0" applyNumberFormat="1" applyFont="1" applyFill="1" applyBorder="1" applyAlignment="1">
      <alignment horizontal="left" vertical="top" wrapText="1"/>
    </xf>
    <xf numFmtId="0" fontId="11" fillId="8" borderId="2" xfId="0" applyFont="1" applyFill="1" applyBorder="1" applyAlignment="1">
      <alignment horizontal="left" vertical="top"/>
    </xf>
    <xf numFmtId="0" fontId="11" fillId="7" borderId="2" xfId="0" applyFont="1" applyFill="1" applyBorder="1" applyAlignment="1">
      <alignment horizontal="left" vertical="top" wrapText="1"/>
    </xf>
    <xf numFmtId="0" fontId="12" fillId="13" borderId="2" xfId="0" applyNumberFormat="1" applyFont="1" applyFill="1" applyBorder="1" applyAlignment="1">
      <alignment horizontal="left" vertical="top" wrapText="1"/>
    </xf>
    <xf numFmtId="0" fontId="12" fillId="14" borderId="2" xfId="0" applyNumberFormat="1" applyFont="1" applyFill="1" applyBorder="1" applyAlignment="1">
      <alignment horizontal="left" vertical="top" wrapText="1"/>
    </xf>
    <xf numFmtId="0" fontId="11" fillId="6" borderId="2" xfId="0" applyNumberFormat="1" applyFont="1" applyFill="1" applyBorder="1" applyAlignment="1">
      <alignment horizontal="left" vertical="top" wrapText="1"/>
    </xf>
    <xf numFmtId="0" fontId="11" fillId="5" borderId="2" xfId="0" applyNumberFormat="1" applyFont="1" applyFill="1" applyBorder="1" applyAlignment="1">
      <alignment horizontal="left" vertical="top" wrapText="1"/>
    </xf>
    <xf numFmtId="0" fontId="14" fillId="0" borderId="0" xfId="0" applyFont="1"/>
    <xf numFmtId="0" fontId="11" fillId="0" borderId="0" xfId="0" quotePrefix="1" applyFont="1" applyAlignment="1">
      <alignment horizontal="left" vertical="top" wrapText="1"/>
    </xf>
    <xf numFmtId="0" fontId="11" fillId="9" borderId="2" xfId="0" applyFont="1" applyFill="1" applyBorder="1" applyAlignment="1">
      <alignment horizontal="left" vertical="top" wrapText="1"/>
    </xf>
    <xf numFmtId="0" fontId="11" fillId="4" borderId="2" xfId="0" applyFont="1" applyFill="1" applyBorder="1" applyAlignment="1">
      <alignment horizontal="left" vertical="top" wrapText="1"/>
    </xf>
    <xf numFmtId="0" fontId="11" fillId="10" borderId="2" xfId="0" applyFont="1" applyFill="1" applyBorder="1" applyAlignment="1">
      <alignment horizontal="left" vertical="top" wrapText="1"/>
    </xf>
    <xf numFmtId="0" fontId="11" fillId="13" borderId="2" xfId="0" applyFont="1" applyFill="1" applyBorder="1" applyAlignment="1">
      <alignment horizontal="left" vertical="top" wrapText="1"/>
    </xf>
    <xf numFmtId="0" fontId="11" fillId="14" borderId="2" xfId="0" applyFont="1" applyFill="1" applyBorder="1" applyAlignment="1">
      <alignment horizontal="left" vertical="top" wrapText="1"/>
    </xf>
    <xf numFmtId="0" fontId="11" fillId="6" borderId="2" xfId="0" applyFont="1" applyFill="1" applyBorder="1" applyAlignment="1">
      <alignment horizontal="left" vertical="top" wrapText="1"/>
    </xf>
    <xf numFmtId="0" fontId="11" fillId="5" borderId="2" xfId="0" applyFont="1" applyFill="1" applyBorder="1" applyAlignment="1">
      <alignment horizontal="left" vertical="top" wrapText="1"/>
    </xf>
    <xf numFmtId="0" fontId="12" fillId="13" borderId="2" xfId="0" applyFont="1" applyFill="1" applyBorder="1" applyAlignment="1">
      <alignment horizontal="left" vertical="top" wrapText="1"/>
    </xf>
    <xf numFmtId="0" fontId="12" fillId="14" borderId="2" xfId="0" applyFont="1" applyFill="1" applyBorder="1" applyAlignment="1">
      <alignment horizontal="left" vertical="top" wrapText="1"/>
    </xf>
    <xf numFmtId="49" fontId="1" fillId="17" borderId="0" xfId="0" applyNumberFormat="1" applyFont="1" applyFill="1"/>
    <xf numFmtId="0" fontId="11" fillId="0" borderId="0" xfId="0" applyFont="1" applyBorder="1" applyAlignment="1">
      <alignment horizontal="left" vertical="top" wrapText="1"/>
    </xf>
    <xf numFmtId="0" fontId="11" fillId="0" borderId="0" xfId="0" applyFont="1" applyBorder="1" applyAlignment="1">
      <alignment horizontal="center" vertical="top" wrapText="1"/>
    </xf>
    <xf numFmtId="0" fontId="11" fillId="0" borderId="0" xfId="0" applyNumberFormat="1" applyFont="1" applyBorder="1" applyAlignment="1">
      <alignment horizontal="left" vertical="top" wrapText="1"/>
    </xf>
    <xf numFmtId="0" fontId="11" fillId="0" borderId="10" xfId="0" applyFont="1" applyBorder="1" applyAlignment="1">
      <alignment horizontal="left" vertical="top" wrapText="1"/>
    </xf>
    <xf numFmtId="0" fontId="11" fillId="0" borderId="11" xfId="0" applyFont="1" applyBorder="1" applyAlignment="1">
      <alignment horizontal="center" vertical="top" wrapText="1"/>
    </xf>
    <xf numFmtId="0" fontId="11" fillId="17" borderId="0" xfId="0" applyNumberFormat="1" applyFont="1" applyFill="1" applyAlignment="1">
      <alignment horizontal="left" vertical="top" wrapText="1"/>
    </xf>
    <xf numFmtId="0" fontId="11" fillId="8" borderId="2" xfId="0" quotePrefix="1" applyFont="1" applyFill="1" applyBorder="1" applyAlignment="1">
      <alignment horizontal="left" vertical="top" wrapText="1"/>
    </xf>
    <xf numFmtId="0" fontId="1" fillId="0" borderId="0" xfId="0" applyFont="1" applyFill="1" applyAlignment="1">
      <alignment horizontal="left" vertical="top" wrapText="1"/>
    </xf>
    <xf numFmtId="0" fontId="15" fillId="0" borderId="0" xfId="0" applyNumberFormat="1" applyFont="1" applyAlignment="1">
      <alignment horizontal="left" vertical="top" wrapText="1"/>
    </xf>
    <xf numFmtId="0" fontId="14" fillId="0" borderId="0" xfId="0" applyFont="1" applyAlignment="1">
      <alignment horizontal="left" vertical="top" wrapText="1"/>
    </xf>
    <xf numFmtId="11" fontId="1" fillId="17" borderId="0" xfId="0" applyNumberFormat="1" applyFont="1" applyFill="1" applyAlignment="1">
      <alignment horizontal="left" vertical="top" wrapText="1"/>
    </xf>
    <xf numFmtId="0" fontId="7" fillId="3" borderId="5" xfId="0" applyFont="1" applyFill="1" applyBorder="1" applyAlignment="1">
      <alignment horizontal="center"/>
    </xf>
    <xf numFmtId="0" fontId="7" fillId="3" borderId="1" xfId="0" applyFont="1" applyFill="1" applyBorder="1" applyAlignment="1">
      <alignment horizontal="center"/>
    </xf>
    <xf numFmtId="0" fontId="1" fillId="0" borderId="0" xfId="0" applyFont="1" applyAlignment="1">
      <alignment horizontal="left" vertical="top" wrapText="1"/>
    </xf>
    <xf numFmtId="0" fontId="17" fillId="0" borderId="0" xfId="0" applyFont="1" applyAlignment="1">
      <alignment horizontal="left" vertical="top"/>
    </xf>
    <xf numFmtId="0" fontId="17" fillId="0" borderId="0" xfId="0" applyFont="1" applyAlignment="1">
      <alignment horizontal="left" vertical="top" wrapText="1"/>
    </xf>
    <xf numFmtId="0" fontId="17" fillId="0" borderId="0" xfId="0" applyNumberFormat="1" applyFont="1" applyAlignment="1">
      <alignment horizontal="left" vertical="top" wrapText="1"/>
    </xf>
    <xf numFmtId="0" fontId="17" fillId="9" borderId="2" xfId="0" applyNumberFormat="1" applyFont="1" applyFill="1" applyBorder="1" applyAlignment="1">
      <alignment horizontal="left" vertical="top" wrapText="1"/>
    </xf>
    <xf numFmtId="0" fontId="17" fillId="4" borderId="2" xfId="0" applyNumberFormat="1" applyFont="1" applyFill="1" applyBorder="1" applyAlignment="1">
      <alignment horizontal="left" vertical="top" wrapText="1"/>
    </xf>
    <xf numFmtId="0" fontId="17" fillId="10" borderId="2" xfId="0" applyNumberFormat="1" applyFont="1" applyFill="1" applyBorder="1" applyAlignment="1">
      <alignment horizontal="left" vertical="top" wrapText="1"/>
    </xf>
    <xf numFmtId="0" fontId="17" fillId="8" borderId="2" xfId="0" applyFont="1" applyFill="1" applyBorder="1" applyAlignment="1">
      <alignment horizontal="left" vertical="top" wrapText="1"/>
    </xf>
    <xf numFmtId="0" fontId="17" fillId="5" borderId="2" xfId="0" applyFont="1" applyFill="1" applyBorder="1" applyAlignment="1">
      <alignment horizontal="left" vertical="top" wrapText="1"/>
    </xf>
    <xf numFmtId="0" fontId="17" fillId="7" borderId="2" xfId="0" applyFont="1" applyFill="1" applyBorder="1" applyAlignment="1">
      <alignment horizontal="left" vertical="top" wrapText="1"/>
    </xf>
    <xf numFmtId="0" fontId="18" fillId="13" borderId="2" xfId="0" applyNumberFormat="1" applyFont="1" applyFill="1" applyBorder="1" applyAlignment="1">
      <alignment horizontal="left" vertical="top" wrapText="1"/>
    </xf>
    <xf numFmtId="0" fontId="18" fillId="14" borderId="2" xfId="0" applyNumberFormat="1" applyFont="1" applyFill="1" applyBorder="1" applyAlignment="1">
      <alignment horizontal="left" vertical="top" wrapText="1"/>
    </xf>
    <xf numFmtId="0" fontId="17" fillId="6" borderId="2" xfId="0" applyNumberFormat="1" applyFont="1" applyFill="1" applyBorder="1" applyAlignment="1">
      <alignment horizontal="left" vertical="top" wrapText="1"/>
    </xf>
    <xf numFmtId="0" fontId="17" fillId="5" borderId="2" xfId="0" applyNumberFormat="1" applyFont="1" applyFill="1" applyBorder="1" applyAlignment="1">
      <alignment horizontal="left" vertical="top" wrapText="1"/>
    </xf>
    <xf numFmtId="0" fontId="1" fillId="19" borderId="0" xfId="0" applyFont="1" applyFill="1"/>
    <xf numFmtId="49" fontId="1" fillId="19" borderId="0" xfId="0" applyNumberFormat="1" applyFont="1" applyFill="1"/>
    <xf numFmtId="11" fontId="17" fillId="0" borderId="0" xfId="0" applyNumberFormat="1" applyFont="1" applyFill="1" applyAlignment="1">
      <alignment horizontal="left" vertical="top" wrapText="1"/>
    </xf>
    <xf numFmtId="11" fontId="17" fillId="0" borderId="0" xfId="0" applyNumberFormat="1" applyFont="1" applyAlignment="1">
      <alignment horizontal="left" vertical="top"/>
    </xf>
    <xf numFmtId="0" fontId="17" fillId="0" borderId="0" xfId="0" applyNumberFormat="1" applyFont="1" applyFill="1" applyAlignment="1">
      <alignment horizontal="left" vertical="top" wrapText="1"/>
    </xf>
    <xf numFmtId="0" fontId="17" fillId="0" borderId="0" xfId="0" applyFont="1" applyFill="1" applyAlignment="1">
      <alignment horizontal="left" vertical="top" wrapText="1"/>
    </xf>
    <xf numFmtId="0" fontId="17" fillId="0" borderId="0" xfId="0" quotePrefix="1" applyFont="1" applyAlignment="1">
      <alignment horizontal="left" vertical="top" wrapText="1"/>
    </xf>
    <xf numFmtId="0" fontId="17" fillId="9" borderId="2" xfId="0" applyFont="1" applyFill="1" applyBorder="1" applyAlignment="1">
      <alignment horizontal="left" vertical="top" wrapText="1"/>
    </xf>
    <xf numFmtId="0" fontId="17" fillId="4" borderId="2" xfId="0" applyFont="1" applyFill="1" applyBorder="1" applyAlignment="1">
      <alignment horizontal="left" vertical="top" wrapText="1"/>
    </xf>
    <xf numFmtId="0" fontId="17" fillId="10" borderId="2" xfId="0" applyFont="1" applyFill="1" applyBorder="1" applyAlignment="1">
      <alignment horizontal="left" vertical="top" wrapText="1"/>
    </xf>
    <xf numFmtId="0" fontId="18" fillId="13" borderId="2" xfId="0" applyFont="1" applyFill="1" applyBorder="1" applyAlignment="1">
      <alignment horizontal="left" vertical="top" wrapText="1"/>
    </xf>
    <xf numFmtId="0" fontId="18" fillId="14" borderId="2" xfId="0" applyFont="1" applyFill="1" applyBorder="1" applyAlignment="1">
      <alignment horizontal="left" vertical="top" wrapText="1"/>
    </xf>
    <xf numFmtId="0" fontId="17" fillId="6" borderId="2" xfId="0" applyFont="1" applyFill="1" applyBorder="1" applyAlignment="1">
      <alignment horizontal="left" vertical="top" wrapText="1"/>
    </xf>
    <xf numFmtId="0" fontId="1" fillId="0" borderId="0" xfId="0" applyFont="1" applyAlignment="1"/>
    <xf numFmtId="0" fontId="1" fillId="0" borderId="0" xfId="0" applyNumberFormat="1" applyFont="1" applyFill="1" applyAlignment="1">
      <alignment horizontal="left" wrapText="1"/>
    </xf>
    <xf numFmtId="0" fontId="1" fillId="0" borderId="0" xfId="0" applyNumberFormat="1" applyFont="1" applyAlignment="1">
      <alignment horizontal="left"/>
    </xf>
    <xf numFmtId="0" fontId="1" fillId="0" borderId="0" xfId="0" applyFont="1" applyAlignment="1">
      <alignment wrapText="1"/>
    </xf>
    <xf numFmtId="11" fontId="17" fillId="0" borderId="0" xfId="0" applyNumberFormat="1" applyFont="1" applyAlignment="1">
      <alignment horizontal="left" vertical="top" wrapText="1"/>
    </xf>
    <xf numFmtId="0" fontId="1" fillId="16" borderId="0" xfId="0" applyFont="1" applyFill="1"/>
    <xf numFmtId="49" fontId="1" fillId="16" borderId="0" xfId="0" applyNumberFormat="1" applyFont="1" applyFill="1"/>
    <xf numFmtId="0" fontId="7" fillId="3" borderId="3" xfId="0" applyFont="1" applyFill="1" applyBorder="1" applyAlignment="1">
      <alignment horizontal="center"/>
    </xf>
    <xf numFmtId="0" fontId="7" fillId="3" borderId="4" xfId="0" applyFont="1" applyFill="1" applyBorder="1" applyAlignment="1">
      <alignment horizontal="center"/>
    </xf>
    <xf numFmtId="0" fontId="7" fillId="3" borderId="5" xfId="0" applyFont="1" applyFill="1" applyBorder="1" applyAlignment="1">
      <alignment horizontal="center"/>
    </xf>
    <xf numFmtId="0" fontId="7" fillId="3" borderId="1" xfId="0" applyFont="1" applyFill="1" applyBorder="1" applyAlignment="1">
      <alignment horizontal="center"/>
    </xf>
    <xf numFmtId="0" fontId="1" fillId="17" borderId="0" xfId="0" applyFont="1" applyFill="1" applyAlignment="1">
      <alignment horizontal="left" vertical="top"/>
    </xf>
  </cellXfs>
  <cellStyles count="1">
    <cellStyle name="Normal" xfId="0" builtinId="0"/>
  </cellStyles>
  <dxfs count="2411">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FFFFCC"/>
      <color rgb="FFAD0303"/>
      <color rgb="FFFEC26A"/>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A31"/>
  <sheetViews>
    <sheetView showGridLines="0" showZeros="0" tabSelected="1" zoomScaleNormal="100" workbookViewId="0">
      <pane xSplit="5" ySplit="2" topLeftCell="F15" activePane="bottomRight" state="frozen"/>
      <selection activeCell="B1" sqref="B1"/>
      <selection pane="topRight" activeCell="F1" sqref="F1"/>
      <selection pane="bottomLeft" activeCell="B3" sqref="B3"/>
      <selection pane="bottomRight" activeCell="A31" sqref="A31"/>
    </sheetView>
  </sheetViews>
  <sheetFormatPr defaultColWidth="9.140625" defaultRowHeight="12" outlineLevelCol="1"/>
  <cols>
    <col min="1" max="1" width="38" style="4" customWidth="1" outlineLevel="1"/>
    <col min="2" max="2" width="44.5703125" style="4" bestFit="1" customWidth="1"/>
    <col min="3" max="3" width="9.140625" style="6" customWidth="1" outlineLevel="1"/>
    <col min="4" max="4" width="9.42578125" style="4" customWidth="1" outlineLevel="1"/>
    <col min="5" max="5" width="10.42578125" style="4" customWidth="1" outlineLevel="1"/>
    <col min="6" max="6" width="3.85546875" style="4" customWidth="1"/>
    <col min="7" max="7" width="10.85546875" style="4" bestFit="1" customWidth="1"/>
    <col min="8" max="8" width="9.7109375" style="4" bestFit="1" customWidth="1"/>
    <col min="9" max="9" width="12.28515625" style="4" bestFit="1" customWidth="1"/>
    <col min="10" max="12" width="8.5703125" style="4" customWidth="1"/>
    <col min="13" max="13" width="2.42578125" style="4" customWidth="1"/>
    <col min="14" max="15" width="8.5703125" style="4" customWidth="1"/>
    <col min="16" max="16" width="9.28515625" style="4" bestFit="1" customWidth="1"/>
    <col min="17" max="18" width="8.5703125" style="4" customWidth="1"/>
    <col min="19" max="19" width="6.85546875" style="4" bestFit="1" customWidth="1"/>
    <col min="20" max="20" width="8.5703125" style="4" customWidth="1"/>
    <col min="21" max="21" width="2.5703125" style="4" customWidth="1"/>
    <col min="22" max="27" width="8.5703125" style="4" customWidth="1"/>
    <col min="28" max="16384" width="9.140625" style="4"/>
  </cols>
  <sheetData>
    <row r="1" spans="1:27" s="9" customFormat="1" ht="42.75" customHeight="1">
      <c r="A1" s="9" t="s">
        <v>49</v>
      </c>
      <c r="B1" s="9" t="s">
        <v>2</v>
      </c>
      <c r="C1" s="10" t="s">
        <v>54</v>
      </c>
      <c r="D1" s="9" t="s">
        <v>51</v>
      </c>
      <c r="E1" s="9" t="s">
        <v>145</v>
      </c>
      <c r="G1" s="186" t="s">
        <v>175</v>
      </c>
      <c r="H1" s="187"/>
      <c r="I1" s="187"/>
      <c r="J1" s="188"/>
      <c r="K1" s="150"/>
      <c r="L1" s="150"/>
      <c r="M1" s="151"/>
      <c r="N1" s="189" t="s">
        <v>4</v>
      </c>
      <c r="O1" s="189"/>
      <c r="P1" s="189"/>
      <c r="Q1" s="189"/>
      <c r="R1" s="189"/>
      <c r="S1" s="189"/>
      <c r="T1" s="189"/>
      <c r="U1" s="11"/>
      <c r="V1" s="189" t="s">
        <v>225</v>
      </c>
      <c r="W1" s="189"/>
      <c r="X1" s="189"/>
      <c r="Y1" s="189"/>
      <c r="Z1" s="189"/>
      <c r="AA1" s="189"/>
    </row>
    <row r="2" spans="1:27" ht="18.75">
      <c r="A2" s="18" t="s">
        <v>180</v>
      </c>
      <c r="B2" s="2" t="s">
        <v>181</v>
      </c>
      <c r="C2" s="3" t="s">
        <v>182</v>
      </c>
      <c r="D2" s="8"/>
      <c r="G2" s="7" t="s">
        <v>176</v>
      </c>
      <c r="H2" s="7" t="s">
        <v>177</v>
      </c>
      <c r="I2" s="7" t="s">
        <v>178</v>
      </c>
      <c r="J2" s="7" t="s">
        <v>619</v>
      </c>
      <c r="K2" s="7" t="s">
        <v>621</v>
      </c>
      <c r="L2" s="7" t="s">
        <v>618</v>
      </c>
      <c r="M2" s="7"/>
      <c r="N2" s="7" t="s">
        <v>203</v>
      </c>
      <c r="O2" s="7" t="s">
        <v>257</v>
      </c>
      <c r="P2" s="7" t="s">
        <v>27</v>
      </c>
      <c r="Q2" s="7" t="s">
        <v>312</v>
      </c>
      <c r="R2" s="7" t="s">
        <v>29</v>
      </c>
      <c r="S2" s="7" t="s">
        <v>31</v>
      </c>
      <c r="T2" s="7" t="s">
        <v>28</v>
      </c>
      <c r="U2" s="7"/>
      <c r="V2" s="7" t="s">
        <v>198</v>
      </c>
      <c r="W2" s="7" t="s">
        <v>199</v>
      </c>
      <c r="X2" s="7" t="s">
        <v>201</v>
      </c>
      <c r="Y2" s="7" t="s">
        <v>200</v>
      </c>
      <c r="Z2" s="7" t="s">
        <v>202</v>
      </c>
      <c r="AA2" s="7" t="s">
        <v>26</v>
      </c>
    </row>
    <row r="3" spans="1:27" s="14" customFormat="1">
      <c r="A3" s="19" t="s">
        <v>183</v>
      </c>
      <c r="B3" s="19" t="s">
        <v>50</v>
      </c>
      <c r="C3" s="20" t="s">
        <v>174</v>
      </c>
      <c r="D3" s="19"/>
      <c r="E3" s="19" t="s">
        <v>146</v>
      </c>
      <c r="G3" s="13">
        <f>SUMIF('Card Data'!$A:$A,$A3,'Card Data'!$E:$E)</f>
        <v>238</v>
      </c>
      <c r="H3" s="13">
        <f>SUMIFS('Card Data'!$E:$E,'Card Data'!$A:$A,$A3,'Card Data'!$K:$K,"&lt;&gt;",'Card Data'!$J:$J,"&lt;&gt;Investigator")-SUMIFS('Card Data'!$E:$E,'Card Data'!$A:$A,$A3,'Card Data'!$K:$K,"&lt;&gt;",'Card Data'!$J:$J,"Mini")</f>
        <v>116</v>
      </c>
      <c r="I3" s="13">
        <f>SUMIFS('Card Data'!$E:$E,'Card Data'!$A:$A,$A3,'Card Data'!$K:$K,"",'Card Data'!$J:$J,"&lt;&gt;Campaign")+SUMIFS('Card Data'!$E:$E,'Card Data'!$A:$A,$A3,'Card Data'!$K:$K,"Mythos")-J3</f>
        <v>104</v>
      </c>
      <c r="J3" s="13">
        <f>SUMIFS('Card Data'!$E:$E,'Card Data'!$J:$J,J$2,'Card Data'!$A:$A,$A3,'Card Data'!$AD:$AD,"&lt;&gt;*Side Quest.*")</f>
        <v>8</v>
      </c>
      <c r="K3" s="13">
        <f>COUNTIFS('Card Data'!$J:$J,K$2,'Card Data'!$A:$A,$A3,'Card Data'!$AD:$AD,"&lt;&gt;*Side Quest.*")</f>
        <v>7</v>
      </c>
      <c r="L3" s="13">
        <f>COUNTIFS('Card Data'!$J:$J,L$2,'Card Data'!$A:$A,$A3,'Card Data'!$AD:$AD,"&lt;&gt;*Side Quest.*")</f>
        <v>3</v>
      </c>
      <c r="M3" s="15"/>
      <c r="N3" s="13">
        <f>COUNTIFS('Card Data'!$J:$J,N$2,'Card Data'!$A:$A,$A3)</f>
        <v>5</v>
      </c>
      <c r="O3" s="13">
        <f>COUNTIFS('Card Data'!$J:$J,O$2,'Card Data'!$A:$A,$A3)</f>
        <v>51</v>
      </c>
      <c r="P3" s="13">
        <f>COUNTIFS('Card Data'!$J:$J,P$2,'Card Data'!$A:$A,$A3)</f>
        <v>27</v>
      </c>
      <c r="Q3" s="13">
        <f>COUNTIFS('Card Data'!$J:$J,Q$2,'Card Data'!$A:$A,$A3)</f>
        <v>10</v>
      </c>
      <c r="R3" s="13">
        <f>COUNTIFS('Card Data'!$J:$J,R$2,'Card Data'!$A:$A,$A3)</f>
        <v>24</v>
      </c>
      <c r="S3" s="13">
        <f>COUNTIFS('Card Data'!$J:$J,S$2,'Card Data'!$A:$A,$A3)</f>
        <v>24</v>
      </c>
      <c r="T3" s="13">
        <f>COUNTIFS('Card Data'!$J:$J,T$2,'Card Data'!$A:$A,$A3)</f>
        <v>24</v>
      </c>
      <c r="U3" s="15"/>
      <c r="V3" s="13">
        <f>COUNTIFS('Card Data'!$K:$K,V$2,'Card Data'!$A:$A,$A3)</f>
        <v>16</v>
      </c>
      <c r="W3" s="13">
        <f>COUNTIFS('Card Data'!$K:$K,W$2,'Card Data'!$A:$A,$A3)</f>
        <v>16</v>
      </c>
      <c r="X3" s="13">
        <f>COUNTIFS('Card Data'!$K:$K,X$2,'Card Data'!$A:$A,$A3)</f>
        <v>16</v>
      </c>
      <c r="Y3" s="13">
        <f>COUNTIFS('Card Data'!$K:$K,Y$2,'Card Data'!$A:$A,$A3)</f>
        <v>16</v>
      </c>
      <c r="Z3" s="13">
        <f>COUNTIFS('Card Data'!$K:$K,Z$2,'Card Data'!$A:$A,$A3)</f>
        <v>16</v>
      </c>
      <c r="AA3" s="13">
        <f>COUNTIFS('Card Data'!$K:$K,AA$2,'Card Data'!$A:$A,$A3)</f>
        <v>28</v>
      </c>
    </row>
    <row r="4" spans="1:27">
      <c r="A4" s="35" t="s">
        <v>933</v>
      </c>
      <c r="B4" s="35" t="s">
        <v>934</v>
      </c>
      <c r="C4" s="36" t="s">
        <v>174</v>
      </c>
      <c r="D4" s="35"/>
      <c r="E4" s="35" t="s">
        <v>932</v>
      </c>
      <c r="F4" s="8"/>
      <c r="G4" s="13">
        <f>SUMIF('Card Data'!$A:$A,$A4,'Card Data'!$E:$E)</f>
        <v>61</v>
      </c>
      <c r="H4" s="13">
        <f>SUMIFS('Card Data'!$E:$E,'Card Data'!$A:$A,$A4,'Card Data'!$K:$K,"&lt;&gt;",'Card Data'!$J:$J,"&lt;&gt;Investigator")-SUMIFS('Card Data'!$E:$E,'Card Data'!$A:$A,$A4,'Card Data'!$K:$K,"&lt;&gt;",'Card Data'!$J:$J,"Mini")</f>
        <v>0</v>
      </c>
      <c r="I4" s="13">
        <f>SUMIFS('Card Data'!$E:$E,'Card Data'!$A:$A,$A4,'Card Data'!$K:$K,"",'Card Data'!$J:$J,"&lt;&gt;Campaign")+SUMIFS('Card Data'!$E:$E,'Card Data'!$A:$A,$A4,'Card Data'!$K:$K,"Mythos")-J4</f>
        <v>54</v>
      </c>
      <c r="J4" s="13">
        <f>SUMIFS('Card Data'!$E:$E,'Card Data'!$J:$J,J$2,'Card Data'!$A:$A,$A4,'Card Data'!$AD:$AD,"&lt;&gt;*Side Quest.*")</f>
        <v>3</v>
      </c>
      <c r="K4" s="13">
        <f>COUNTIFS('Card Data'!$J:$J,K$2,'Card Data'!$A:$A,$A4,'Card Data'!$AD:$AD,"&lt;&gt;*Side Quest.*")</f>
        <v>2</v>
      </c>
      <c r="L4" s="13">
        <f>COUNTIFS('Card Data'!$J:$J,L$2,'Card Data'!$A:$A,$A4,'Card Data'!$AD:$AD,"&lt;&gt;*Side Quest.*")</f>
        <v>1</v>
      </c>
      <c r="M4" s="15"/>
      <c r="N4" s="13">
        <f>COUNTIFS('Card Data'!$J:$J,N$2,'Card Data'!$A:$A,$A4)</f>
        <v>0</v>
      </c>
      <c r="O4" s="13">
        <f>COUNTIFS('Card Data'!$J:$J,O$2,'Card Data'!$A:$A,$A4)</f>
        <v>4</v>
      </c>
      <c r="P4" s="13">
        <f>COUNTIFS('Card Data'!$J:$J,P$2,'Card Data'!$A:$A,$A4)</f>
        <v>0</v>
      </c>
      <c r="Q4" s="13">
        <f>COUNTIFS('Card Data'!$J:$J,Q$2,'Card Data'!$A:$A,$A4)</f>
        <v>0</v>
      </c>
      <c r="R4" s="13">
        <f>COUNTIFS('Card Data'!$J:$J,R$2,'Card Data'!$A:$A,$A4)</f>
        <v>6</v>
      </c>
      <c r="S4" s="13">
        <f>COUNTIFS('Card Data'!$J:$J,S$2,'Card Data'!$A:$A,$A4)</f>
        <v>12</v>
      </c>
      <c r="T4" s="13">
        <f>COUNTIFS('Card Data'!$J:$J,T$2,'Card Data'!$A:$A,$A4)</f>
        <v>8</v>
      </c>
      <c r="U4" s="15"/>
      <c r="V4" s="13">
        <f>COUNTIFS('Card Data'!$K:$K,V$2,'Card Data'!$A:$A,$A4)</f>
        <v>0</v>
      </c>
      <c r="W4" s="13">
        <f>COUNTIFS('Card Data'!$K:$K,W$2,'Card Data'!$A:$A,$A4)</f>
        <v>0</v>
      </c>
      <c r="X4" s="13">
        <f>COUNTIFS('Card Data'!$K:$K,X$2,'Card Data'!$A:$A,$A4)</f>
        <v>0</v>
      </c>
      <c r="Y4" s="13">
        <f>COUNTIFS('Card Data'!$K:$K,Y$2,'Card Data'!$A:$A,$A4)</f>
        <v>0</v>
      </c>
      <c r="Z4" s="13">
        <f>COUNTIFS('Card Data'!$K:$K,Z$2,'Card Data'!$A:$A,$A4)</f>
        <v>0</v>
      </c>
      <c r="AA4" s="13">
        <f>COUNTIFS('Card Data'!$K:$K,AA$2,'Card Data'!$A:$A,$A4)</f>
        <v>0</v>
      </c>
    </row>
    <row r="5" spans="1:27" s="5" customFormat="1">
      <c r="A5" s="37" t="s">
        <v>1125</v>
      </c>
      <c r="B5" s="37" t="s">
        <v>1126</v>
      </c>
      <c r="C5" s="38" t="s">
        <v>174</v>
      </c>
      <c r="D5" s="37"/>
      <c r="E5" s="37" t="s">
        <v>1126</v>
      </c>
      <c r="G5" s="13">
        <f>SUMIF('Card Data'!$A:$A,$A5,'Card Data'!$E:$E)</f>
        <v>4</v>
      </c>
      <c r="H5" s="13">
        <f>SUMIFS('Card Data'!$E:$E,'Card Data'!$A:$A,$A5,'Card Data'!$K:$K,"&lt;&gt;",'Card Data'!$J:$J,"&lt;&gt;Investigator")-SUMIFS('Card Data'!$E:$E,'Card Data'!$A:$A,$A5,'Card Data'!$K:$K,"&lt;&gt;",'Card Data'!$J:$J,"Mini")</f>
        <v>2</v>
      </c>
      <c r="I5" s="13">
        <f>SUMIFS('Card Data'!$E:$E,'Card Data'!$A:$A,$A5,'Card Data'!$K:$K,"",'Card Data'!$J:$J,"&lt;&gt;Campaign")+SUMIFS('Card Data'!$E:$E,'Card Data'!$A:$A,$A5,'Card Data'!$K:$K,"Mythos")-J5</f>
        <v>0</v>
      </c>
      <c r="J5" s="13">
        <f>SUMIFS('Card Data'!$E:$E,'Card Data'!$J:$J,J$2,'Card Data'!$A:$A,$A5,'Card Data'!$AD:$AD,"&lt;&gt;*Side Quest.*")</f>
        <v>0</v>
      </c>
      <c r="K5" s="13">
        <f>COUNTIFS('Card Data'!$J:$J,K$2,'Card Data'!$A:$A,$A5,'Card Data'!$AD:$AD,"&lt;&gt;*Side Quest.*")</f>
        <v>0</v>
      </c>
      <c r="L5" s="13">
        <f>COUNTIFS('Card Data'!$J:$J,L$2,'Card Data'!$A:$A,$A5,'Card Data'!$AD:$AD,"&lt;&gt;*Side Quest.*")</f>
        <v>0</v>
      </c>
      <c r="M5" s="15"/>
      <c r="N5" s="13">
        <f>COUNTIFS('Card Data'!$J:$J,N$2,'Card Data'!$A:$A,$A5)</f>
        <v>1</v>
      </c>
      <c r="O5" s="13">
        <f>COUNTIFS('Card Data'!$J:$J,O$2,'Card Data'!$A:$A,$A5)</f>
        <v>1</v>
      </c>
      <c r="P5" s="13">
        <f>COUNTIFS('Card Data'!$J:$J,P$2,'Card Data'!$A:$A,$A5)</f>
        <v>1</v>
      </c>
      <c r="Q5" s="13">
        <f>COUNTIFS('Card Data'!$J:$J,Q$2,'Card Data'!$A:$A,$A5)</f>
        <v>0</v>
      </c>
      <c r="R5" s="13">
        <f>COUNTIFS('Card Data'!$J:$J,R$2,'Card Data'!$A:$A,$A5)</f>
        <v>0</v>
      </c>
      <c r="S5" s="13">
        <f>COUNTIFS('Card Data'!$J:$J,S$2,'Card Data'!$A:$A,$A5)</f>
        <v>0</v>
      </c>
      <c r="T5" s="13">
        <f>COUNTIFS('Card Data'!$J:$J,T$2,'Card Data'!$A:$A,$A5)</f>
        <v>0</v>
      </c>
      <c r="U5" s="15"/>
      <c r="V5" s="13">
        <f>COUNTIFS('Card Data'!$K:$K,V$2,'Card Data'!$A:$A,$A5)</f>
        <v>0</v>
      </c>
      <c r="W5" s="13">
        <f>COUNTIFS('Card Data'!$K:$K,W$2,'Card Data'!$A:$A,$A5)</f>
        <v>0</v>
      </c>
      <c r="X5" s="13">
        <f>COUNTIFS('Card Data'!$K:$K,X$2,'Card Data'!$A:$A,$A5)</f>
        <v>0</v>
      </c>
      <c r="Y5" s="13">
        <f>COUNTIFS('Card Data'!$K:$K,Y$2,'Card Data'!$A:$A,$A5)</f>
        <v>2</v>
      </c>
      <c r="Z5" s="13">
        <f>COUNTIFS('Card Data'!$K:$K,Z$2,'Card Data'!$A:$A,$A5)</f>
        <v>0</v>
      </c>
      <c r="AA5" s="13">
        <f>COUNTIFS('Card Data'!$K:$K,AA$2,'Card Data'!$A:$A,$A5)</f>
        <v>2</v>
      </c>
    </row>
    <row r="6" spans="1:27" s="5" customFormat="1">
      <c r="A6" s="37" t="s">
        <v>1199</v>
      </c>
      <c r="B6" s="37" t="s">
        <v>1131</v>
      </c>
      <c r="C6" s="38" t="s">
        <v>174</v>
      </c>
      <c r="D6" s="37"/>
      <c r="E6" s="37" t="s">
        <v>1200</v>
      </c>
      <c r="G6" s="13">
        <f>SUMIF('Card Data'!$A:$A,$A6,'Card Data'!$E:$E)</f>
        <v>63</v>
      </c>
      <c r="H6" s="13">
        <f>SUMIFS('Card Data'!$E:$E,'Card Data'!$A:$A,$A6,'Card Data'!$K:$K,"&lt;&gt;",'Card Data'!$J:$J,"&lt;&gt;Investigator")-SUMIFS('Card Data'!$E:$E,'Card Data'!$A:$A,$A6,'Card Data'!$K:$K,"&lt;&gt;",'Card Data'!$J:$J,"Mini")</f>
        <v>8</v>
      </c>
      <c r="I6" s="13">
        <f>SUMIFS('Card Data'!$E:$E,'Card Data'!$A:$A,$A6,'Card Data'!$K:$K,"",'Card Data'!$J:$J,"&lt;&gt;Campaign")+SUMIFS('Card Data'!$E:$E,'Card Data'!$A:$A,$A6,'Card Data'!$K:$K,"Mythos")-J6</f>
        <v>46</v>
      </c>
      <c r="J6" s="13">
        <f>SUMIFS('Card Data'!$E:$E,'Card Data'!$J:$J,J$2,'Card Data'!$A:$A,$A6,'Card Data'!$AD:$AD,"&lt;&gt;*Side Quest.*")</f>
        <v>3</v>
      </c>
      <c r="K6" s="13">
        <f>COUNTIFS('Card Data'!$J:$J,K$2,'Card Data'!$A:$A,$A6,'Card Data'!$AD:$AD,"&lt;&gt;*Side Quest.*")</f>
        <v>3</v>
      </c>
      <c r="L6" s="13">
        <f>COUNTIFS('Card Data'!$J:$J,L$2,'Card Data'!$A:$A,$A6,'Card Data'!$AD:$AD,"&lt;&gt;*Side Quest.*")</f>
        <v>1</v>
      </c>
      <c r="M6" s="15"/>
      <c r="N6" s="13">
        <f>COUNTIFS('Card Data'!$J:$J,N$2,'Card Data'!$A:$A,$A6)</f>
        <v>0</v>
      </c>
      <c r="O6" s="13">
        <f>COUNTIFS('Card Data'!$J:$J,O$2,'Card Data'!$A:$A,$A6)</f>
        <v>6</v>
      </c>
      <c r="P6" s="13">
        <f>COUNTIFS('Card Data'!$J:$J,P$2,'Card Data'!$A:$A,$A6)</f>
        <v>0</v>
      </c>
      <c r="Q6" s="13">
        <f>COUNTIFS('Card Data'!$J:$J,Q$2,'Card Data'!$A:$A,$A6)</f>
        <v>0</v>
      </c>
      <c r="R6" s="13">
        <f>COUNTIFS('Card Data'!$J:$J,R$2,'Card Data'!$A:$A,$A6)</f>
        <v>9</v>
      </c>
      <c r="S6" s="13">
        <f>COUNTIFS('Card Data'!$J:$J,S$2,'Card Data'!$A:$A,$A6)</f>
        <v>10</v>
      </c>
      <c r="T6" s="13">
        <f>COUNTIFS('Card Data'!$J:$J,T$2,'Card Data'!$A:$A,$A6)</f>
        <v>7</v>
      </c>
      <c r="U6" s="15"/>
      <c r="V6" s="13">
        <f>COUNTIFS('Card Data'!$K:$K,V$2,'Card Data'!$A:$A,$A6)</f>
        <v>0</v>
      </c>
      <c r="W6" s="13">
        <f>COUNTIFS('Card Data'!$K:$K,W$2,'Card Data'!$A:$A,$A6)</f>
        <v>0</v>
      </c>
      <c r="X6" s="13">
        <f>COUNTIFS('Card Data'!$K:$K,X$2,'Card Data'!$A:$A,$A6)</f>
        <v>0</v>
      </c>
      <c r="Y6" s="13">
        <f>COUNTIFS('Card Data'!$K:$K,Y$2,'Card Data'!$A:$A,$A6)</f>
        <v>0</v>
      </c>
      <c r="Z6" s="13">
        <f>COUNTIFS('Card Data'!$K:$K,Z$2,'Card Data'!$A:$A,$A6)</f>
        <v>0</v>
      </c>
      <c r="AA6" s="13">
        <f>COUNTIFS('Card Data'!$K:$K,AA$2,'Card Data'!$A:$A,$A6)</f>
        <v>6</v>
      </c>
    </row>
    <row r="7" spans="1:27">
      <c r="A7" s="39" t="s">
        <v>1303</v>
      </c>
      <c r="B7" s="39" t="s">
        <v>1304</v>
      </c>
      <c r="C7" s="34" t="s">
        <v>174</v>
      </c>
      <c r="D7" s="39"/>
      <c r="E7" s="39" t="s">
        <v>1305</v>
      </c>
      <c r="G7" s="13">
        <f>SUMIF('Card Data'!$A:$A,$A7,'Card Data'!$E:$E)</f>
        <v>161</v>
      </c>
      <c r="H7" s="13">
        <f>SUMIFS('Card Data'!$E:$E,'Card Data'!$A:$A,$A7,'Card Data'!$K:$K,"&lt;&gt;",'Card Data'!$J:$J,"&lt;&gt;Investigator")-SUMIFS('Card Data'!$E:$E,'Card Data'!$A:$A,$A7,'Card Data'!$K:$K,"&lt;&gt;",'Card Data'!$J:$J,"Mini")</f>
        <v>64</v>
      </c>
      <c r="I7" s="13">
        <f>SUMIFS('Card Data'!$E:$E,'Card Data'!$A:$A,$A7,'Card Data'!$K:$K,"",'Card Data'!$J:$J,"&lt;&gt;Campaign")+SUMIFS('Card Data'!$E:$E,'Card Data'!$A:$A,$A7,'Card Data'!$K:$K,"Mythos")-J7</f>
        <v>81</v>
      </c>
      <c r="J7" s="13">
        <f>SUMIFS('Card Data'!$E:$E,'Card Data'!$J:$J,J$2,'Card Data'!$A:$A,$A7,'Card Data'!$AD:$AD,"&lt;&gt;*Side Quest.*")</f>
        <v>6</v>
      </c>
      <c r="K7" s="13">
        <f>COUNTIFS('Card Data'!$J:$J,K$2,'Card Data'!$A:$A,$A7,'Card Data'!$AD:$AD,"&lt;&gt;*Side Quest.*")</f>
        <v>7</v>
      </c>
      <c r="L7" s="13">
        <f>COUNTIFS('Card Data'!$J:$J,L$2,'Card Data'!$A:$A,$A7,'Card Data'!$AD:$AD,"&lt;&gt;*Side Quest.*")</f>
        <v>2</v>
      </c>
      <c r="M7" s="15"/>
      <c r="N7" s="13">
        <f>COUNTIFS('Card Data'!$J:$J,N$2,'Card Data'!$A:$A,$A7)</f>
        <v>5</v>
      </c>
      <c r="O7" s="13">
        <f>COUNTIFS('Card Data'!$J:$J,O$2,'Card Data'!$A:$A,$A7)</f>
        <v>22</v>
      </c>
      <c r="P7" s="13">
        <f>COUNTIFS('Card Data'!$J:$J,P$2,'Card Data'!$A:$A,$A7)</f>
        <v>9</v>
      </c>
      <c r="Q7" s="13">
        <f>COUNTIFS('Card Data'!$J:$J,Q$2,'Card Data'!$A:$A,$A7)</f>
        <v>1</v>
      </c>
      <c r="R7" s="13">
        <f>COUNTIFS('Card Data'!$J:$J,R$2,'Card Data'!$A:$A,$A7)</f>
        <v>11</v>
      </c>
      <c r="S7" s="13">
        <f>COUNTIFS('Card Data'!$J:$J,S$2,'Card Data'!$A:$A,$A7)</f>
        <v>18</v>
      </c>
      <c r="T7" s="13">
        <f>COUNTIFS('Card Data'!$J:$J,T$2,'Card Data'!$A:$A,$A7)</f>
        <v>23</v>
      </c>
      <c r="U7" s="15"/>
      <c r="V7" s="13">
        <f>COUNTIFS('Card Data'!$K:$K,V$2,'Card Data'!$A:$A,$A7)</f>
        <v>6</v>
      </c>
      <c r="W7" s="13">
        <f>COUNTIFS('Card Data'!$K:$K,W$2,'Card Data'!$A:$A,$A7)</f>
        <v>6</v>
      </c>
      <c r="X7" s="13">
        <f>COUNTIFS('Card Data'!$K:$K,X$2,'Card Data'!$A:$A,$A7)</f>
        <v>6</v>
      </c>
      <c r="Y7" s="13">
        <f>COUNTIFS('Card Data'!$K:$K,Y$2,'Card Data'!$A:$A,$A7)</f>
        <v>6</v>
      </c>
      <c r="Z7" s="13">
        <f>COUNTIFS('Card Data'!$K:$K,Z$2,'Card Data'!$A:$A,$A7)</f>
        <v>6</v>
      </c>
      <c r="AA7" s="13">
        <f>COUNTIFS('Card Data'!$K:$K,AA$2,'Card Data'!$A:$A,$A7)</f>
        <v>20</v>
      </c>
    </row>
    <row r="8" spans="1:27">
      <c r="A8" s="4" t="s">
        <v>1714</v>
      </c>
      <c r="B8" s="4" t="s">
        <v>1715</v>
      </c>
      <c r="C8" s="6" t="s">
        <v>174</v>
      </c>
      <c r="E8" s="4" t="s">
        <v>1716</v>
      </c>
      <c r="G8" s="13">
        <f>SUMIF('Card Data'!$A:$A,$A8,'Card Data'!$E:$E)</f>
        <v>60</v>
      </c>
      <c r="H8" s="13">
        <f>SUMIFS('Card Data'!$E:$E,'Card Data'!$A:$A,$A8,'Card Data'!$K:$K,"&lt;&gt;",'Card Data'!$J:$J,"&lt;&gt;Investigator")-SUMIFS('Card Data'!$E:$E,'Card Data'!$A:$A,$A8,'Card Data'!$K:$K,"&lt;&gt;",'Card Data'!$J:$J,"Mini")</f>
        <v>29</v>
      </c>
      <c r="I8" s="13">
        <f>SUMIFS('Card Data'!$E:$E,'Card Data'!$A:$A,$A8,'Card Data'!$K:$K,"",'Card Data'!$J:$J,"&lt;&gt;Campaign")+SUMIFS('Card Data'!$E:$E,'Card Data'!$A:$A,$A8,'Card Data'!$K:$K,"Mythos")-J8</f>
        <v>28</v>
      </c>
      <c r="J8" s="13">
        <f>SUMIFS('Card Data'!$E:$E,'Card Data'!$J:$J,J$2,'Card Data'!$A:$A,$A8,'Card Data'!$AD:$AD,"&lt;&gt;*Side Quest.*")</f>
        <v>3</v>
      </c>
      <c r="K8" s="13">
        <f>COUNTIFS('Card Data'!$J:$J,K$2,'Card Data'!$A:$A,$A8,'Card Data'!$AD:$AD,"&lt;&gt;*Side Quest.*")</f>
        <v>4</v>
      </c>
      <c r="L8" s="13">
        <f>COUNTIFS('Card Data'!$J:$J,L$2,'Card Data'!$A:$A,$A8,'Card Data'!$AD:$AD,"&lt;&gt;*Side Quest.*")</f>
        <v>1</v>
      </c>
      <c r="M8" s="15"/>
      <c r="N8" s="13">
        <f>COUNTIFS('Card Data'!$J:$J,N$2,'Card Data'!$A:$A,$A8)</f>
        <v>0</v>
      </c>
      <c r="O8" s="13">
        <f>COUNTIFS('Card Data'!$J:$J,O$2,'Card Data'!$A:$A,$A8)</f>
        <v>10</v>
      </c>
      <c r="P8" s="13">
        <f>COUNTIFS('Card Data'!$J:$J,P$2,'Card Data'!$A:$A,$A8)</f>
        <v>6</v>
      </c>
      <c r="Q8" s="13">
        <f>COUNTIFS('Card Data'!$J:$J,Q$2,'Card Data'!$A:$A,$A8)</f>
        <v>0</v>
      </c>
      <c r="R8" s="13">
        <f>COUNTIFS('Card Data'!$J:$J,R$2,'Card Data'!$A:$A,$A8)</f>
        <v>1</v>
      </c>
      <c r="S8" s="13">
        <f>COUNTIFS('Card Data'!$J:$J,S$2,'Card Data'!$A:$A,$A8)</f>
        <v>12</v>
      </c>
      <c r="T8" s="13">
        <f>COUNTIFS('Card Data'!$J:$J,T$2,'Card Data'!$A:$A,$A8)</f>
        <v>5</v>
      </c>
      <c r="U8" s="15"/>
      <c r="V8" s="13">
        <f>COUNTIFS('Card Data'!$K:$K,V$2,'Card Data'!$A:$A,$A8)</f>
        <v>2</v>
      </c>
      <c r="W8" s="13">
        <f>COUNTIFS('Card Data'!$K:$K,W$2,'Card Data'!$A:$A,$A8)</f>
        <v>2</v>
      </c>
      <c r="X8" s="13">
        <f>COUNTIFS('Card Data'!$K:$K,X$2,'Card Data'!$A:$A,$A8)</f>
        <v>2</v>
      </c>
      <c r="Y8" s="13">
        <f>COUNTIFS('Card Data'!$K:$K,Y$2,'Card Data'!$A:$A,$A8)</f>
        <v>2</v>
      </c>
      <c r="Z8" s="13">
        <f>COUNTIFS('Card Data'!$K:$K,Z$2,'Card Data'!$A:$A,$A8)</f>
        <v>3</v>
      </c>
      <c r="AA8" s="13">
        <f>COUNTIFS('Card Data'!$K:$K,AA$2,'Card Data'!$A:$A,$A8)</f>
        <v>5</v>
      </c>
    </row>
    <row r="9" spans="1:27">
      <c r="A9" s="4" t="s">
        <v>1717</v>
      </c>
      <c r="B9" s="4" t="s">
        <v>1718</v>
      </c>
      <c r="C9" s="6" t="s">
        <v>174</v>
      </c>
      <c r="E9" s="4" t="s">
        <v>1719</v>
      </c>
      <c r="G9" s="13">
        <f>SUMIF('Card Data'!$A:$A,$A9,'Card Data'!$E:$E)</f>
        <v>60</v>
      </c>
      <c r="H9" s="13">
        <f>SUMIFS('Card Data'!$E:$E,'Card Data'!$A:$A,$A9,'Card Data'!$K:$K,"&lt;&gt;",'Card Data'!$J:$J,"&lt;&gt;Investigator")-SUMIFS('Card Data'!$E:$E,'Card Data'!$A:$A,$A9,'Card Data'!$K:$K,"&lt;&gt;",'Card Data'!$J:$J,"Mini")</f>
        <v>31</v>
      </c>
      <c r="I9" s="13">
        <f>SUMIFS('Card Data'!$E:$E,'Card Data'!$A:$A,$A9,'Card Data'!$K:$K,"",'Card Data'!$J:$J,"&lt;&gt;Campaign")+SUMIFS('Card Data'!$E:$E,'Card Data'!$A:$A,$A9,'Card Data'!$K:$K,"Mythos")-J9</f>
        <v>24</v>
      </c>
      <c r="J9" s="13">
        <f>SUMIFS('Card Data'!$E:$E,'Card Data'!$J:$J,J$2,'Card Data'!$A:$A,$A9,'Card Data'!$AD:$AD,"&lt;&gt;*Side Quest.*")</f>
        <v>5</v>
      </c>
      <c r="K9" s="13">
        <f>COUNTIFS('Card Data'!$J:$J,K$2,'Card Data'!$A:$A,$A9,'Card Data'!$AD:$AD,"&lt;&gt;*Side Quest.*")</f>
        <v>2</v>
      </c>
      <c r="L9" s="13">
        <f>COUNTIFS('Card Data'!$J:$J,L$2,'Card Data'!$A:$A,$A9,'Card Data'!$AD:$AD,"&lt;&gt;*Side Quest.*")</f>
        <v>1</v>
      </c>
      <c r="M9" s="15"/>
      <c r="N9" s="13">
        <f>COUNTIFS('Card Data'!$J:$J,N$2,'Card Data'!$A:$A,$A9)</f>
        <v>0</v>
      </c>
      <c r="O9" s="13">
        <f>COUNTIFS('Card Data'!$J:$J,O$2,'Card Data'!$A:$A,$A9)</f>
        <v>8</v>
      </c>
      <c r="P9" s="13">
        <f>COUNTIFS('Card Data'!$J:$J,P$2,'Card Data'!$A:$A,$A9)</f>
        <v>4</v>
      </c>
      <c r="Q9" s="13">
        <f>COUNTIFS('Card Data'!$J:$J,Q$2,'Card Data'!$A:$A,$A9)</f>
        <v>1</v>
      </c>
      <c r="R9" s="13">
        <f>COUNTIFS('Card Data'!$J:$J,R$2,'Card Data'!$A:$A,$A9)</f>
        <v>2</v>
      </c>
      <c r="S9" s="13">
        <f>COUNTIFS('Card Data'!$J:$J,S$2,'Card Data'!$A:$A,$A9)</f>
        <v>11</v>
      </c>
      <c r="T9" s="13">
        <f>COUNTIFS('Card Data'!$J:$J,T$2,'Card Data'!$A:$A,$A9)</f>
        <v>3</v>
      </c>
      <c r="U9" s="15"/>
      <c r="V9" s="13">
        <f>COUNTIFS('Card Data'!$K:$K,V$2,'Card Data'!$A:$A,$A9)</f>
        <v>2</v>
      </c>
      <c r="W9" s="13">
        <f>COUNTIFS('Card Data'!$K:$K,W$2,'Card Data'!$A:$A,$A9)</f>
        <v>2</v>
      </c>
      <c r="X9" s="13">
        <f>COUNTIFS('Card Data'!$K:$K,X$2,'Card Data'!$A:$A,$A9)</f>
        <v>2</v>
      </c>
      <c r="Y9" s="13">
        <f>COUNTIFS('Card Data'!$K:$K,Y$2,'Card Data'!$A:$A,$A9)</f>
        <v>2</v>
      </c>
      <c r="Z9" s="13">
        <f>COUNTIFS('Card Data'!$K:$K,Z$2,'Card Data'!$A:$A,$A9)</f>
        <v>2</v>
      </c>
      <c r="AA9" s="13">
        <f>COUNTIFS('Card Data'!$K:$K,AA$2,'Card Data'!$A:$A,$A9)</f>
        <v>4</v>
      </c>
    </row>
    <row r="10" spans="1:27">
      <c r="A10" s="4" t="s">
        <v>2045</v>
      </c>
      <c r="B10" s="4" t="s">
        <v>1983</v>
      </c>
      <c r="C10" s="6" t="s">
        <v>174</v>
      </c>
      <c r="E10" s="4" t="s">
        <v>2088</v>
      </c>
      <c r="G10" s="13">
        <f>SUMIF('Card Data'!$A:$A,$A10,'Card Data'!$E:$E)</f>
        <v>60</v>
      </c>
      <c r="H10" s="13">
        <f>SUMIFS('Card Data'!$E:$E,'Card Data'!$A:$A,$A10,'Card Data'!$K:$K,"&lt;&gt;",'Card Data'!$J:$J,"&lt;&gt;Investigator")-SUMIFS('Card Data'!$E:$E,'Card Data'!$A:$A,$A10,'Card Data'!$K:$K,"&lt;&gt;",'Card Data'!$J:$J,"Mini")</f>
        <v>22</v>
      </c>
      <c r="I10" s="13">
        <f>SUMIFS('Card Data'!$E:$E,'Card Data'!$A:$A,$A10,'Card Data'!$K:$K,"",'Card Data'!$J:$J,"&lt;&gt;Campaign")+SUMIFS('Card Data'!$E:$E,'Card Data'!$A:$A,$A10,'Card Data'!$K:$K,"Mythos")-J10</f>
        <v>35</v>
      </c>
      <c r="J10" s="13">
        <f>SUMIFS('Card Data'!$E:$E,'Card Data'!$J:$J,J$2,'Card Data'!$A:$A,$A10,'Card Data'!$AD:$AD,"&lt;&gt;*Side Quest.*")</f>
        <v>3</v>
      </c>
      <c r="K10" s="13">
        <f>COUNTIFS('Card Data'!$J:$J,K$2,'Card Data'!$A:$A,$A10,'Card Data'!$AD:$AD,"&lt;&gt;*Side Quest.*")</f>
        <v>2</v>
      </c>
      <c r="L10" s="13">
        <f>COUNTIFS('Card Data'!$J:$J,L$2,'Card Data'!$A:$A,$A10,'Card Data'!$AD:$AD,"&lt;&gt;*Side Quest.*")</f>
        <v>1</v>
      </c>
      <c r="M10" s="15"/>
      <c r="N10" s="13">
        <f>COUNTIFS('Card Data'!$J:$J,N$2,'Card Data'!$A:$A,$A10)</f>
        <v>0</v>
      </c>
      <c r="O10" s="13">
        <f>COUNTIFS('Card Data'!$J:$J,O$2,'Card Data'!$A:$A,$A10)</f>
        <v>10</v>
      </c>
      <c r="P10" s="13">
        <f>COUNTIFS('Card Data'!$J:$J,P$2,'Card Data'!$A:$A,$A10)</f>
        <v>3</v>
      </c>
      <c r="Q10" s="13">
        <f>COUNTIFS('Card Data'!$J:$J,Q$2,'Card Data'!$A:$A,$A10)</f>
        <v>2</v>
      </c>
      <c r="R10" s="13">
        <f>COUNTIFS('Card Data'!$J:$J,R$2,'Card Data'!$A:$A,$A10)</f>
        <v>2</v>
      </c>
      <c r="S10" s="13">
        <f>COUNTIFS('Card Data'!$J:$J,S$2,'Card Data'!$A:$A,$A10)</f>
        <v>14</v>
      </c>
      <c r="T10" s="13">
        <f>COUNTIFS('Card Data'!$J:$J,T$2,'Card Data'!$A:$A,$A10)</f>
        <v>4</v>
      </c>
      <c r="U10" s="15"/>
      <c r="V10" s="13">
        <f>COUNTIFS('Card Data'!$K:$K,V$2,'Card Data'!$A:$A,$A10)</f>
        <v>2</v>
      </c>
      <c r="W10" s="13">
        <f>COUNTIFS('Card Data'!$K:$K,W$2,'Card Data'!$A:$A,$A10)</f>
        <v>2</v>
      </c>
      <c r="X10" s="13">
        <f>COUNTIFS('Card Data'!$K:$K,X$2,'Card Data'!$A:$A,$A10)</f>
        <v>2</v>
      </c>
      <c r="Y10" s="13">
        <f>COUNTIFS('Card Data'!$K:$K,Y$2,'Card Data'!$A:$A,$A10)</f>
        <v>2</v>
      </c>
      <c r="Z10" s="13">
        <f>COUNTIFS('Card Data'!$K:$K,Z$2,'Card Data'!$A:$A,$A10)</f>
        <v>2</v>
      </c>
      <c r="AA10" s="13">
        <f>COUNTIFS('Card Data'!$K:$K,AA$2,'Card Data'!$A:$A,$A10)</f>
        <v>1</v>
      </c>
    </row>
    <row r="11" spans="1:27">
      <c r="A11" s="4" t="s">
        <v>2116</v>
      </c>
      <c r="B11" s="4" t="s">
        <v>2117</v>
      </c>
      <c r="C11" s="6" t="s">
        <v>174</v>
      </c>
      <c r="E11" s="4" t="s">
        <v>2118</v>
      </c>
      <c r="G11" s="13">
        <f>SUMIF('Card Data'!$A:$A,$A11,'Card Data'!$E:$E)</f>
        <v>57</v>
      </c>
      <c r="H11" s="13">
        <f>SUMIFS('Card Data'!$E:$E,'Card Data'!$A:$A,$A11,'Card Data'!$K:$K,"&lt;&gt;",'Card Data'!$J:$J,"&lt;&gt;Investigator")-SUMIFS('Card Data'!$E:$E,'Card Data'!$A:$A,$A11,'Card Data'!$K:$K,"&lt;&gt;",'Card Data'!$J:$J,"Mini")</f>
        <v>23</v>
      </c>
      <c r="I11" s="13">
        <f>SUMIFS('Card Data'!$E:$E,'Card Data'!$A:$A,$A11,'Card Data'!$K:$K,"",'Card Data'!$J:$J,"&lt;&gt;Campaign")+SUMIFS('Card Data'!$E:$E,'Card Data'!$A:$A,$A11,'Card Data'!$K:$K,"Mythos")-J11</f>
        <v>31</v>
      </c>
      <c r="J11" s="13">
        <f>SUMIFS('Card Data'!$E:$E,'Card Data'!$J:$J,J$2,'Card Data'!$A:$A,$A11,'Card Data'!$AD:$AD,"&lt;&gt;*Side Quest.*")</f>
        <v>3</v>
      </c>
      <c r="K11" s="13">
        <f>COUNTIFS('Card Data'!$J:$J,K$2,'Card Data'!$A:$A,$A11,'Card Data'!$AD:$AD,"&lt;&gt;*Side Quest.*")</f>
        <v>2</v>
      </c>
      <c r="L11" s="13">
        <f>COUNTIFS('Card Data'!$J:$J,L$2,'Card Data'!$A:$A,$A11,'Card Data'!$AD:$AD,"&lt;&gt;*Side Quest.*")</f>
        <v>1</v>
      </c>
      <c r="M11" s="15"/>
      <c r="N11" s="13">
        <f>COUNTIFS('Card Data'!$J:$J,N$2,'Card Data'!$A:$A,$A11)</f>
        <v>0</v>
      </c>
      <c r="O11" s="13">
        <f>COUNTIFS('Card Data'!$J:$J,O$2,'Card Data'!$A:$A,$A11)</f>
        <v>6</v>
      </c>
      <c r="P11" s="13">
        <f>COUNTIFS('Card Data'!$J:$J,P$2,'Card Data'!$A:$A,$A11)</f>
        <v>2</v>
      </c>
      <c r="Q11" s="13">
        <f>COUNTIFS('Card Data'!$J:$J,Q$2,'Card Data'!$A:$A,$A11)</f>
        <v>4</v>
      </c>
      <c r="R11" s="13">
        <f>COUNTIFS('Card Data'!$J:$J,R$2,'Card Data'!$A:$A,$A11)</f>
        <v>1</v>
      </c>
      <c r="S11" s="13">
        <f>COUNTIFS('Card Data'!$J:$J,S$2,'Card Data'!$A:$A,$A11)</f>
        <v>12</v>
      </c>
      <c r="T11" s="13">
        <f>COUNTIFS('Card Data'!$J:$J,T$2,'Card Data'!$A:$A,$A11)</f>
        <v>4</v>
      </c>
      <c r="U11" s="15"/>
      <c r="V11" s="13">
        <f>COUNTIFS('Card Data'!$K:$K,V$2,'Card Data'!$A:$A,$A11)</f>
        <v>2</v>
      </c>
      <c r="W11" s="13">
        <f>COUNTIFS('Card Data'!$K:$K,W$2,'Card Data'!$A:$A,$A11)</f>
        <v>2</v>
      </c>
      <c r="X11" s="13">
        <f>COUNTIFS('Card Data'!$K:$K,X$2,'Card Data'!$A:$A,$A11)</f>
        <v>3</v>
      </c>
      <c r="Y11" s="13">
        <f>COUNTIFS('Card Data'!$K:$K,Y$2,'Card Data'!$A:$A,$A11)</f>
        <v>2</v>
      </c>
      <c r="Z11" s="13">
        <f>COUNTIFS('Card Data'!$K:$K,Z$2,'Card Data'!$A:$A,$A11)</f>
        <v>2</v>
      </c>
      <c r="AA11" s="13">
        <f>COUNTIFS('Card Data'!$K:$K,AA$2,'Card Data'!$A:$A,$A11)</f>
        <v>1</v>
      </c>
    </row>
    <row r="12" spans="1:27">
      <c r="A12" s="4" t="s">
        <v>2231</v>
      </c>
      <c r="B12" s="4" t="s">
        <v>2232</v>
      </c>
      <c r="C12" s="6" t="s">
        <v>174</v>
      </c>
      <c r="E12" s="4" t="s">
        <v>2233</v>
      </c>
      <c r="G12" s="13">
        <f>SUMIF('Card Data'!$A:$A,$A12,'Card Data'!$E:$E)</f>
        <v>60</v>
      </c>
      <c r="H12" s="13">
        <f>SUMIFS('Card Data'!$E:$E,'Card Data'!$A:$A,$A12,'Card Data'!$K:$K,"&lt;&gt;",'Card Data'!$J:$J,"&lt;&gt;Investigator")-SUMIFS('Card Data'!$E:$E,'Card Data'!$A:$A,$A12,'Card Data'!$K:$K,"&lt;&gt;",'Card Data'!$J:$J,"Mini")</f>
        <v>28</v>
      </c>
      <c r="I12" s="13">
        <f>SUMIFS('Card Data'!$E:$E,'Card Data'!$A:$A,$A12,'Card Data'!$K:$K,"",'Card Data'!$J:$J,"&lt;&gt;Campaign")+SUMIFS('Card Data'!$E:$E,'Card Data'!$A:$A,$A12,'Card Data'!$K:$K,"Mythos")-J12</f>
        <v>30</v>
      </c>
      <c r="J12" s="13">
        <f>SUMIFS('Card Data'!$E:$E,'Card Data'!$J:$J,J$2,'Card Data'!$A:$A,$A12,'Card Data'!$AD:$AD,"&lt;&gt;*Side Quest.*")</f>
        <v>2</v>
      </c>
      <c r="K12" s="13">
        <f>COUNTIFS('Card Data'!$J:$J,K$2,'Card Data'!$A:$A,$A12,'Card Data'!$AD:$AD,"&lt;&gt;*Side Quest.*")</f>
        <v>5</v>
      </c>
      <c r="L12" s="13">
        <f>COUNTIFS('Card Data'!$J:$J,L$2,'Card Data'!$A:$A,$A12,'Card Data'!$AD:$AD,"&lt;&gt;*Side Quest.*")</f>
        <v>1</v>
      </c>
      <c r="M12" s="15"/>
      <c r="N12" s="13">
        <f>COUNTIFS('Card Data'!$J:$J,N$2,'Card Data'!$A:$A,$A12)</f>
        <v>0</v>
      </c>
      <c r="O12" s="13">
        <f>COUNTIFS('Card Data'!$J:$J,O$2,'Card Data'!$A:$A,$A12)</f>
        <v>6</v>
      </c>
      <c r="P12" s="13">
        <f>COUNTIFS('Card Data'!$J:$J,P$2,'Card Data'!$A:$A,$A12)</f>
        <v>5</v>
      </c>
      <c r="Q12" s="13">
        <f>COUNTIFS('Card Data'!$J:$J,Q$2,'Card Data'!$A:$A,$A12)</f>
        <v>3</v>
      </c>
      <c r="R12" s="13">
        <f>COUNTIFS('Card Data'!$J:$J,R$2,'Card Data'!$A:$A,$A12)</f>
        <v>3</v>
      </c>
      <c r="S12" s="13">
        <f>COUNTIFS('Card Data'!$J:$J,S$2,'Card Data'!$A:$A,$A12)</f>
        <v>11</v>
      </c>
      <c r="T12" s="13">
        <f>COUNTIFS('Card Data'!$J:$J,T$2,'Card Data'!$A:$A,$A12)</f>
        <v>3</v>
      </c>
      <c r="U12" s="15"/>
      <c r="V12" s="13">
        <f>COUNTIFS('Card Data'!$K:$K,V$2,'Card Data'!$A:$A,$A12)</f>
        <v>2</v>
      </c>
      <c r="W12" s="13">
        <f>COUNTIFS('Card Data'!$K:$K,W$2,'Card Data'!$A:$A,$A12)</f>
        <v>3</v>
      </c>
      <c r="X12" s="13">
        <f>COUNTIFS('Card Data'!$K:$K,X$2,'Card Data'!$A:$A,$A12)</f>
        <v>2</v>
      </c>
      <c r="Y12" s="13">
        <f>COUNTIFS('Card Data'!$K:$K,Y$2,'Card Data'!$A:$A,$A12)</f>
        <v>3</v>
      </c>
      <c r="Z12" s="13">
        <f>COUNTIFS('Card Data'!$K:$K,Z$2,'Card Data'!$A:$A,$A12)</f>
        <v>2</v>
      </c>
      <c r="AA12" s="13">
        <f>COUNTIFS('Card Data'!$K:$K,AA$2,'Card Data'!$A:$A,$A12)</f>
        <v>2</v>
      </c>
    </row>
    <row r="13" spans="1:27">
      <c r="A13" s="4" t="s">
        <v>2384</v>
      </c>
      <c r="B13" s="4" t="s">
        <v>2424</v>
      </c>
      <c r="C13" s="6" t="s">
        <v>174</v>
      </c>
      <c r="E13" s="4" t="s">
        <v>2511</v>
      </c>
      <c r="G13" s="13">
        <f>SUMIF('Card Data'!$A:$A,$A13,'Card Data'!$E:$E)</f>
        <v>60</v>
      </c>
      <c r="H13" s="13">
        <f>SUMIFS('Card Data'!$E:$E,'Card Data'!$A:$A,$A13,'Card Data'!$K:$K,"&lt;&gt;",'Card Data'!$J:$J,"&lt;&gt;Investigator")-SUMIFS('Card Data'!$E:$E,'Card Data'!$A:$A,$A13,'Card Data'!$K:$K,"&lt;&gt;",'Card Data'!$J:$J,"Mini")</f>
        <v>24</v>
      </c>
      <c r="I13" s="13">
        <f>SUMIFS('Card Data'!$E:$E,'Card Data'!$A:$A,$A13,'Card Data'!$K:$K,"",'Card Data'!$J:$J,"&lt;&gt;Campaign")+SUMIFS('Card Data'!$E:$E,'Card Data'!$A:$A,$A13,'Card Data'!$K:$K,"Mythos")-J13</f>
        <v>32</v>
      </c>
      <c r="J13" s="13">
        <f>SUMIFS('Card Data'!$E:$E,'Card Data'!$J:$J,J$2,'Card Data'!$A:$A,$A13,'Card Data'!$AD:$AD,"&lt;&gt;*Side Quest.*")</f>
        <v>4</v>
      </c>
      <c r="K13" s="13">
        <f>COUNTIFS('Card Data'!$J:$J,K$2,'Card Data'!$A:$A,$A13,'Card Data'!$AD:$AD,"&lt;&gt;*Side Quest.*")</f>
        <v>4</v>
      </c>
      <c r="L13" s="13">
        <f>COUNTIFS('Card Data'!$J:$J,L$2,'Card Data'!$A:$A,$A13,'Card Data'!$AD:$AD,"&lt;&gt;*Side Quest.*")</f>
        <v>1</v>
      </c>
      <c r="M13" s="15"/>
      <c r="N13" s="13">
        <f>COUNTIFS('Card Data'!$J:$J,N$2,'Card Data'!$A:$A,$A13)</f>
        <v>0</v>
      </c>
      <c r="O13" s="13">
        <f>COUNTIFS('Card Data'!$J:$J,O$2,'Card Data'!$A:$A,$A13)</f>
        <v>8</v>
      </c>
      <c r="P13" s="13">
        <f>COUNTIFS('Card Data'!$J:$J,P$2,'Card Data'!$A:$A,$A13)</f>
        <v>3</v>
      </c>
      <c r="Q13" s="13">
        <f>COUNTIFS('Card Data'!$J:$J,Q$2,'Card Data'!$A:$A,$A13)</f>
        <v>1</v>
      </c>
      <c r="R13" s="13">
        <f>COUNTIFS('Card Data'!$J:$J,R$2,'Card Data'!$A:$A,$A13)</f>
        <v>3</v>
      </c>
      <c r="S13" s="13">
        <f>COUNTIFS('Card Data'!$J:$J,S$2,'Card Data'!$A:$A,$A13)</f>
        <v>8</v>
      </c>
      <c r="T13" s="13">
        <f>COUNTIFS('Card Data'!$J:$J,T$2,'Card Data'!$A:$A,$A13)</f>
        <v>3</v>
      </c>
      <c r="U13" s="15"/>
      <c r="V13" s="13">
        <f>COUNTIFS('Card Data'!$K:$K,V$2,'Card Data'!$A:$A,$A13)</f>
        <v>3</v>
      </c>
      <c r="W13" s="13">
        <f>COUNTIFS('Card Data'!$K:$K,W$2,'Card Data'!$A:$A,$A13)</f>
        <v>2</v>
      </c>
      <c r="X13" s="13">
        <f>COUNTIFS('Card Data'!$K:$K,X$2,'Card Data'!$A:$A,$A13)</f>
        <v>2</v>
      </c>
      <c r="Y13" s="13">
        <f>COUNTIFS('Card Data'!$K:$K,Y$2,'Card Data'!$A:$A,$A13)</f>
        <v>2</v>
      </c>
      <c r="Z13" s="13">
        <f>COUNTIFS('Card Data'!$K:$K,Z$2,'Card Data'!$A:$A,$A13)</f>
        <v>2</v>
      </c>
      <c r="AA13" s="13">
        <f>COUNTIFS('Card Data'!$K:$K,AA$2,'Card Data'!$A:$A,$A13)</f>
        <v>1</v>
      </c>
    </row>
    <row r="14" spans="1:27">
      <c r="A14" s="39" t="s">
        <v>2937</v>
      </c>
      <c r="B14" s="39" t="s">
        <v>2938</v>
      </c>
      <c r="C14" s="138" t="s">
        <v>174</v>
      </c>
      <c r="D14" s="39"/>
      <c r="E14" s="39" t="s">
        <v>2939</v>
      </c>
      <c r="G14" s="13">
        <f>SUMIF('Card Data'!$A:$A,$A14,'Card Data'!$E:$E)</f>
        <v>162</v>
      </c>
      <c r="H14" s="13">
        <f>SUMIFS('Card Data'!$E:$E,'Card Data'!$A:$A,$A14,'Card Data'!$K:$K,"&lt;&gt;",'Card Data'!$J:$J,"&lt;&gt;Investigator")-SUMIFS('Card Data'!$E:$E,'Card Data'!$A:$A,$A14,'Card Data'!$K:$K,"&lt;&gt;",'Card Data'!$J:$J,"Mini")</f>
        <v>66</v>
      </c>
      <c r="I14" s="13">
        <f>SUMIFS('Card Data'!$E:$E,'Card Data'!$A:$A,$A14,'Card Data'!$K:$K,"",'Card Data'!$J:$J,"&lt;&gt;Campaign")+SUMIFS('Card Data'!$E:$E,'Card Data'!$A:$A,$A14,'Card Data'!$K:$K,"Mythos")-J14</f>
        <v>80</v>
      </c>
      <c r="J14" s="13">
        <f>SUMIFS('Card Data'!$E:$E,'Card Data'!$J:$J,J$2,'Card Data'!$A:$A,$A14,'Card Data'!$AD:$AD,"&lt;&gt;*Side Quest.*")</f>
        <v>4</v>
      </c>
      <c r="K14" s="13">
        <f>COUNTIFS('Card Data'!$J:$J,K$2,'Card Data'!$A:$A,$A14,'Card Data'!$AD:$AD,"&lt;&gt;*Side Quest.*")</f>
        <v>6</v>
      </c>
      <c r="L14" s="13">
        <f>COUNTIFS('Card Data'!$J:$J,L$2,'Card Data'!$A:$A,$A14,'Card Data'!$AD:$AD,"&lt;&gt;*Side Quest.*")</f>
        <v>2</v>
      </c>
      <c r="M14" s="15"/>
      <c r="N14" s="13">
        <f>COUNTIFS('Card Data'!$J:$J,N$2,'Card Data'!$A:$A,$A14)</f>
        <v>6</v>
      </c>
      <c r="O14" s="13">
        <f>COUNTIFS('Card Data'!$J:$J,O$2,'Card Data'!$A:$A,$A14)</f>
        <v>20</v>
      </c>
      <c r="P14" s="13">
        <f>COUNTIFS('Card Data'!$J:$J,P$2,'Card Data'!$A:$A,$A14)</f>
        <v>11</v>
      </c>
      <c r="Q14" s="13">
        <f>COUNTIFS('Card Data'!$J:$J,Q$2,'Card Data'!$A:$A,$A14)</f>
        <v>2</v>
      </c>
      <c r="R14" s="13">
        <f>COUNTIFS('Card Data'!$J:$J,R$2,'Card Data'!$A:$A,$A14)</f>
        <v>14</v>
      </c>
      <c r="S14" s="13">
        <f>COUNTIFS('Card Data'!$J:$J,S$2,'Card Data'!$A:$A,$A14)</f>
        <v>16</v>
      </c>
      <c r="T14" s="13">
        <f>COUNTIFS('Card Data'!$J:$J,T$2,'Card Data'!$A:$A,$A14)</f>
        <v>24</v>
      </c>
      <c r="U14" s="15"/>
      <c r="V14" s="13">
        <f>COUNTIFS('Card Data'!$K:$K,V$2,'Card Data'!$A:$A,$A14)</f>
        <v>6</v>
      </c>
      <c r="W14" s="13">
        <f>COUNTIFS('Card Data'!$K:$K,W$2,'Card Data'!$A:$A,$A14)</f>
        <v>6</v>
      </c>
      <c r="X14" s="13">
        <f>COUNTIFS('Card Data'!$K:$K,X$2,'Card Data'!$A:$A,$A14)</f>
        <v>6</v>
      </c>
      <c r="Y14" s="13">
        <f>COUNTIFS('Card Data'!$K:$K,Y$2,'Card Data'!$A:$A,$A14)</f>
        <v>6</v>
      </c>
      <c r="Z14" s="13">
        <f>COUNTIFS('Card Data'!$K:$K,Z$2,'Card Data'!$A:$A,$A14)</f>
        <v>6</v>
      </c>
      <c r="AA14" s="13">
        <f>COUNTIFS('Card Data'!$K:$K,AA$2,'Card Data'!$A:$A,$A14)</f>
        <v>23</v>
      </c>
    </row>
    <row r="15" spans="1:27">
      <c r="A15" s="4" t="s">
        <v>2940</v>
      </c>
      <c r="B15" s="4" t="s">
        <v>2941</v>
      </c>
      <c r="C15" s="6" t="s">
        <v>174</v>
      </c>
      <c r="E15" s="4" t="s">
        <v>2942</v>
      </c>
      <c r="G15" s="13">
        <f>SUMIF('Card Data'!$A:$A,$A15,'Card Data'!$E:$E)</f>
        <v>60</v>
      </c>
      <c r="H15" s="13">
        <f>SUMIFS('Card Data'!$E:$E,'Card Data'!$A:$A,$A15,'Card Data'!$K:$K,"&lt;&gt;",'Card Data'!$J:$J,"&lt;&gt;Investigator")-SUMIFS('Card Data'!$E:$E,'Card Data'!$A:$A,$A15,'Card Data'!$K:$K,"&lt;&gt;",'Card Data'!$J:$J,"Mini")</f>
        <v>31</v>
      </c>
      <c r="I15" s="13">
        <f>SUMIFS('Card Data'!$E:$E,'Card Data'!$A:$A,$A15,'Card Data'!$K:$K,"",'Card Data'!$J:$J,"&lt;&gt;Campaign")+SUMIFS('Card Data'!$E:$E,'Card Data'!$A:$A,$A15,'Card Data'!$K:$K,"Mythos")-J15</f>
        <v>26</v>
      </c>
      <c r="J15" s="13">
        <f>SUMIFS('Card Data'!$E:$E,'Card Data'!$J:$J,J$2,'Card Data'!$A:$A,$A15,'Card Data'!$AD:$AD,"&lt;&gt;*Side Quest.*")</f>
        <v>3</v>
      </c>
      <c r="K15" s="13">
        <f>COUNTIFS('Card Data'!$J:$J,K$2,'Card Data'!$A:$A,$A15,'Card Data'!$AD:$AD,"&lt;&gt;*Side Quest.*")</f>
        <v>3</v>
      </c>
      <c r="L15" s="13">
        <f>COUNTIFS('Card Data'!$J:$J,L$2,'Card Data'!$A:$A,$A15,'Card Data'!$AD:$AD,"&lt;&gt;*Side Quest.*")</f>
        <v>1</v>
      </c>
      <c r="M15" s="15"/>
      <c r="N15" s="13">
        <f>COUNTIFS('Card Data'!$J:$J,N$2,'Card Data'!$A:$A,$A15)</f>
        <v>0</v>
      </c>
      <c r="O15" s="13">
        <f>COUNTIFS('Card Data'!$J:$J,O$2,'Card Data'!$A:$A,$A15)</f>
        <v>11</v>
      </c>
      <c r="P15" s="13">
        <f>COUNTIFS('Card Data'!$J:$J,P$2,'Card Data'!$A:$A,$A15)</f>
        <v>2</v>
      </c>
      <c r="Q15" s="13">
        <f>COUNTIFS('Card Data'!$J:$J,Q$2,'Card Data'!$A:$A,$A15)</f>
        <v>4</v>
      </c>
      <c r="R15" s="13">
        <f>COUNTIFS('Card Data'!$J:$J,R$2,'Card Data'!$A:$A,$A15)</f>
        <v>2</v>
      </c>
      <c r="S15" s="13">
        <f>COUNTIFS('Card Data'!$J:$J,S$2,'Card Data'!$A:$A,$A15)</f>
        <v>13</v>
      </c>
      <c r="T15" s="13">
        <f>COUNTIFS('Card Data'!$J:$J,T$2,'Card Data'!$A:$A,$A15)</f>
        <v>2</v>
      </c>
      <c r="U15" s="15"/>
      <c r="V15" s="13">
        <f>COUNTIFS('Card Data'!$K:$K,V$2,'Card Data'!$A:$A,$A15)</f>
        <v>2</v>
      </c>
      <c r="W15" s="13">
        <f>COUNTIFS('Card Data'!$K:$K,W$2,'Card Data'!$A:$A,$A15)</f>
        <v>2</v>
      </c>
      <c r="X15" s="13">
        <f>COUNTIFS('Card Data'!$K:$K,X$2,'Card Data'!$A:$A,$A15)</f>
        <v>2</v>
      </c>
      <c r="Y15" s="13">
        <f>COUNTIFS('Card Data'!$K:$K,Y$2,'Card Data'!$A:$A,$A15)</f>
        <v>2</v>
      </c>
      <c r="Z15" s="13">
        <f>COUNTIFS('Card Data'!$K:$K,Z$2,'Card Data'!$A:$A,$A15)</f>
        <v>2</v>
      </c>
      <c r="AA15" s="13">
        <f>COUNTIFS('Card Data'!$K:$K,AA$2,'Card Data'!$A:$A,$A15)</f>
        <v>7</v>
      </c>
    </row>
    <row r="16" spans="1:27">
      <c r="A16" s="4" t="s">
        <v>3197</v>
      </c>
      <c r="B16" s="4" t="s">
        <v>3115</v>
      </c>
      <c r="C16" s="6" t="s">
        <v>174</v>
      </c>
      <c r="E16" s="4" t="s">
        <v>3240</v>
      </c>
      <c r="G16" s="13">
        <f>SUMIF('Card Data'!$A:$A,$A16,'Card Data'!$E:$E)</f>
        <v>60</v>
      </c>
      <c r="H16" s="13">
        <f>SUMIFS('Card Data'!$E:$E,'Card Data'!$A:$A,$A16,'Card Data'!$K:$K,"&lt;&gt;",'Card Data'!$J:$J,"&lt;&gt;Investigator")-SUMIFS('Card Data'!$E:$E,'Card Data'!$A:$A,$A16,'Card Data'!$K:$K,"&lt;&gt;",'Card Data'!$J:$J,"Mini")</f>
        <v>24</v>
      </c>
      <c r="I16" s="13">
        <f>SUMIFS('Card Data'!$E:$E,'Card Data'!$A:$A,$A16,'Card Data'!$K:$K,"",'Card Data'!$J:$J,"&lt;&gt;Campaign")+SUMIFS('Card Data'!$E:$E,'Card Data'!$A:$A,$A16,'Card Data'!$K:$K,"Mythos")-J16</f>
        <v>33</v>
      </c>
      <c r="J16" s="13">
        <f>SUMIFS('Card Data'!$E:$E,'Card Data'!$J:$J,J$2,'Card Data'!$A:$A,$A16,'Card Data'!$AD:$AD,"&lt;&gt;*Side Quest.*")</f>
        <v>3</v>
      </c>
      <c r="K16" s="13">
        <f>COUNTIFS('Card Data'!$J:$J,K$2,'Card Data'!$A:$A,$A16,'Card Data'!$AD:$AD,"&lt;&gt;*Side Quest.*")</f>
        <v>5</v>
      </c>
      <c r="L16" s="13">
        <f>COUNTIFS('Card Data'!$J:$J,L$2,'Card Data'!$A:$A,$A16,'Card Data'!$AD:$AD,"&lt;&gt;*Side Quest.*")</f>
        <v>1</v>
      </c>
      <c r="M16" s="15"/>
      <c r="N16" s="13">
        <f>COUNTIFS('Card Data'!$J:$J,N$2,'Card Data'!$A:$A,$A16)</f>
        <v>0</v>
      </c>
      <c r="O16" s="13">
        <f>COUNTIFS('Card Data'!$J:$J,O$2,'Card Data'!$A:$A,$A16)</f>
        <v>4</v>
      </c>
      <c r="P16" s="13">
        <f>COUNTIFS('Card Data'!$J:$J,P$2,'Card Data'!$A:$A,$A16)</f>
        <v>8</v>
      </c>
      <c r="Q16" s="13">
        <f>COUNTIFS('Card Data'!$J:$J,Q$2,'Card Data'!$A:$A,$A16)</f>
        <v>0</v>
      </c>
      <c r="R16" s="13">
        <f>COUNTIFS('Card Data'!$J:$J,R$2,'Card Data'!$A:$A,$A16)</f>
        <v>3</v>
      </c>
      <c r="S16" s="13">
        <f>COUNTIFS('Card Data'!$J:$J,S$2,'Card Data'!$A:$A,$A16)</f>
        <v>14</v>
      </c>
      <c r="T16" s="13">
        <f>COUNTIFS('Card Data'!$J:$J,T$2,'Card Data'!$A:$A,$A16)</f>
        <v>4</v>
      </c>
      <c r="U16" s="15"/>
      <c r="V16" s="13">
        <f>COUNTIFS('Card Data'!$K:$K,V$2,'Card Data'!$A:$A,$A16)</f>
        <v>2</v>
      </c>
      <c r="W16" s="13">
        <f>COUNTIFS('Card Data'!$K:$K,W$2,'Card Data'!$A:$A,$A16)</f>
        <v>2</v>
      </c>
      <c r="X16" s="13">
        <f>COUNTIFS('Card Data'!$K:$K,X$2,'Card Data'!$A:$A,$A16)</f>
        <v>2</v>
      </c>
      <c r="Y16" s="13">
        <f>COUNTIFS('Card Data'!$K:$K,Y$2,'Card Data'!$A:$A,$A16)</f>
        <v>2</v>
      </c>
      <c r="Z16" s="13">
        <f>COUNTIFS('Card Data'!$K:$K,Z$2,'Card Data'!$A:$A,$A16)</f>
        <v>3</v>
      </c>
      <c r="AA16" s="13">
        <f>COUNTIFS('Card Data'!$K:$K,AA$2,'Card Data'!$A:$A,$A16)</f>
        <v>1</v>
      </c>
    </row>
    <row r="17" spans="1:27">
      <c r="A17" s="4" t="s">
        <v>3336</v>
      </c>
      <c r="B17" s="4" t="s">
        <v>3263</v>
      </c>
      <c r="C17" s="6" t="s">
        <v>174</v>
      </c>
      <c r="E17" s="4" t="s">
        <v>3333</v>
      </c>
      <c r="G17" s="13">
        <f>SUMIF('Card Data'!$A:$A,$A17,'Card Data'!$E:$E)</f>
        <v>60</v>
      </c>
      <c r="H17" s="13">
        <f>SUMIFS('Card Data'!$E:$E,'Card Data'!$A:$A,$A17,'Card Data'!$K:$K,"&lt;&gt;",'Card Data'!$J:$J,"&lt;&gt;Investigator")-SUMIFS('Card Data'!$E:$E,'Card Data'!$A:$A,$A17,'Card Data'!$K:$K,"&lt;&gt;",'Card Data'!$J:$J,"Mini")</f>
        <v>60</v>
      </c>
      <c r="I17" s="13">
        <f>SUMIFS('Card Data'!$E:$E,'Card Data'!$A:$A,$A17,'Card Data'!$K:$K,"",'Card Data'!$J:$J,"&lt;&gt;Campaign")+SUMIFS('Card Data'!$E:$E,'Card Data'!$A:$A,$A17,'Card Data'!$K:$K,"Mythos")-J17</f>
        <v>31</v>
      </c>
      <c r="J17" s="13">
        <f>SUMIFS('Card Data'!$E:$E,'Card Data'!$J:$J,J$2,'Card Data'!$A:$A,$A17,'Card Data'!$AD:$AD,"&lt;&gt;*Side Quest.*")</f>
        <v>3</v>
      </c>
      <c r="K17" s="13">
        <f>COUNTIFS('Card Data'!$J:$J,K$2,'Card Data'!$A:$A,$A17,'Card Data'!$AD:$AD,"&lt;&gt;*Side Quest.*")</f>
        <v>4</v>
      </c>
      <c r="L17" s="13">
        <f>COUNTIFS('Card Data'!$J:$J,L$2,'Card Data'!$A:$A,$A17,'Card Data'!$AD:$AD,"&lt;&gt;*Side Quest.*")</f>
        <v>1</v>
      </c>
      <c r="M17" s="15"/>
      <c r="N17" s="13">
        <f>COUNTIFS('Card Data'!$J:$J,N$2,'Card Data'!$A:$A,$A17)</f>
        <v>0</v>
      </c>
      <c r="O17" s="13">
        <f>COUNTIFS('Card Data'!$J:$J,O$2,'Card Data'!$A:$A,$A17)</f>
        <v>5</v>
      </c>
      <c r="P17" s="13">
        <f>COUNTIFS('Card Data'!$J:$J,P$2,'Card Data'!$A:$A,$A17)</f>
        <v>6</v>
      </c>
      <c r="Q17" s="13">
        <f>COUNTIFS('Card Data'!$J:$J,Q$2,'Card Data'!$A:$A,$A17)</f>
        <v>0</v>
      </c>
      <c r="R17" s="13">
        <f>COUNTIFS('Card Data'!$J:$J,R$2,'Card Data'!$A:$A,$A17)</f>
        <v>2</v>
      </c>
      <c r="S17" s="13">
        <f>COUNTIFS('Card Data'!$J:$J,S$2,'Card Data'!$A:$A,$A17)</f>
        <v>13</v>
      </c>
      <c r="T17" s="13">
        <f>COUNTIFS('Card Data'!$J:$J,T$2,'Card Data'!$A:$A,$A17)</f>
        <v>5</v>
      </c>
      <c r="U17" s="15"/>
      <c r="V17" s="13">
        <f>COUNTIFS('Card Data'!$K:$K,V$2,'Card Data'!$A:$A,$A17)</f>
        <v>2</v>
      </c>
      <c r="W17" s="13">
        <f>COUNTIFS('Card Data'!$K:$K,W$2,'Card Data'!$A:$A,$A17)</f>
        <v>3</v>
      </c>
      <c r="X17" s="13">
        <f>COUNTIFS('Card Data'!$K:$K,X$2,'Card Data'!$A:$A,$A17)</f>
        <v>2</v>
      </c>
      <c r="Y17" s="13">
        <f>COUNTIFS('Card Data'!$K:$K,Y$2,'Card Data'!$A:$A,$A17)</f>
        <v>2</v>
      </c>
      <c r="Z17" s="13">
        <f>COUNTIFS('Card Data'!$K:$K,Z$2,'Card Data'!$A:$A,$A17)</f>
        <v>2</v>
      </c>
      <c r="AA17" s="13">
        <f>COUNTIFS('Card Data'!$K:$K,AA$2,'Card Data'!$A:$A,$A17)</f>
        <v>1</v>
      </c>
    </row>
    <row r="18" spans="1:27">
      <c r="A18" s="4" t="s">
        <v>3376</v>
      </c>
      <c r="B18" s="4" t="s">
        <v>3413</v>
      </c>
      <c r="C18" s="6" t="s">
        <v>174</v>
      </c>
      <c r="E18" s="4" t="s">
        <v>3495</v>
      </c>
      <c r="G18" s="13">
        <f>SUMIF('Card Data'!$A:$A,$A18,'Card Data'!$E:$E)</f>
        <v>60</v>
      </c>
      <c r="H18" s="13">
        <f>SUMIFS('Card Data'!$E:$E,'Card Data'!$A:$A,$A18,'Card Data'!$K:$K,"&lt;&gt;",'Card Data'!$J:$J,"&lt;&gt;Investigator")-SUMIFS('Card Data'!$E:$E,'Card Data'!$A:$A,$A18,'Card Data'!$K:$K,"&lt;&gt;",'Card Data'!$J:$J,"Mini")</f>
        <v>60</v>
      </c>
      <c r="I18" s="13">
        <f>SUMIFS('Card Data'!$E:$E,'Card Data'!$A:$A,$A18,'Card Data'!$K:$K,"",'Card Data'!$J:$J,"&lt;&gt;Campaign")+SUMIFS('Card Data'!$E:$E,'Card Data'!$A:$A,$A18,'Card Data'!$K:$K,"Mythos")-J18</f>
        <v>34</v>
      </c>
      <c r="J18" s="13">
        <f>SUMIFS('Card Data'!$E:$E,'Card Data'!$J:$J,J$2,'Card Data'!$A:$A,$A18,'Card Data'!$AD:$AD,"&lt;&gt;*Side Quest.*")</f>
        <v>2</v>
      </c>
      <c r="K18" s="13">
        <f>COUNTIFS('Card Data'!$J:$J,K$2,'Card Data'!$A:$A,$A18,'Card Data'!$AD:$AD,"&lt;&gt;*Side Quest.*")</f>
        <v>4</v>
      </c>
      <c r="L18" s="13">
        <f>COUNTIFS('Card Data'!$J:$J,L$2,'Card Data'!$A:$A,$A18,'Card Data'!$AD:$AD,"&lt;&gt;*Side Quest.*")</f>
        <v>1</v>
      </c>
      <c r="M18" s="15"/>
      <c r="N18" s="13">
        <f>COUNTIFS('Card Data'!$J:$J,N$2,'Card Data'!$A:$A,$A18)</f>
        <v>0</v>
      </c>
      <c r="O18" s="13">
        <f>COUNTIFS('Card Data'!$J:$J,O$2,'Card Data'!$A:$A,$A18)</f>
        <v>3</v>
      </c>
      <c r="P18" s="13">
        <f>COUNTIFS('Card Data'!$J:$J,P$2,'Card Data'!$A:$A,$A18)</f>
        <v>5</v>
      </c>
      <c r="Q18" s="13">
        <f>COUNTIFS('Card Data'!$J:$J,Q$2,'Card Data'!$A:$A,$A18)</f>
        <v>4</v>
      </c>
      <c r="R18" s="13">
        <f>COUNTIFS('Card Data'!$J:$J,R$2,'Card Data'!$A:$A,$A18)</f>
        <v>2</v>
      </c>
      <c r="S18" s="13">
        <f>COUNTIFS('Card Data'!$J:$J,S$2,'Card Data'!$A:$A,$A18)</f>
        <v>11</v>
      </c>
      <c r="T18" s="13">
        <f>COUNTIFS('Card Data'!$J:$J,T$2,'Card Data'!$A:$A,$A18)</f>
        <v>3</v>
      </c>
      <c r="U18" s="15"/>
      <c r="V18" s="13">
        <f>COUNTIFS('Card Data'!$K:$K,V$2,'Card Data'!$A:$A,$A18)</f>
        <v>3</v>
      </c>
      <c r="W18" s="13">
        <f>COUNTIFS('Card Data'!$K:$K,W$2,'Card Data'!$A:$A,$A18)</f>
        <v>2</v>
      </c>
      <c r="X18" s="13">
        <f>COUNTIFS('Card Data'!$K:$K,X$2,'Card Data'!$A:$A,$A18)</f>
        <v>2</v>
      </c>
      <c r="Y18" s="13">
        <f>COUNTIFS('Card Data'!$K:$K,Y$2,'Card Data'!$A:$A,$A18)</f>
        <v>2</v>
      </c>
      <c r="Z18" s="13">
        <f>COUNTIFS('Card Data'!$K:$K,Z$2,'Card Data'!$A:$A,$A18)</f>
        <v>2</v>
      </c>
      <c r="AA18" s="13">
        <f>COUNTIFS('Card Data'!$K:$K,AA$2,'Card Data'!$A:$A,$A18)</f>
        <v>1</v>
      </c>
    </row>
    <row r="19" spans="1:27">
      <c r="A19" s="4" t="s">
        <v>3497</v>
      </c>
      <c r="B19" s="4" t="s">
        <v>2787</v>
      </c>
      <c r="C19" s="6" t="s">
        <v>174</v>
      </c>
      <c r="E19" s="4" t="s">
        <v>3633</v>
      </c>
      <c r="G19" s="13">
        <f>SUMIF('Card Data'!$A:$A,$A19,'Card Data'!$E:$E)</f>
        <v>60</v>
      </c>
      <c r="H19" s="13">
        <f>SUMIFS('Card Data'!$E:$E,'Card Data'!$A:$A,$A19,'Card Data'!$K:$K,"&lt;&gt;",'Card Data'!$J:$J,"&lt;&gt;Investigator")-SUMIFS('Card Data'!$E:$E,'Card Data'!$A:$A,$A19,'Card Data'!$K:$K,"&lt;&gt;",'Card Data'!$J:$J,"Mini")</f>
        <v>60</v>
      </c>
      <c r="I19" s="13">
        <f>SUMIFS('Card Data'!$E:$E,'Card Data'!$A:$A,$A19,'Card Data'!$K:$K,"",'Card Data'!$J:$J,"&lt;&gt;Campaign")+SUMIFS('Card Data'!$E:$E,'Card Data'!$A:$A,$A19,'Card Data'!$K:$K,"Mythos")-J19</f>
        <v>30</v>
      </c>
      <c r="J19" s="13">
        <f>SUMIFS('Card Data'!$E:$E,'Card Data'!$J:$J,J$2,'Card Data'!$A:$A,$A19,'Card Data'!$AD:$AD,"&lt;&gt;*Side Quest.*")</f>
        <v>8</v>
      </c>
      <c r="K19" s="13">
        <f>COUNTIFS('Card Data'!$J:$J,K$2,'Card Data'!$A:$A,$A19,'Card Data'!$AD:$AD,"&lt;&gt;*Side Quest.*")</f>
        <v>2</v>
      </c>
      <c r="L19" s="13">
        <f>COUNTIFS('Card Data'!$J:$J,L$2,'Card Data'!$A:$A,$A19,'Card Data'!$AD:$AD,"&lt;&gt;*Side Quest.*")</f>
        <v>1</v>
      </c>
      <c r="M19" s="15"/>
      <c r="N19" s="13">
        <f>COUNTIFS('Card Data'!$J:$J,N$2,'Card Data'!$A:$A,$A19)</f>
        <v>0</v>
      </c>
      <c r="O19" s="13">
        <f>COUNTIFS('Card Data'!$J:$J,O$2,'Card Data'!$A:$A,$A19)</f>
        <v>5</v>
      </c>
      <c r="P19" s="13">
        <f>COUNTIFS('Card Data'!$J:$J,P$2,'Card Data'!$A:$A,$A19)</f>
        <v>5</v>
      </c>
      <c r="Q19" s="13">
        <f>COUNTIFS('Card Data'!$J:$J,Q$2,'Card Data'!$A:$A,$A19)</f>
        <v>1</v>
      </c>
      <c r="R19" s="13">
        <f>COUNTIFS('Card Data'!$J:$J,R$2,'Card Data'!$A:$A,$A19)</f>
        <v>2</v>
      </c>
      <c r="S19" s="13">
        <f>COUNTIFS('Card Data'!$J:$J,S$2,'Card Data'!$A:$A,$A19)</f>
        <v>17</v>
      </c>
      <c r="T19" s="13">
        <f>COUNTIFS('Card Data'!$J:$J,T$2,'Card Data'!$A:$A,$A19)</f>
        <v>2</v>
      </c>
      <c r="U19" s="15"/>
      <c r="V19" s="13">
        <f>COUNTIFS('Card Data'!$K:$K,V$2,'Card Data'!$A:$A,$A19)</f>
        <v>2</v>
      </c>
      <c r="W19" s="13">
        <f>COUNTIFS('Card Data'!$K:$K,W$2,'Card Data'!$A:$A,$A19)</f>
        <v>2</v>
      </c>
      <c r="X19" s="13">
        <f>COUNTIFS('Card Data'!$K:$K,X$2,'Card Data'!$A:$A,$A19)</f>
        <v>2</v>
      </c>
      <c r="Y19" s="13">
        <f>COUNTIFS('Card Data'!$K:$K,Y$2,'Card Data'!$A:$A,$A19)</f>
        <v>3</v>
      </c>
      <c r="Z19" s="13">
        <f>COUNTIFS('Card Data'!$K:$K,Z$2,'Card Data'!$A:$A,$A19)</f>
        <v>2</v>
      </c>
      <c r="AA19" s="13">
        <f>COUNTIFS('Card Data'!$K:$K,AA$2,'Card Data'!$A:$A,$A19)</f>
        <v>0</v>
      </c>
    </row>
    <row r="20" spans="1:27">
      <c r="A20" s="146" t="s">
        <v>3634</v>
      </c>
      <c r="B20" s="4" t="s">
        <v>3683</v>
      </c>
      <c r="C20" s="6" t="s">
        <v>174</v>
      </c>
      <c r="E20" s="4" t="s">
        <v>4191</v>
      </c>
      <c r="G20" s="13">
        <f>SUMIF('Card Data'!$A:$A,$A20,'Card Data'!$E:$E)</f>
        <v>60</v>
      </c>
      <c r="H20" s="13">
        <f>SUMIFS('Card Data'!$E:$E,'Card Data'!$A:$A,$A20,'Card Data'!$K:$K,"&lt;&gt;",'Card Data'!$J:$J,"&lt;&gt;Investigator")-SUMIFS('Card Data'!$E:$E,'Card Data'!$A:$A,$A20,'Card Data'!$K:$K,"&lt;&gt;",'Card Data'!$J:$J,"Mini")</f>
        <v>60</v>
      </c>
      <c r="I20" s="13">
        <f>SUMIFS('Card Data'!$E:$E,'Card Data'!$A:$A,$A20,'Card Data'!$K:$K,"",'Card Data'!$J:$J,"&lt;&gt;Campaign")+SUMIFS('Card Data'!$E:$E,'Card Data'!$A:$A,$A20,'Card Data'!$K:$K,"Mythos")-J20</f>
        <v>33</v>
      </c>
      <c r="J20" s="13">
        <f>SUMIFS('Card Data'!$E:$E,'Card Data'!$J:$J,J$2,'Card Data'!$A:$A,$A20,'Card Data'!$AD:$AD,"&lt;&gt;*Side Quest.*")</f>
        <v>3</v>
      </c>
      <c r="K20" s="13">
        <f>COUNTIFS('Card Data'!$J:$J,K$2,'Card Data'!$A:$A,$A20,'Card Data'!$AD:$AD,"&lt;&gt;*Side Quest.*")</f>
        <v>5</v>
      </c>
      <c r="L20" s="13">
        <f>COUNTIFS('Card Data'!$J:$J,L$2,'Card Data'!$A:$A,$A20,'Card Data'!$AD:$AD,"&lt;&gt;*Side Quest.*")</f>
        <v>1</v>
      </c>
      <c r="M20" s="15"/>
      <c r="N20" s="13">
        <f>COUNTIFS('Card Data'!$J:$J,N$2,'Card Data'!$A:$A,$A20)</f>
        <v>0</v>
      </c>
      <c r="O20" s="13">
        <f>COUNTIFS('Card Data'!$J:$J,O$2,'Card Data'!$A:$A,$A20)</f>
        <v>5</v>
      </c>
      <c r="P20" s="13">
        <f>COUNTIFS('Card Data'!$J:$J,P$2,'Card Data'!$A:$A,$A20)</f>
        <v>6</v>
      </c>
      <c r="Q20" s="13">
        <f>COUNTIFS('Card Data'!$J:$J,Q$2,'Card Data'!$A:$A,$A20)</f>
        <v>1</v>
      </c>
      <c r="R20" s="13">
        <f>COUNTIFS('Card Data'!$J:$J,R$2,'Card Data'!$A:$A,$A20)</f>
        <v>5</v>
      </c>
      <c r="S20" s="13">
        <f>COUNTIFS('Card Data'!$J:$J,S$2,'Card Data'!$A:$A,$A20)</f>
        <v>13</v>
      </c>
      <c r="T20" s="13">
        <f>COUNTIFS('Card Data'!$J:$J,T$2,'Card Data'!$A:$A,$A20)</f>
        <v>6</v>
      </c>
      <c r="U20" s="15"/>
      <c r="V20" s="13">
        <f>COUNTIFS('Card Data'!$K:$K,V$2,'Card Data'!$A:$A,$A20)</f>
        <v>2</v>
      </c>
      <c r="W20" s="13">
        <f>COUNTIFS('Card Data'!$K:$K,W$2,'Card Data'!$A:$A,$A20)</f>
        <v>2</v>
      </c>
      <c r="X20" s="13">
        <f>COUNTIFS('Card Data'!$K:$K,X$2,'Card Data'!$A:$A,$A20)</f>
        <v>3</v>
      </c>
      <c r="Y20" s="13">
        <f>COUNTIFS('Card Data'!$K:$K,Y$2,'Card Data'!$A:$A,$A20)</f>
        <v>2</v>
      </c>
      <c r="Z20" s="13">
        <f>COUNTIFS('Card Data'!$K:$K,Z$2,'Card Data'!$A:$A,$A20)</f>
        <v>2</v>
      </c>
      <c r="AA20" s="13">
        <f>COUNTIFS('Card Data'!$K:$K,AA$2,'Card Data'!$A:$A,$A20)</f>
        <v>1</v>
      </c>
    </row>
    <row r="21" spans="1:27">
      <c r="A21" s="149" t="s">
        <v>3819</v>
      </c>
      <c r="B21" s="39" t="s">
        <v>4076</v>
      </c>
      <c r="C21" s="138" t="s">
        <v>174</v>
      </c>
      <c r="D21" s="39"/>
      <c r="E21" s="39" t="s">
        <v>4077</v>
      </c>
      <c r="G21" s="13">
        <f>SUMIF('Card Data'!$A:$A,$A21,'Card Data'!$E:$E)</f>
        <v>161</v>
      </c>
      <c r="H21" s="13">
        <f>SUMIFS('Card Data'!$E:$E,'Card Data'!$A:$A,$A21,'Card Data'!$K:$K,"&lt;&gt;",'Card Data'!$J:$J,"&lt;&gt;Investigator")-SUMIFS('Card Data'!$E:$E,'Card Data'!$A:$A,$A21,'Card Data'!$K:$K,"&lt;&gt;",'Card Data'!$J:$J,"Mini")</f>
        <v>151</v>
      </c>
      <c r="I21" s="13">
        <f>SUMIFS('Card Data'!$E:$E,'Card Data'!$A:$A,$A21,'Card Data'!$K:$K,"",'Card Data'!$J:$J,"&lt;&gt;Campaign")+SUMIFS('Card Data'!$E:$E,'Card Data'!$A:$A,$A21,'Card Data'!$K:$K,"Mythos")-J21</f>
        <v>83</v>
      </c>
      <c r="J21" s="13">
        <f>SUMIFS('Card Data'!$E:$E,'Card Data'!$J:$J,J$2,'Card Data'!$A:$A,$A21,'Card Data'!$AD:$AD,"&lt;&gt;*Side Quest.*")</f>
        <v>4</v>
      </c>
      <c r="K21" s="13">
        <f>COUNTIFS('Card Data'!$J:$J,K$2,'Card Data'!$A:$A,$A21,'Card Data'!$AD:$AD,"&lt;&gt;*Side Quest.*")</f>
        <v>7</v>
      </c>
      <c r="L21" s="13">
        <f>COUNTIFS('Card Data'!$J:$J,L$2,'Card Data'!$A:$A,$A21,'Card Data'!$AD:$AD,"&lt;&gt;*Side Quest.*")</f>
        <v>2</v>
      </c>
      <c r="M21" s="15"/>
      <c r="N21" s="13">
        <f>COUNTIFS('Card Data'!$J:$J,N$2,'Card Data'!$A:$A,$A21)</f>
        <v>5</v>
      </c>
      <c r="O21" s="13">
        <f>COUNTIFS('Card Data'!$J:$J,O$2,'Card Data'!$A:$A,$A21)</f>
        <v>19</v>
      </c>
      <c r="P21" s="13">
        <f>COUNTIFS('Card Data'!$J:$J,P$2,'Card Data'!$A:$A,$A21)</f>
        <v>10</v>
      </c>
      <c r="Q21" s="13">
        <f>COUNTIFS('Card Data'!$J:$J,Q$2,'Card Data'!$A:$A,$A21)</f>
        <v>1</v>
      </c>
      <c r="R21" s="13">
        <f>COUNTIFS('Card Data'!$J:$J,R$2,'Card Data'!$A:$A,$A21)</f>
        <v>10</v>
      </c>
      <c r="S21" s="13">
        <f>COUNTIFS('Card Data'!$J:$J,S$2,'Card Data'!$A:$A,$A21)</f>
        <v>16</v>
      </c>
      <c r="T21" s="13">
        <f>COUNTIFS('Card Data'!$J:$J,T$2,'Card Data'!$A:$A,$A21)</f>
        <v>28</v>
      </c>
      <c r="U21" s="15"/>
      <c r="V21" s="13">
        <f>COUNTIFS('Card Data'!$K:$K,V$2,'Card Data'!$A:$A,$A21)</f>
        <v>6</v>
      </c>
      <c r="W21" s="13">
        <f>COUNTIFS('Card Data'!$K:$K,W$2,'Card Data'!$A:$A,$A21)</f>
        <v>6</v>
      </c>
      <c r="X21" s="13">
        <f>COUNTIFS('Card Data'!$K:$K,X$2,'Card Data'!$A:$A,$A21)</f>
        <v>6</v>
      </c>
      <c r="Y21" s="13">
        <f>COUNTIFS('Card Data'!$K:$K,Y$2,'Card Data'!$A:$A,$A21)</f>
        <v>6</v>
      </c>
      <c r="Z21" s="13">
        <f>COUNTIFS('Card Data'!$K:$K,Z$2,'Card Data'!$A:$A,$A21)</f>
        <v>6</v>
      </c>
      <c r="AA21" s="13">
        <f>COUNTIFS('Card Data'!$K:$K,AA$2,'Card Data'!$A:$A,$A21)</f>
        <v>20</v>
      </c>
    </row>
    <row r="22" spans="1:27">
      <c r="A22" s="152" t="s">
        <v>4078</v>
      </c>
      <c r="B22" s="4" t="s">
        <v>4106</v>
      </c>
      <c r="C22" s="6" t="s">
        <v>174</v>
      </c>
      <c r="E22" s="4" t="s">
        <v>4190</v>
      </c>
      <c r="G22" s="13">
        <f>SUMIF('Card Data'!$A:$A,$A22,'Card Data'!$E:$E)</f>
        <v>60</v>
      </c>
      <c r="H22" s="13">
        <f>SUMIFS('Card Data'!$E:$E,'Card Data'!$A:$A,$A22,'Card Data'!$K:$K,"&lt;&gt;",'Card Data'!$J:$J,"&lt;&gt;Investigator")-SUMIFS('Card Data'!$E:$E,'Card Data'!$A:$A,$A22,'Card Data'!$K:$K,"&lt;&gt;",'Card Data'!$J:$J,"Mini")</f>
        <v>60</v>
      </c>
      <c r="I22" s="13">
        <f>SUMIFS('Card Data'!$E:$E,'Card Data'!$A:$A,$A22,'Card Data'!$K:$K,"",'Card Data'!$J:$J,"&lt;&gt;Campaign")+SUMIFS('Card Data'!$E:$E,'Card Data'!$A:$A,$A22,'Card Data'!$K:$K,"Mythos")-J22</f>
        <v>35</v>
      </c>
      <c r="J22" s="13">
        <f>SUMIFS('Card Data'!$E:$E,'Card Data'!$J:$J,J$2,'Card Data'!$A:$A,$A22,'Card Data'!$AD:$AD,"&lt;&gt;*Side Quest.*")</f>
        <v>3</v>
      </c>
      <c r="K22" s="13">
        <f>COUNTIFS('Card Data'!$J:$J,K$2,'Card Data'!$A:$A,$A22,'Card Data'!$AD:$AD,"&lt;&gt;*Side Quest.*")</f>
        <v>24</v>
      </c>
      <c r="L22" s="13">
        <f>COUNTIFS('Card Data'!$J:$J,L$2,'Card Data'!$A:$A,$A22,'Card Data'!$AD:$AD,"&lt;&gt;*Side Quest.*")</f>
        <v>1</v>
      </c>
      <c r="M22" s="15"/>
      <c r="N22" s="13">
        <f>COUNTIFS('Card Data'!$J:$J,N$2,'Card Data'!$A:$A,$A22)</f>
        <v>0</v>
      </c>
      <c r="O22" s="13">
        <f>COUNTIFS('Card Data'!$J:$J,O$2,'Card Data'!$A:$A,$A22)</f>
        <v>6</v>
      </c>
      <c r="P22" s="13">
        <f>COUNTIFS('Card Data'!$J:$J,P$2,'Card Data'!$A:$A,$A22)</f>
        <v>5</v>
      </c>
      <c r="Q22" s="13">
        <f>COUNTIFS('Card Data'!$J:$J,Q$2,'Card Data'!$A:$A,$A22)</f>
        <v>1</v>
      </c>
      <c r="R22" s="13">
        <f>COUNTIFS('Card Data'!$J:$J,R$2,'Card Data'!$A:$A,$A22)</f>
        <v>0</v>
      </c>
      <c r="S22" s="13">
        <f>COUNTIFS('Card Data'!$J:$J,S$2,'Card Data'!$A:$A,$A22)</f>
        <v>3</v>
      </c>
      <c r="T22" s="13">
        <f>COUNTIFS('Card Data'!$J:$J,T$2,'Card Data'!$A:$A,$A22)</f>
        <v>3</v>
      </c>
      <c r="U22" s="15"/>
      <c r="V22" s="13">
        <f>COUNTIFS('Card Data'!$K:$K,V$2,'Card Data'!$A:$A,$A22)</f>
        <v>2</v>
      </c>
      <c r="W22" s="13">
        <f>COUNTIFS('Card Data'!$K:$K,W$2,'Card Data'!$A:$A,$A22)</f>
        <v>2</v>
      </c>
      <c r="X22" s="13">
        <f>COUNTIFS('Card Data'!$K:$K,X$2,'Card Data'!$A:$A,$A22)</f>
        <v>2</v>
      </c>
      <c r="Y22" s="13">
        <f>COUNTIFS('Card Data'!$K:$K,Y$2,'Card Data'!$A:$A,$A22)</f>
        <v>2</v>
      </c>
      <c r="Z22" s="13">
        <f>COUNTIFS('Card Data'!$K:$K,Z$2,'Card Data'!$A:$A,$A22)</f>
        <v>2</v>
      </c>
      <c r="AA22" s="13">
        <f>COUNTIFS('Card Data'!$K:$K,AA$2,'Card Data'!$A:$A,$A22)</f>
        <v>2</v>
      </c>
    </row>
    <row r="23" spans="1:27">
      <c r="A23" s="166" t="s">
        <v>4192</v>
      </c>
      <c r="B23" s="166" t="s">
        <v>4283</v>
      </c>
      <c r="C23" s="167" t="s">
        <v>174</v>
      </c>
      <c r="D23" s="166"/>
      <c r="E23" s="166" t="s">
        <v>4282</v>
      </c>
      <c r="G23" s="13">
        <f>SUMIF('Card Data'!$A:$A,$A23,'Card Data'!$E:$E)</f>
        <v>66</v>
      </c>
      <c r="H23" s="13">
        <f>SUMIFS('Card Data'!$E:$E,'Card Data'!$A:$A,$A23,'Card Data'!$K:$K,"&lt;&gt;",'Card Data'!$J:$J,"&lt;&gt;Investigator")-SUMIFS('Card Data'!$E:$E,'Card Data'!$A:$A,$A23,'Card Data'!$K:$K,"&lt;&gt;",'Card Data'!$J:$J,"Mini")</f>
        <v>66</v>
      </c>
      <c r="I23" s="13">
        <f>SUMIFS('Card Data'!$E:$E,'Card Data'!$A:$A,$A23,'Card Data'!$K:$K,"",'Card Data'!$J:$J,"&lt;&gt;Campaign")+SUMIFS('Card Data'!$E:$E,'Card Data'!$A:$A,$A23,'Card Data'!$K:$K,"Mythos")-J23</f>
        <v>45</v>
      </c>
      <c r="J23" s="13">
        <f>SUMIFS('Card Data'!$E:$E,'Card Data'!$J:$J,J$2,'Card Data'!$A:$A,$A23,'Card Data'!$AD:$AD,"&lt;&gt;*Side Quest.*")</f>
        <v>1</v>
      </c>
      <c r="K23" s="13">
        <f>COUNTIFS('Card Data'!$J:$J,K$2,'Card Data'!$A:$A,$A23,'Card Data'!$AD:$AD,"&lt;&gt;*Side Quest.*")</f>
        <v>1</v>
      </c>
      <c r="L23" s="13">
        <f>COUNTIFS('Card Data'!$J:$J,L$2,'Card Data'!$A:$A,$A23,'Card Data'!$AD:$AD,"&lt;&gt;*Side Quest.*")</f>
        <v>3</v>
      </c>
      <c r="M23" s="15"/>
      <c r="N23" s="13">
        <f>COUNTIFS('Card Data'!$J:$J,N$2,'Card Data'!$A:$A,$A23)</f>
        <v>0</v>
      </c>
      <c r="O23" s="13">
        <f>COUNTIFS('Card Data'!$J:$J,O$2,'Card Data'!$A:$A,$A23)</f>
        <v>6</v>
      </c>
      <c r="P23" s="13">
        <f>COUNTIFS('Card Data'!$J:$J,P$2,'Card Data'!$A:$A,$A23)</f>
        <v>4</v>
      </c>
      <c r="Q23" s="13">
        <f>COUNTIFS('Card Data'!$J:$J,Q$2,'Card Data'!$A:$A,$A23)</f>
        <v>0</v>
      </c>
      <c r="R23" s="13">
        <f>COUNTIFS('Card Data'!$J:$J,R$2,'Card Data'!$A:$A,$A23)</f>
        <v>9</v>
      </c>
      <c r="S23" s="13">
        <f>COUNTIFS('Card Data'!$J:$J,S$2,'Card Data'!$A:$A,$A23)</f>
        <v>17</v>
      </c>
      <c r="T23" s="13">
        <f>COUNTIFS('Card Data'!$J:$J,T$2,'Card Data'!$A:$A,$A23)</f>
        <v>5</v>
      </c>
      <c r="U23" s="15"/>
      <c r="V23" s="13">
        <f>COUNTIFS('Card Data'!$K:$K,V$2,'Card Data'!$A:$A,$A23)</f>
        <v>2</v>
      </c>
      <c r="W23" s="13">
        <f>COUNTIFS('Card Data'!$K:$K,W$2,'Card Data'!$A:$A,$A23)</f>
        <v>2</v>
      </c>
      <c r="X23" s="13">
        <f>COUNTIFS('Card Data'!$K:$K,X$2,'Card Data'!$A:$A,$A23)</f>
        <v>2</v>
      </c>
      <c r="Y23" s="13">
        <f>COUNTIFS('Card Data'!$K:$K,Y$2,'Card Data'!$A:$A,$A23)</f>
        <v>2</v>
      </c>
      <c r="Z23" s="13">
        <f>COUNTIFS('Card Data'!$K:$K,Z$2,'Card Data'!$A:$A,$A23)</f>
        <v>2</v>
      </c>
      <c r="AA23" s="13">
        <f>COUNTIFS('Card Data'!$K:$K,AA$2,'Card Data'!$A:$A,$A23)</f>
        <v>0</v>
      </c>
    </row>
    <row r="24" spans="1:27">
      <c r="A24" s="179" t="s">
        <v>4285</v>
      </c>
      <c r="B24" s="4" t="s">
        <v>4286</v>
      </c>
      <c r="C24" s="6" t="s">
        <v>174</v>
      </c>
      <c r="E24" s="4" t="s">
        <v>4287</v>
      </c>
      <c r="G24" s="13">
        <f>SUMIF('Card Data'!$A:$A,$A24,'Card Data'!$E:$E)</f>
        <v>60</v>
      </c>
      <c r="H24" s="13">
        <f>SUMIFS('Card Data'!$E:$E,'Card Data'!$A:$A,$A24,'Card Data'!$K:$K,"&lt;&gt;",'Card Data'!$J:$J,"&lt;&gt;Investigator")-SUMIFS('Card Data'!$E:$E,'Card Data'!$A:$A,$A24,'Card Data'!$K:$K,"&lt;&gt;",'Card Data'!$J:$J,"Mini")</f>
        <v>60</v>
      </c>
      <c r="I24" s="13">
        <f>SUMIFS('Card Data'!$E:$E,'Card Data'!$A:$A,$A24,'Card Data'!$K:$K,"",'Card Data'!$J:$J,"&lt;&gt;Campaign")+SUMIFS('Card Data'!$E:$E,'Card Data'!$A:$A,$A24,'Card Data'!$K:$K,"Mythos")-J24</f>
        <v>32</v>
      </c>
      <c r="J24" s="13">
        <f>SUMIFS('Card Data'!$E:$E,'Card Data'!$J:$J,J$2,'Card Data'!$A:$A,$A24,'Card Data'!$AD:$AD,"&lt;&gt;*Side Quest.*")</f>
        <v>3</v>
      </c>
      <c r="K24" s="13">
        <f>COUNTIFS('Card Data'!$J:$J,K$2,'Card Data'!$A:$A,$A24,'Card Data'!$AD:$AD,"&lt;&gt;*Side Quest.*")</f>
        <v>3</v>
      </c>
      <c r="L24" s="13">
        <f>COUNTIFS('Card Data'!$J:$J,L$2,'Card Data'!$A:$A,$A24,'Card Data'!$AD:$AD,"&lt;&gt;*Side Quest.*")</f>
        <v>1</v>
      </c>
      <c r="M24" s="15"/>
      <c r="N24" s="13">
        <f>COUNTIFS('Card Data'!$J:$J,N$2,'Card Data'!$A:$A,$A24)</f>
        <v>0</v>
      </c>
      <c r="O24" s="13">
        <f>COUNTIFS('Card Data'!$J:$J,O$2,'Card Data'!$A:$A,$A24)</f>
        <v>7</v>
      </c>
      <c r="P24" s="13">
        <f>COUNTIFS('Card Data'!$J:$J,P$2,'Card Data'!$A:$A,$A24)</f>
        <v>2</v>
      </c>
      <c r="Q24" s="13">
        <f>COUNTIFS('Card Data'!$J:$J,Q$2,'Card Data'!$A:$A,$A24)</f>
        <v>4</v>
      </c>
      <c r="R24" s="13">
        <f>COUNTIFS('Card Data'!$J:$J,R$2,'Card Data'!$A:$A,$A24)</f>
        <v>3</v>
      </c>
      <c r="S24" s="13">
        <f>COUNTIFS('Card Data'!$J:$J,S$2,'Card Data'!$A:$A,$A24)</f>
        <v>18</v>
      </c>
      <c r="T24" s="13">
        <f>COUNTIFS('Card Data'!$J:$J,T$2,'Card Data'!$A:$A,$A24)</f>
        <v>2</v>
      </c>
      <c r="U24" s="15"/>
      <c r="V24" s="13">
        <f>COUNTIFS('Card Data'!$K:$K,V$2,'Card Data'!$A:$A,$A24)</f>
        <v>3</v>
      </c>
      <c r="W24" s="13">
        <f>COUNTIFS('Card Data'!$K:$K,W$2,'Card Data'!$A:$A,$A24)</f>
        <v>3</v>
      </c>
      <c r="X24" s="13">
        <f>COUNTIFS('Card Data'!$K:$K,X$2,'Card Data'!$A:$A,$A24)</f>
        <v>2</v>
      </c>
      <c r="Y24" s="13">
        <f>COUNTIFS('Card Data'!$K:$K,Y$2,'Card Data'!$A:$A,$A24)</f>
        <v>2</v>
      </c>
      <c r="Z24" s="13">
        <f>COUNTIFS('Card Data'!$K:$K,Z$2,'Card Data'!$A:$A,$A24)</f>
        <v>2</v>
      </c>
      <c r="AA24" s="13">
        <f>COUNTIFS('Card Data'!$K:$K,AA$2,'Card Data'!$A:$A,$A24)</f>
        <v>1</v>
      </c>
    </row>
    <row r="25" spans="1:27">
      <c r="A25" s="180" t="s">
        <v>4696</v>
      </c>
      <c r="B25" s="4" t="s">
        <v>4698</v>
      </c>
      <c r="C25" s="6" t="s">
        <v>174</v>
      </c>
      <c r="E25" s="4" t="s">
        <v>4697</v>
      </c>
      <c r="G25" s="13">
        <f>SUMIF('Card Data'!$A:$A,$A25,'Card Data'!$E:$E)</f>
        <v>60</v>
      </c>
      <c r="H25" s="13">
        <f>SUMIFS('Card Data'!$E:$E,'Card Data'!$A:$A,$A25,'Card Data'!$K:$K,"&lt;&gt;",'Card Data'!$J:$J,"&lt;&gt;Investigator")-SUMIFS('Card Data'!$E:$E,'Card Data'!$A:$A,$A25,'Card Data'!$K:$K,"&lt;&gt;",'Card Data'!$J:$J,"Mini")</f>
        <v>60</v>
      </c>
      <c r="I25" s="13">
        <f>SUMIFS('Card Data'!$E:$E,'Card Data'!$A:$A,$A25,'Card Data'!$K:$K,"",'Card Data'!$J:$J,"&lt;&gt;Campaign")+SUMIFS('Card Data'!$E:$E,'Card Data'!$A:$A,$A25,'Card Data'!$K:$K,"Mythos")-J25</f>
        <v>30</v>
      </c>
      <c r="J25" s="13">
        <f>SUMIFS('Card Data'!$E:$E,'Card Data'!$J:$J,J$2,'Card Data'!$A:$A,$A25,'Card Data'!$AD:$AD,"&lt;&gt;*Side Quest.*")</f>
        <v>4</v>
      </c>
      <c r="K25" s="13">
        <f>COUNTIFS('Card Data'!$J:$J,K$2,'Card Data'!$A:$A,$A25,'Card Data'!$AD:$AD,"&lt;&gt;*Side Quest.*")</f>
        <v>4</v>
      </c>
      <c r="L25" s="13">
        <f>COUNTIFS('Card Data'!$J:$J,L$2,'Card Data'!$A:$A,$A25,'Card Data'!$AD:$AD,"&lt;&gt;*Side Quest.*")</f>
        <v>1</v>
      </c>
      <c r="M25" s="15"/>
      <c r="N25" s="13">
        <f>COUNTIFS('Card Data'!$J:$J,N$2,'Card Data'!$A:$A,$A25)</f>
        <v>0</v>
      </c>
      <c r="O25" s="13">
        <f>COUNTIFS('Card Data'!$J:$J,O$2,'Card Data'!$A:$A,$A25)</f>
        <v>5</v>
      </c>
      <c r="P25" s="13">
        <f>COUNTIFS('Card Data'!$J:$J,P$2,'Card Data'!$A:$A,$A25)</f>
        <v>5</v>
      </c>
      <c r="Q25" s="13">
        <f>COUNTIFS('Card Data'!$J:$J,Q$2,'Card Data'!$A:$A,$A25)</f>
        <v>3</v>
      </c>
      <c r="R25" s="13">
        <f>COUNTIFS('Card Data'!$J:$J,R$2,'Card Data'!$A:$A,$A25)</f>
        <v>2</v>
      </c>
      <c r="S25" s="13">
        <f>COUNTIFS('Card Data'!$J:$J,S$2,'Card Data'!$A:$A,$A25)</f>
        <v>9</v>
      </c>
      <c r="T25" s="13">
        <f>COUNTIFS('Card Data'!$J:$J,T$2,'Card Data'!$A:$A,$A25)</f>
        <v>4</v>
      </c>
      <c r="U25" s="15"/>
      <c r="V25" s="13">
        <f>COUNTIFS('Card Data'!$K:$K,V$2,'Card Data'!$A:$A,$A25)</f>
        <v>2</v>
      </c>
      <c r="W25" s="13">
        <f>COUNTIFS('Card Data'!$K:$K,W$2,'Card Data'!$A:$A,$A25)</f>
        <v>2</v>
      </c>
      <c r="X25" s="13">
        <f>COUNTIFS('Card Data'!$K:$K,X$2,'Card Data'!$A:$A,$A25)</f>
        <v>1</v>
      </c>
      <c r="Y25" s="13">
        <f>COUNTIFS('Card Data'!$K:$K,Y$2,'Card Data'!$A:$A,$A25)</f>
        <v>3</v>
      </c>
      <c r="Z25" s="13">
        <f>COUNTIFS('Card Data'!$K:$K,Z$2,'Card Data'!$A:$A,$A25)</f>
        <v>3</v>
      </c>
      <c r="AA25" s="13">
        <f>COUNTIFS('Card Data'!$K:$K,AA$2,'Card Data'!$A:$A,$A25)</f>
        <v>2</v>
      </c>
    </row>
    <row r="26" spans="1:27">
      <c r="A26" s="181" t="s">
        <v>4744</v>
      </c>
      <c r="B26" s="4" t="s">
        <v>4745</v>
      </c>
      <c r="C26" s="6" t="s">
        <v>174</v>
      </c>
      <c r="E26" s="4" t="s">
        <v>4746</v>
      </c>
      <c r="G26" s="13">
        <f>SUMIF('Card Data'!$A:$A,$A26,'Card Data'!$E:$E)</f>
        <v>60</v>
      </c>
      <c r="H26" s="13">
        <f>SUMIFS('Card Data'!$E:$E,'Card Data'!$A:$A,$A26,'Card Data'!$K:$K,"&lt;&gt;",'Card Data'!$J:$J,"&lt;&gt;Investigator")-SUMIFS('Card Data'!$E:$E,'Card Data'!$A:$A,$A26,'Card Data'!$K:$K,"&lt;&gt;",'Card Data'!$J:$J,"Mini")</f>
        <v>56</v>
      </c>
      <c r="I26" s="13">
        <f>SUMIFS('Card Data'!$E:$E,'Card Data'!$A:$A,$A26,'Card Data'!$K:$K,"",'Card Data'!$J:$J,"&lt;&gt;Campaign")+SUMIFS('Card Data'!$E:$E,'Card Data'!$A:$A,$A26,'Card Data'!$K:$K,"Mythos")-J26</f>
        <v>40</v>
      </c>
      <c r="J26" s="13">
        <f>SUMIFS('Card Data'!$E:$E,'Card Data'!$J:$J,J$2,'Card Data'!$A:$A,$A26,'Card Data'!$AD:$AD,"&lt;&gt;*Side Quest.*")</f>
        <v>3</v>
      </c>
      <c r="K26" s="13">
        <f>COUNTIFS('Card Data'!$J:$J,K$2,'Card Data'!$A:$A,$A26,'Card Data'!$AD:$AD,"&lt;&gt;*Side Quest.*")</f>
        <v>3</v>
      </c>
      <c r="L26" s="13">
        <f>COUNTIFS('Card Data'!$J:$J,L$2,'Card Data'!$A:$A,$A26,'Card Data'!$AD:$AD,"&lt;&gt;*Side Quest.*")</f>
        <v>1</v>
      </c>
      <c r="M26" s="15"/>
      <c r="N26" s="13">
        <f>COUNTIFS('Card Data'!$J:$J,N$2,'Card Data'!$A:$A,$A26)</f>
        <v>1</v>
      </c>
      <c r="O26" s="13">
        <f>COUNTIFS('Card Data'!$J:$J,O$2,'Card Data'!$A:$A,$A26)</f>
        <v>6</v>
      </c>
      <c r="P26" s="13">
        <f>COUNTIFS('Card Data'!$J:$J,P$2,'Card Data'!$A:$A,$A26)</f>
        <v>3</v>
      </c>
      <c r="Q26" s="13">
        <f>COUNTIFS('Card Data'!$J:$J,Q$2,'Card Data'!$A:$A,$A26)</f>
        <v>0</v>
      </c>
      <c r="R26" s="13">
        <f>COUNTIFS('Card Data'!$J:$J,R$2,'Card Data'!$A:$A,$A26)</f>
        <v>3</v>
      </c>
      <c r="S26" s="13">
        <f>COUNTIFS('Card Data'!$J:$J,S$2,'Card Data'!$A:$A,$A26)</f>
        <v>11</v>
      </c>
      <c r="T26" s="13">
        <f>COUNTIFS('Card Data'!$J:$J,T$2,'Card Data'!$A:$A,$A26)</f>
        <v>5</v>
      </c>
      <c r="U26" s="15"/>
      <c r="V26" s="13">
        <f>COUNTIFS('Card Data'!$K:$K,V$2,'Card Data'!$A:$A,$A26)</f>
        <v>1</v>
      </c>
      <c r="W26" s="13">
        <f>COUNTIFS('Card Data'!$K:$K,W$2,'Card Data'!$A:$A,$A26)</f>
        <v>2</v>
      </c>
      <c r="X26" s="13">
        <f>COUNTIFS('Card Data'!$K:$K,X$2,'Card Data'!$A:$A,$A26)</f>
        <v>2</v>
      </c>
      <c r="Y26" s="13">
        <f>COUNTIFS('Card Data'!$K:$K,Y$2,'Card Data'!$A:$A,$A26)</f>
        <v>2</v>
      </c>
      <c r="Z26" s="13">
        <f>COUNTIFS('Card Data'!$K:$K,Z$2,'Card Data'!$A:$A,$A26)</f>
        <v>1</v>
      </c>
      <c r="AA26" s="13">
        <f>COUNTIFS('Card Data'!$K:$K,AA$2,'Card Data'!$A:$A,$A26)</f>
        <v>1</v>
      </c>
    </row>
    <row r="27" spans="1:27">
      <c r="A27" s="182" t="s">
        <v>4951</v>
      </c>
      <c r="B27" s="4" t="s">
        <v>4952</v>
      </c>
      <c r="C27" s="6" t="s">
        <v>174</v>
      </c>
      <c r="E27" s="4" t="s">
        <v>4953</v>
      </c>
      <c r="G27" s="13">
        <f>SUMIF('Card Data'!$A:$A,$A27,'Card Data'!$E:$E)</f>
        <v>60</v>
      </c>
      <c r="H27" s="13">
        <f>SUMIFS('Card Data'!$E:$E,'Card Data'!$A:$A,$A27,'Card Data'!$K:$K,"&lt;&gt;",'Card Data'!$J:$J,"&lt;&gt;Investigator")-SUMIFS('Card Data'!$E:$E,'Card Data'!$A:$A,$A27,'Card Data'!$K:$K,"&lt;&gt;",'Card Data'!$J:$J,"Mini")</f>
        <v>60</v>
      </c>
      <c r="I27" s="13">
        <f>SUMIFS('Card Data'!$E:$E,'Card Data'!$A:$A,$A27,'Card Data'!$K:$K,"",'Card Data'!$J:$J,"&lt;&gt;Campaign")+SUMIFS('Card Data'!$E:$E,'Card Data'!$A:$A,$A27,'Card Data'!$K:$K,"Mythos")-J27</f>
        <v>28</v>
      </c>
      <c r="J27" s="13">
        <f>SUMIFS('Card Data'!$E:$E,'Card Data'!$J:$J,J$2,'Card Data'!$A:$A,$A27,'Card Data'!$AD:$AD,"&lt;&gt;*Side Quest.*")</f>
        <v>7</v>
      </c>
      <c r="K27" s="13">
        <f>COUNTIFS('Card Data'!$J:$J,K$2,'Card Data'!$A:$A,$A27,'Card Data'!$AD:$AD,"&lt;&gt;*Side Quest.*")</f>
        <v>1</v>
      </c>
      <c r="L27" s="13">
        <f>COUNTIFS('Card Data'!$J:$J,L$2,'Card Data'!$A:$A,$A27,'Card Data'!$AD:$AD,"&lt;&gt;*Side Quest.*")</f>
        <v>1</v>
      </c>
      <c r="M27" s="15"/>
      <c r="N27" s="13">
        <f>COUNTIFS('Card Data'!$J:$J,N$2,'Card Data'!$A:$A,$A27)</f>
        <v>0</v>
      </c>
      <c r="O27" s="13">
        <f>COUNTIFS('Card Data'!$J:$J,O$2,'Card Data'!$A:$A,$A27)</f>
        <v>10</v>
      </c>
      <c r="P27" s="13">
        <f>COUNTIFS('Card Data'!$J:$J,P$2,'Card Data'!$A:$A,$A27)</f>
        <v>3</v>
      </c>
      <c r="Q27" s="13">
        <f>COUNTIFS('Card Data'!$J:$J,Q$2,'Card Data'!$A:$A,$A27)</f>
        <v>0</v>
      </c>
      <c r="R27" s="13">
        <f>COUNTIFS('Card Data'!$J:$J,R$2,'Card Data'!$A:$A,$A27)</f>
        <v>3</v>
      </c>
      <c r="S27" s="13">
        <f>COUNTIFS('Card Data'!$J:$J,S$2,'Card Data'!$A:$A,$A27)</f>
        <v>10</v>
      </c>
      <c r="T27" s="13">
        <f>COUNTIFS('Card Data'!$J:$J,T$2,'Card Data'!$A:$A,$A27)</f>
        <v>4</v>
      </c>
      <c r="U27" s="15"/>
      <c r="V27" s="13">
        <f>COUNTIFS('Card Data'!$K:$K,V$2,'Card Data'!$A:$A,$A27)</f>
        <v>2</v>
      </c>
      <c r="W27" s="13">
        <f>COUNTIFS('Card Data'!$K:$K,W$2,'Card Data'!$A:$A,$A27)</f>
        <v>1</v>
      </c>
      <c r="X27" s="13">
        <f>COUNTIFS('Card Data'!$K:$K,X$2,'Card Data'!$A:$A,$A27)</f>
        <v>3</v>
      </c>
      <c r="Y27" s="13">
        <f>COUNTIFS('Card Data'!$K:$K,Y$2,'Card Data'!$A:$A,$A27)</f>
        <v>1</v>
      </c>
      <c r="Z27" s="13">
        <f>COUNTIFS('Card Data'!$K:$K,Z$2,'Card Data'!$A:$A,$A27)</f>
        <v>2</v>
      </c>
      <c r="AA27" s="13">
        <f>COUNTIFS('Card Data'!$K:$K,AA$2,'Card Data'!$A:$A,$A27)</f>
        <v>4</v>
      </c>
    </row>
    <row r="28" spans="1:27">
      <c r="A28" s="4" t="s">
        <v>5088</v>
      </c>
      <c r="B28" s="4" t="s">
        <v>5090</v>
      </c>
      <c r="C28" s="6" t="s">
        <v>174</v>
      </c>
      <c r="E28" s="4" t="s">
        <v>5092</v>
      </c>
      <c r="G28" s="13">
        <f>SUMIF('Card Data'!$A:$A,$A28,'Card Data'!$E:$E)</f>
        <v>60</v>
      </c>
      <c r="H28" s="13">
        <f>SUMIFS('Card Data'!$E:$E,'Card Data'!$A:$A,$A28,'Card Data'!$K:$K,"&lt;&gt;",'Card Data'!$J:$J,"&lt;&gt;Investigator")-SUMIFS('Card Data'!$E:$E,'Card Data'!$A:$A,$A28,'Card Data'!$K:$K,"&lt;&gt;",'Card Data'!$J:$J,"Mini")</f>
        <v>60</v>
      </c>
      <c r="I28" s="13">
        <f>SUMIFS('Card Data'!$E:$E,'Card Data'!$A:$A,$A28,'Card Data'!$K:$K,"",'Card Data'!$J:$J,"&lt;&gt;Campaign")+SUMIFS('Card Data'!$E:$E,'Card Data'!$A:$A,$A28,'Card Data'!$K:$K,"Mythos")-J28</f>
        <v>36</v>
      </c>
      <c r="J28" s="13">
        <f>SUMIFS('Card Data'!$E:$E,'Card Data'!$J:$J,J$2,'Card Data'!$A:$A,$A28,'Card Data'!$AD:$AD,"&lt;&gt;*Side Quest.*")</f>
        <v>3</v>
      </c>
      <c r="K28" s="13">
        <f>COUNTIFS('Card Data'!$J:$J,K$2,'Card Data'!$A:$A,$A28,'Card Data'!$AD:$AD,"&lt;&gt;*Side Quest.*")</f>
        <v>9</v>
      </c>
      <c r="L28" s="13">
        <f>COUNTIFS('Card Data'!$J:$J,L$2,'Card Data'!$A:$A,$A28,'Card Data'!$AD:$AD,"&lt;&gt;*Side Quest.*")</f>
        <v>2</v>
      </c>
      <c r="M28" s="15"/>
      <c r="N28" s="13">
        <f>COUNTIFS('Card Data'!$J:$J,N$2,'Card Data'!$A:$A,$A28)</f>
        <v>0</v>
      </c>
      <c r="O28" s="13">
        <f>COUNTIFS('Card Data'!$J:$J,O$2,'Card Data'!$A:$A,$A28)</f>
        <v>7</v>
      </c>
      <c r="P28" s="13">
        <f>COUNTIFS('Card Data'!$J:$J,P$2,'Card Data'!$A:$A,$A28)</f>
        <v>3</v>
      </c>
      <c r="Q28" s="13">
        <f>COUNTIFS('Card Data'!$J:$J,Q$2,'Card Data'!$A:$A,$A28)</f>
        <v>1</v>
      </c>
      <c r="R28" s="13">
        <f>COUNTIFS('Card Data'!$J:$J,R$2,'Card Data'!$A:$A,$A28)</f>
        <v>4</v>
      </c>
      <c r="S28" s="13">
        <f>COUNTIFS('Card Data'!$J:$J,S$2,'Card Data'!$A:$A,$A28)</f>
        <v>11</v>
      </c>
      <c r="T28" s="13">
        <f>COUNTIFS('Card Data'!$J:$J,T$2,'Card Data'!$A:$A,$A28)</f>
        <v>4</v>
      </c>
      <c r="U28" s="15"/>
      <c r="V28" s="13">
        <f>COUNTIFS('Card Data'!$K:$K,V$2,'Card Data'!$A:$A,$A28)</f>
        <v>2</v>
      </c>
      <c r="W28" s="13">
        <f>COUNTIFS('Card Data'!$K:$K,W$2,'Card Data'!$A:$A,$A28)</f>
        <v>2</v>
      </c>
      <c r="X28" s="13">
        <f>COUNTIFS('Card Data'!$K:$K,X$2,'Card Data'!$A:$A,$A28)</f>
        <v>2</v>
      </c>
      <c r="Y28" s="13">
        <f>COUNTIFS('Card Data'!$K:$K,Y$2,'Card Data'!$A:$A,$A28)</f>
        <v>2</v>
      </c>
      <c r="Z28" s="13">
        <f>COUNTIFS('Card Data'!$K:$K,Z$2,'Card Data'!$A:$A,$A28)</f>
        <v>2</v>
      </c>
      <c r="AA28" s="13">
        <f>COUNTIFS('Card Data'!$K:$K,AA$2,'Card Data'!$A:$A,$A28)</f>
        <v>1</v>
      </c>
    </row>
    <row r="29" spans="1:27">
      <c r="A29" s="184" t="s">
        <v>5089</v>
      </c>
      <c r="B29" s="184" t="s">
        <v>5091</v>
      </c>
      <c r="C29" s="185" t="s">
        <v>174</v>
      </c>
      <c r="D29" s="184"/>
      <c r="E29" s="184" t="s">
        <v>5093</v>
      </c>
      <c r="G29" s="13">
        <f>SUMIF('Card Data'!$A:$A,$A29,'Card Data'!$E:$E)</f>
        <v>80</v>
      </c>
      <c r="H29" s="13">
        <f>SUMIFS('Card Data'!$E:$E,'Card Data'!$A:$A,$A29,'Card Data'!$K:$K,"&lt;&gt;",'Card Data'!$J:$J,"&lt;&gt;Investigator")-SUMIFS('Card Data'!$E:$E,'Card Data'!$A:$A,$A29,'Card Data'!$K:$K,"&lt;&gt;",'Card Data'!$J:$J,"Mini")</f>
        <v>80</v>
      </c>
      <c r="I29" s="13">
        <f>SUMIFS('Card Data'!$E:$E,'Card Data'!$A:$A,$A29,'Card Data'!$K:$K,"",'Card Data'!$J:$J,"&lt;&gt;Campaign")+SUMIFS('Card Data'!$E:$E,'Card Data'!$A:$A,$A29,'Card Data'!$K:$K,"Mythos")-J29</f>
        <v>66</v>
      </c>
      <c r="J29" s="13">
        <f>SUMIFS('Card Data'!$E:$E,'Card Data'!$J:$J,J$2,'Card Data'!$A:$A,$A29,'Card Data'!$AD:$AD,"&lt;&gt;*Side Quest.*")</f>
        <v>5</v>
      </c>
      <c r="K29" s="13">
        <f>COUNTIFS('Card Data'!$J:$J,K$2,'Card Data'!$A:$A,$A29,'Card Data'!$AD:$AD,"&lt;&gt;*Side Quest.*")</f>
        <v>9</v>
      </c>
      <c r="L29" s="13">
        <f>COUNTIFS('Card Data'!$J:$J,L$2,'Card Data'!$A:$A,$A29,'Card Data'!$AD:$AD,"&lt;&gt;*Side Quest.*")</f>
        <v>1</v>
      </c>
      <c r="M29" s="15"/>
      <c r="N29" s="13">
        <f>COUNTIFS('Card Data'!$J:$J,N$2,'Card Data'!$A:$A,$A29)</f>
        <v>0</v>
      </c>
      <c r="O29" s="13">
        <f>COUNTIFS('Card Data'!$J:$J,O$2,'Card Data'!$A:$A,$A29)</f>
        <v>9</v>
      </c>
      <c r="P29" s="13">
        <f>COUNTIFS('Card Data'!$J:$J,P$2,'Card Data'!$A:$A,$A29)</f>
        <v>0</v>
      </c>
      <c r="Q29" s="13">
        <f>COUNTIFS('Card Data'!$J:$J,Q$2,'Card Data'!$A:$A,$A29)</f>
        <v>0</v>
      </c>
      <c r="R29" s="13">
        <f>COUNTIFS('Card Data'!$J:$J,R$2,'Card Data'!$A:$A,$A29)</f>
        <v>7</v>
      </c>
      <c r="S29" s="13">
        <f>COUNTIFS('Card Data'!$J:$J,S$2,'Card Data'!$A:$A,$A29)</f>
        <v>17</v>
      </c>
      <c r="T29" s="13">
        <f>COUNTIFS('Card Data'!$J:$J,T$2,'Card Data'!$A:$A,$A29)</f>
        <v>7</v>
      </c>
      <c r="U29" s="15"/>
      <c r="V29" s="13">
        <f>COUNTIFS('Card Data'!$K:$K,V$2,'Card Data'!$A:$A,$A29)</f>
        <v>0</v>
      </c>
      <c r="W29" s="13">
        <f>COUNTIFS('Card Data'!$K:$K,W$2,'Card Data'!$A:$A,$A29)</f>
        <v>0</v>
      </c>
      <c r="X29" s="13">
        <f>COUNTIFS('Card Data'!$K:$K,X$2,'Card Data'!$A:$A,$A29)</f>
        <v>0</v>
      </c>
      <c r="Y29" s="13">
        <f>COUNTIFS('Card Data'!$K:$K,Y$2,'Card Data'!$A:$A,$A29)</f>
        <v>0</v>
      </c>
      <c r="Z29" s="13">
        <f>COUNTIFS('Card Data'!$K:$K,Z$2,'Card Data'!$A:$A,$A29)</f>
        <v>0</v>
      </c>
      <c r="AA29" s="13">
        <f>COUNTIFS('Card Data'!$K:$K,AA$2,'Card Data'!$A:$A,$A29)</f>
        <v>9</v>
      </c>
    </row>
    <row r="30" spans="1:27">
      <c r="A30" s="166" t="s">
        <v>5461</v>
      </c>
      <c r="B30" s="166" t="s">
        <v>5462</v>
      </c>
      <c r="C30" s="167" t="s">
        <v>174</v>
      </c>
      <c r="D30" s="166"/>
      <c r="E30" s="166" t="s">
        <v>5463</v>
      </c>
      <c r="G30" s="13">
        <f>SUMIF('Card Data'!$A:$A,$A30,'Card Data'!$E:$E)</f>
        <v>105</v>
      </c>
      <c r="H30" s="13">
        <f>SUMIFS('Card Data'!$E:$E,'Card Data'!$A:$A,$A30,'Card Data'!$K:$K,"&lt;&gt;",'Card Data'!$J:$J,"&lt;&gt;Investigator")-SUMIFS('Card Data'!$E:$E,'Card Data'!$A:$A,$A30,'Card Data'!$K:$K,"&lt;&gt;",'Card Data'!$J:$J,"Mini")</f>
        <v>105</v>
      </c>
      <c r="I30" s="13">
        <f>SUMIFS('Card Data'!$E:$E,'Card Data'!$A:$A,$A30,'Card Data'!$K:$K,"",'Card Data'!$J:$J,"&lt;&gt;Campaign")+SUMIFS('Card Data'!$E:$E,'Card Data'!$A:$A,$A30,'Card Data'!$K:$K,"Mythos")-J30</f>
        <v>78</v>
      </c>
      <c r="J30" s="13">
        <f>SUMIFS('Card Data'!$E:$E,'Card Data'!$J:$J,J$2,'Card Data'!$A:$A,$A30,'Card Data'!$AD:$AD,"&lt;&gt;*Side Quest.*")</f>
        <v>3</v>
      </c>
      <c r="K30" s="13">
        <f>COUNTIFS('Card Data'!$J:$J,K$2,'Card Data'!$A:$A,$A30,'Card Data'!$AD:$AD,"&lt;&gt;*Side Quest.*")</f>
        <v>1</v>
      </c>
      <c r="L30" s="13">
        <f>COUNTIFS('Card Data'!$J:$J,L$2,'Card Data'!$A:$A,$A30,'Card Data'!$AD:$AD,"&lt;&gt;*Side Quest.*")</f>
        <v>8</v>
      </c>
      <c r="M30" s="15"/>
      <c r="N30" s="13">
        <f>COUNTIFS('Card Data'!$J:$J,N$2,'Card Data'!$A:$A,$A30)</f>
        <v>0</v>
      </c>
      <c r="O30" s="13">
        <f>COUNTIFS('Card Data'!$J:$J,O$2,'Card Data'!$A:$A,$A30)</f>
        <v>7</v>
      </c>
      <c r="P30" s="13">
        <f>COUNTIFS('Card Data'!$J:$J,P$2,'Card Data'!$A:$A,$A30)</f>
        <v>4</v>
      </c>
      <c r="Q30" s="13">
        <f>COUNTIFS('Card Data'!$J:$J,Q$2,'Card Data'!$A:$A,$A30)</f>
        <v>1</v>
      </c>
      <c r="R30" s="13">
        <f>COUNTIFS('Card Data'!$J:$J,R$2,'Card Data'!$A:$A,$A30)</f>
        <v>9</v>
      </c>
      <c r="S30" s="13">
        <f>COUNTIFS('Card Data'!$J:$J,S$2,'Card Data'!$A:$A,$A30)</f>
        <v>23</v>
      </c>
      <c r="T30" s="13">
        <f>COUNTIFS('Card Data'!$J:$J,T$2,'Card Data'!$A:$A,$A30)</f>
        <v>17</v>
      </c>
      <c r="U30" s="15"/>
      <c r="V30" s="13">
        <f>COUNTIFS('Card Data'!$K:$K,V$2,'Card Data'!$A:$A,$A30)</f>
        <v>2</v>
      </c>
      <c r="W30" s="13">
        <f>COUNTIFS('Card Data'!$K:$K,W$2,'Card Data'!$A:$A,$A30)</f>
        <v>2</v>
      </c>
      <c r="X30" s="13">
        <f>COUNTIFS('Card Data'!$K:$K,X$2,'Card Data'!$A:$A,$A30)</f>
        <v>2</v>
      </c>
      <c r="Y30" s="13">
        <f>COUNTIFS('Card Data'!$K:$K,Y$2,'Card Data'!$A:$A,$A30)</f>
        <v>2</v>
      </c>
      <c r="Z30" s="13">
        <f>COUNTIFS('Card Data'!$K:$K,Z$2,'Card Data'!$A:$A,$A30)</f>
        <v>2</v>
      </c>
      <c r="AA30" s="13">
        <f>COUNTIFS('Card Data'!$K:$K,AA$2,'Card Data'!$A:$A,$A30)</f>
        <v>3</v>
      </c>
    </row>
    <row r="31" spans="1:27">
      <c r="A31" s="190" t="s">
        <v>5693</v>
      </c>
      <c r="B31" s="39" t="s">
        <v>5853</v>
      </c>
      <c r="C31" s="138" t="s">
        <v>174</v>
      </c>
      <c r="D31" s="39"/>
      <c r="E31" s="39" t="s">
        <v>5854</v>
      </c>
      <c r="G31" s="13">
        <f>SUMIF('Card Data'!$A:$A,$A31,'Card Data'!$E:$E)</f>
        <v>71</v>
      </c>
      <c r="H31" s="13">
        <f>SUMIFS('Card Data'!$E:$E,'Card Data'!$A:$A,$A31,'Card Data'!$K:$K,"&lt;&gt;",'Card Data'!$J:$J,"&lt;&gt;Investigator")-SUMIFS('Card Data'!$E:$E,'Card Data'!$A:$A,$A31,'Card Data'!$K:$K,"&lt;&gt;",'Card Data'!$J:$J,"Mini")</f>
        <v>59</v>
      </c>
      <c r="I31" s="13">
        <f>SUMIFS('Card Data'!$E:$E,'Card Data'!$A:$A,$A31,'Card Data'!$K:$K,"",'Card Data'!$J:$J,"&lt;&gt;Campaign")+SUMIFS('Card Data'!$E:$E,'Card Data'!$A:$A,$A31,'Card Data'!$K:$K,"Mythos")-J31</f>
        <v>2</v>
      </c>
      <c r="J31" s="13">
        <f>SUMIFS('Card Data'!$E:$E,'Card Data'!$J:$J,J$2,'Card Data'!$A:$A,$A31,'Card Data'!$AD:$AD,"&lt;&gt;*Side Quest.*")</f>
        <v>0</v>
      </c>
      <c r="K31" s="13">
        <f>COUNTIFS('Card Data'!$J:$J,K$2,'Card Data'!$A:$A,$A31,'Card Data'!$AD:$AD,"&lt;&gt;*Side Quest.*")</f>
        <v>0</v>
      </c>
      <c r="L31" s="13">
        <f>COUNTIFS('Card Data'!$J:$J,L$2,'Card Data'!$A:$A,$A31,'Card Data'!$AD:$AD,"&lt;&gt;*Side Quest.*")</f>
        <v>0</v>
      </c>
      <c r="M31" s="15"/>
      <c r="N31" s="13">
        <f>COUNTIFS('Card Data'!$J:$J,N$2,'Card Data'!$A:$A,$A31)</f>
        <v>6</v>
      </c>
      <c r="O31" s="13">
        <f>COUNTIFS('Card Data'!$J:$J,O$2,'Card Data'!$A:$A,$A31)</f>
        <v>15</v>
      </c>
      <c r="P31" s="13">
        <f>COUNTIFS('Card Data'!$J:$J,P$2,'Card Data'!$A:$A,$A31)</f>
        <v>13</v>
      </c>
      <c r="Q31" s="13">
        <f>COUNTIFS('Card Data'!$J:$J,Q$2,'Card Data'!$A:$A,$A31)</f>
        <v>4</v>
      </c>
      <c r="R31" s="13">
        <f>COUNTIFS('Card Data'!$J:$J,R$2,'Card Data'!$A:$A,$A31)</f>
        <v>1</v>
      </c>
      <c r="S31" s="13">
        <f>COUNTIFS('Card Data'!$J:$J,S$2,'Card Data'!$A:$A,$A31)</f>
        <v>0</v>
      </c>
      <c r="T31" s="13">
        <f>COUNTIFS('Card Data'!$J:$J,T$2,'Card Data'!$A:$A,$A31)</f>
        <v>3</v>
      </c>
      <c r="U31" s="15"/>
      <c r="V31" s="13">
        <f>COUNTIFS('Card Data'!$K:$K,V$2,'Card Data'!$A:$A,$A31)</f>
        <v>6</v>
      </c>
      <c r="W31" s="13">
        <f>COUNTIFS('Card Data'!$K:$K,W$2,'Card Data'!$A:$A,$A31)</f>
        <v>6</v>
      </c>
      <c r="X31" s="13">
        <f>COUNTIFS('Card Data'!$K:$K,X$2,'Card Data'!$A:$A,$A31)</f>
        <v>6</v>
      </c>
      <c r="Y31" s="13">
        <f>COUNTIFS('Card Data'!$K:$K,Y$2,'Card Data'!$A:$A,$A31)</f>
        <v>8</v>
      </c>
      <c r="Z31" s="13">
        <f>COUNTIFS('Card Data'!$K:$K,Z$2,'Card Data'!$A:$A,$A31)</f>
        <v>6</v>
      </c>
      <c r="AA31" s="13">
        <f>COUNTIFS('Card Data'!$K:$K,AA$2,'Card Data'!$A:$A,$A31)</f>
        <v>15</v>
      </c>
    </row>
  </sheetData>
  <mergeCells count="3">
    <mergeCell ref="G1:J1"/>
    <mergeCell ref="N1:T1"/>
    <mergeCell ref="V1:AA1"/>
  </mergeCells>
  <conditionalFormatting sqref="V2">
    <cfRule type="cellIs" dxfId="2410" priority="29" operator="equal">
      <formula>"Fellowship"</formula>
    </cfRule>
    <cfRule type="cellIs" dxfId="2409" priority="30" operator="equal">
      <formula>"Neutral"</formula>
    </cfRule>
    <cfRule type="cellIs" dxfId="2408" priority="31" operator="equal">
      <formula>"Baggins"</formula>
    </cfRule>
    <cfRule type="cellIs" dxfId="2407" priority="32" operator="equal">
      <formula>"Lore"</formula>
    </cfRule>
    <cfRule type="cellIs" dxfId="2406" priority="33" operator="equal">
      <formula>"Spirit"</formula>
    </cfRule>
    <cfRule type="cellIs" dxfId="2405" priority="34" operator="equal">
      <formula>"Tactics"</formula>
    </cfRule>
    <cfRule type="cellIs" dxfId="2404" priority="35" operator="equal">
      <formula>"Leadership"</formula>
    </cfRule>
  </conditionalFormatting>
  <conditionalFormatting sqref="W2">
    <cfRule type="cellIs" dxfId="2403" priority="22" operator="equal">
      <formula>"Fellowship"</formula>
    </cfRule>
    <cfRule type="cellIs" dxfId="2402" priority="23" operator="equal">
      <formula>"Neutral"</formula>
    </cfRule>
    <cfRule type="cellIs" dxfId="2401" priority="24" operator="equal">
      <formula>"Baggins"</formula>
    </cfRule>
    <cfRule type="cellIs" dxfId="2400" priority="25" operator="equal">
      <formula>"Lore"</formula>
    </cfRule>
    <cfRule type="cellIs" dxfId="2399" priority="26" operator="equal">
      <formula>"Spirit"</formula>
    </cfRule>
    <cfRule type="cellIs" dxfId="2398" priority="27" operator="equal">
      <formula>"Tactics"</formula>
    </cfRule>
    <cfRule type="cellIs" dxfId="2397" priority="28" operator="equal">
      <formula>"Leadership"</formula>
    </cfRule>
  </conditionalFormatting>
  <conditionalFormatting sqref="X2">
    <cfRule type="cellIs" dxfId="2396" priority="15" operator="equal">
      <formula>"Fellowship"</formula>
    </cfRule>
    <cfRule type="cellIs" dxfId="2395" priority="16" operator="equal">
      <formula>"Neutral"</formula>
    </cfRule>
    <cfRule type="cellIs" dxfId="2394" priority="17" operator="equal">
      <formula>"Baggins"</formula>
    </cfRule>
    <cfRule type="cellIs" dxfId="2393" priority="18" operator="equal">
      <formula>"Lore"</formula>
    </cfRule>
    <cfRule type="cellIs" dxfId="2392" priority="19" operator="equal">
      <formula>"Spirit"</formula>
    </cfRule>
    <cfRule type="cellIs" dxfId="2391" priority="20" operator="equal">
      <formula>"Tactics"</formula>
    </cfRule>
    <cfRule type="cellIs" dxfId="2390" priority="21" operator="equal">
      <formula>"Leadership"</formula>
    </cfRule>
  </conditionalFormatting>
  <conditionalFormatting sqref="Y2:Z2">
    <cfRule type="cellIs" dxfId="2389" priority="8" operator="equal">
      <formula>"Fellowship"</formula>
    </cfRule>
    <cfRule type="cellIs" dxfId="2388" priority="9" operator="equal">
      <formula>"Neutral"</formula>
    </cfRule>
    <cfRule type="cellIs" dxfId="2387" priority="10" operator="equal">
      <formula>"Baggins"</formula>
    </cfRule>
    <cfRule type="cellIs" dxfId="2386" priority="11" operator="equal">
      <formula>"Lore"</formula>
    </cfRule>
    <cfRule type="cellIs" dxfId="2385" priority="12" operator="equal">
      <formula>"Spirit"</formula>
    </cfRule>
    <cfRule type="cellIs" dxfId="2384" priority="13" operator="equal">
      <formula>"Tactics"</formula>
    </cfRule>
    <cfRule type="cellIs" dxfId="2383" priority="14" operator="equal">
      <formula>"Leadership"</formula>
    </cfRule>
  </conditionalFormatting>
  <conditionalFormatting sqref="AA2">
    <cfRule type="cellIs" dxfId="2382" priority="1" operator="equal">
      <formula>"Fellowship"</formula>
    </cfRule>
    <cfRule type="cellIs" dxfId="2381" priority="2" operator="equal">
      <formula>"Neutral"</formula>
    </cfRule>
    <cfRule type="cellIs" dxfId="2380" priority="3" operator="equal">
      <formula>"Baggins"</formula>
    </cfRule>
    <cfRule type="cellIs" dxfId="2379" priority="4" operator="equal">
      <formula>"Lore"</formula>
    </cfRule>
    <cfRule type="cellIs" dxfId="2378" priority="5" operator="equal">
      <formula>"Spirit"</formula>
    </cfRule>
    <cfRule type="cellIs" dxfId="2377" priority="6" operator="equal">
      <formula>"Tactics"</formula>
    </cfRule>
    <cfRule type="cellIs" dxfId="2376"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U1557"/>
  <sheetViews>
    <sheetView zoomScale="85" zoomScaleNormal="85" workbookViewId="0">
      <pane xSplit="7" ySplit="1" topLeftCell="H1524" activePane="bottomRight" state="frozen"/>
      <selection activeCell="E1" sqref="E1"/>
      <selection pane="topRight" activeCell="F1" sqref="F1"/>
      <selection pane="bottomLeft" activeCell="E2" sqref="E2"/>
      <selection pane="bottomRight" activeCell="A1558" sqref="A1558"/>
    </sheetView>
  </sheetViews>
  <sheetFormatPr defaultColWidth="9.140625" defaultRowHeight="15" customHeight="1" outlineLevelCol="1"/>
  <cols>
    <col min="1" max="1" width="38" style="23" customWidth="1" outlineLevel="1"/>
    <col min="2" max="2" width="42.85546875" style="23" customWidth="1" outlineLevel="1"/>
    <col min="3" max="3" width="4.5703125" style="23" customWidth="1" outlineLevel="1"/>
    <col min="4" max="4" width="4" style="24" bestFit="1" customWidth="1"/>
    <col min="5" max="5" width="3.28515625" style="23" bestFit="1" customWidth="1"/>
    <col min="6" max="6" width="37.28515625" style="23" customWidth="1"/>
    <col min="7" max="7" width="30.140625" style="23" bestFit="1" customWidth="1"/>
    <col min="8" max="8" width="17" style="23" customWidth="1"/>
    <col min="9" max="9" width="3.140625" style="23" customWidth="1"/>
    <col min="10" max="10" width="10.42578125" style="23" bestFit="1" customWidth="1"/>
    <col min="11" max="11" width="9.5703125" style="23" customWidth="1"/>
    <col min="12" max="12" width="6.5703125" style="23" customWidth="1"/>
    <col min="13" max="13" width="13.85546875" style="23" customWidth="1"/>
    <col min="14" max="14" width="3.140625" style="62" customWidth="1"/>
    <col min="15" max="15" width="3.140625" style="63" customWidth="1"/>
    <col min="16" max="16" width="3.140625" style="64" customWidth="1"/>
    <col min="17" max="17" width="3.140625" style="65" customWidth="1"/>
    <col min="18" max="18" width="3.140625" style="66" customWidth="1"/>
    <col min="19" max="19" width="3.140625" style="113" customWidth="1"/>
    <col min="20" max="20" width="3.140625" style="68" customWidth="1"/>
    <col min="21" max="21" width="3.140625" style="63" customWidth="1"/>
    <col min="22" max="22" width="3.140625" style="69" customWidth="1"/>
    <col min="23" max="23" width="3.140625" style="70" customWidth="1"/>
    <col min="24" max="24" width="3.140625" style="71" customWidth="1"/>
    <col min="25" max="25" width="3.140625" style="66" customWidth="1"/>
    <col min="26" max="26" width="3.140625" style="68" customWidth="1"/>
    <col min="27" max="27" width="3.140625" style="72" customWidth="1"/>
    <col min="28" max="28" width="9.42578125" style="23" customWidth="1"/>
    <col min="29" max="29" width="8.7109375" style="23" customWidth="1"/>
    <col min="30" max="30" width="16.140625" style="23" customWidth="1"/>
    <col min="31" max="31" width="21.140625" style="24" customWidth="1"/>
    <col min="32" max="32" width="49.5703125" style="23" customWidth="1"/>
    <col min="33" max="33" width="6.42578125" style="23" customWidth="1"/>
    <col min="34" max="34" width="4.5703125" style="23" customWidth="1"/>
    <col min="35" max="35" width="30.140625" style="23" customWidth="1"/>
    <col min="36" max="36" width="17.7109375" style="23" customWidth="1"/>
    <col min="37" max="37" width="3.140625" style="23" customWidth="1"/>
    <col min="38" max="38" width="10.42578125" style="23" customWidth="1"/>
    <col min="39" max="39" width="9.5703125" style="23" customWidth="1"/>
    <col min="40" max="40" width="5.5703125" style="23" customWidth="1"/>
    <col min="41" max="41" width="8.140625" style="23" customWidth="1"/>
    <col min="42" max="42" width="3.140625" style="62" customWidth="1"/>
    <col min="43" max="43" width="3.140625" style="63" customWidth="1"/>
    <col min="44" max="44" width="3.140625" style="64" customWidth="1"/>
    <col min="45" max="45" width="3.140625" style="65" customWidth="1"/>
    <col min="46" max="46" width="3.140625" style="66" customWidth="1"/>
    <col min="47" max="47" width="3.140625" style="68" customWidth="1"/>
    <col min="48" max="48" width="3.140625" style="63" customWidth="1"/>
    <col min="49" max="49" width="3.140625" style="69" customWidth="1"/>
    <col min="50" max="50" width="3.140625" style="70" customWidth="1"/>
    <col min="51" max="51" width="3.140625" style="71" customWidth="1"/>
    <col min="52" max="52" width="3.140625" style="66" customWidth="1"/>
    <col min="53" max="53" width="3.140625" style="68" customWidth="1"/>
    <col min="54" max="54" width="3.140625" style="72" customWidth="1"/>
    <col min="55" max="55" width="12.7109375" style="23" customWidth="1"/>
    <col min="56" max="56" width="10" style="23" customWidth="1"/>
    <col min="57" max="57" width="11.42578125" style="23" customWidth="1"/>
    <col min="58" max="58" width="22.85546875" style="24" customWidth="1"/>
    <col min="59" max="59" width="49.5703125" style="23" customWidth="1"/>
    <col min="60" max="60" width="8.5703125" style="23" customWidth="1"/>
    <col min="61" max="61" width="7.5703125" style="23" customWidth="1"/>
    <col min="62" max="62" width="13.28515625" style="23" bestFit="1" customWidth="1"/>
    <col min="63" max="16384" width="9.140625" style="23"/>
  </cols>
  <sheetData>
    <row r="1" spans="1:62" s="44" customFormat="1" ht="15" customHeight="1">
      <c r="A1" s="46" t="s">
        <v>0</v>
      </c>
      <c r="B1" s="46" t="s">
        <v>1</v>
      </c>
      <c r="C1" s="44" t="s">
        <v>55</v>
      </c>
      <c r="D1" s="45" t="s">
        <v>56</v>
      </c>
      <c r="E1" s="44" t="s">
        <v>19</v>
      </c>
      <c r="F1" s="46" t="s">
        <v>18</v>
      </c>
      <c r="G1" s="46" t="s">
        <v>2</v>
      </c>
      <c r="H1" s="46" t="s">
        <v>226</v>
      </c>
      <c r="I1" s="44" t="s">
        <v>3</v>
      </c>
      <c r="J1" s="46" t="s">
        <v>4</v>
      </c>
      <c r="K1" s="46" t="s">
        <v>225</v>
      </c>
      <c r="L1" s="46" t="s">
        <v>229</v>
      </c>
      <c r="M1" s="46" t="s">
        <v>233</v>
      </c>
      <c r="N1" s="56" t="s">
        <v>8</v>
      </c>
      <c r="O1" s="57" t="s">
        <v>11</v>
      </c>
      <c r="P1" s="57" t="s">
        <v>231</v>
      </c>
      <c r="Q1" s="57" t="s">
        <v>179</v>
      </c>
      <c r="R1" s="58" t="s">
        <v>232</v>
      </c>
      <c r="S1" s="58" t="s">
        <v>1113</v>
      </c>
      <c r="T1" s="58" t="s">
        <v>14</v>
      </c>
      <c r="U1" s="57" t="s">
        <v>234</v>
      </c>
      <c r="V1" s="57" t="s">
        <v>147</v>
      </c>
      <c r="W1" s="57" t="s">
        <v>235</v>
      </c>
      <c r="X1" s="57" t="s">
        <v>236</v>
      </c>
      <c r="Y1" s="58" t="s">
        <v>643</v>
      </c>
      <c r="Z1" s="58" t="s">
        <v>237</v>
      </c>
      <c r="AA1" s="57" t="s">
        <v>20</v>
      </c>
      <c r="AB1" s="46" t="s">
        <v>230</v>
      </c>
      <c r="AC1" s="46" t="s">
        <v>642</v>
      </c>
      <c r="AD1" s="46" t="s">
        <v>6</v>
      </c>
      <c r="AE1" s="47" t="s">
        <v>7</v>
      </c>
      <c r="AF1" s="46" t="s">
        <v>15</v>
      </c>
      <c r="AG1" s="46" t="s">
        <v>238</v>
      </c>
      <c r="AH1" s="46" t="s">
        <v>21</v>
      </c>
      <c r="AI1" s="48" t="s">
        <v>22</v>
      </c>
      <c r="AJ1" s="48" t="s">
        <v>226</v>
      </c>
      <c r="AK1" s="49" t="s">
        <v>3</v>
      </c>
      <c r="AL1" s="48" t="s">
        <v>4</v>
      </c>
      <c r="AM1" s="48" t="s">
        <v>225</v>
      </c>
      <c r="AN1" s="48" t="s">
        <v>229</v>
      </c>
      <c r="AO1" s="48" t="s">
        <v>233</v>
      </c>
      <c r="AP1" s="59" t="s">
        <v>8</v>
      </c>
      <c r="AQ1" s="60" t="s">
        <v>11</v>
      </c>
      <c r="AR1" s="60" t="s">
        <v>231</v>
      </c>
      <c r="AS1" s="60" t="s">
        <v>179</v>
      </c>
      <c r="AT1" s="61" t="s">
        <v>232</v>
      </c>
      <c r="AU1" s="61" t="s">
        <v>14</v>
      </c>
      <c r="AV1" s="60" t="s">
        <v>234</v>
      </c>
      <c r="AW1" s="60" t="s">
        <v>147</v>
      </c>
      <c r="AX1" s="60" t="s">
        <v>235</v>
      </c>
      <c r="AY1" s="60" t="s">
        <v>236</v>
      </c>
      <c r="AZ1" s="61" t="s">
        <v>643</v>
      </c>
      <c r="BA1" s="61" t="s">
        <v>237</v>
      </c>
      <c r="BB1" s="60" t="s">
        <v>20</v>
      </c>
      <c r="BC1" s="48" t="s">
        <v>230</v>
      </c>
      <c r="BD1" s="48" t="s">
        <v>642</v>
      </c>
      <c r="BE1" s="48" t="s">
        <v>6</v>
      </c>
      <c r="BF1" s="50" t="s">
        <v>7</v>
      </c>
      <c r="BG1" s="48" t="s">
        <v>15</v>
      </c>
      <c r="BH1" s="48" t="s">
        <v>238</v>
      </c>
      <c r="BI1" s="48" t="s">
        <v>21</v>
      </c>
      <c r="BJ1" s="51" t="s">
        <v>644</v>
      </c>
    </row>
    <row r="2" spans="1:62" ht="15" customHeight="1">
      <c r="A2" s="26" t="s">
        <v>183</v>
      </c>
      <c r="B2" s="26" t="s">
        <v>494</v>
      </c>
      <c r="C2" s="26" t="s">
        <v>57</v>
      </c>
      <c r="D2" s="27">
        <v>1</v>
      </c>
      <c r="E2" s="26">
        <v>1</v>
      </c>
      <c r="F2" s="26"/>
      <c r="G2" s="26" t="s">
        <v>184</v>
      </c>
      <c r="H2" s="28" t="s">
        <v>227</v>
      </c>
      <c r="I2" s="23" t="s">
        <v>223</v>
      </c>
      <c r="J2" s="23" t="s">
        <v>203</v>
      </c>
      <c r="K2" s="23" t="s">
        <v>198</v>
      </c>
      <c r="O2" s="63">
        <v>3</v>
      </c>
      <c r="P2" s="64">
        <v>3</v>
      </c>
      <c r="Q2" s="65">
        <v>4</v>
      </c>
      <c r="R2" s="66">
        <v>2</v>
      </c>
      <c r="T2" s="68">
        <v>9</v>
      </c>
      <c r="U2" s="63">
        <v>5</v>
      </c>
      <c r="AB2" s="42"/>
      <c r="AD2" s="23" t="s">
        <v>228</v>
      </c>
      <c r="AF2" s="23" t="s">
        <v>239</v>
      </c>
      <c r="AI2" s="28" t="s">
        <v>184</v>
      </c>
      <c r="AJ2" s="28" t="s">
        <v>227</v>
      </c>
      <c r="AK2" s="23" t="s">
        <v>223</v>
      </c>
      <c r="AL2" s="23" t="s">
        <v>203</v>
      </c>
      <c r="AM2" s="23" t="s">
        <v>198</v>
      </c>
      <c r="AO2" s="24"/>
      <c r="BE2" s="24"/>
      <c r="BF2" s="23"/>
    </row>
    <row r="3" spans="1:62" ht="15" customHeight="1">
      <c r="A3" s="23" t="s">
        <v>183</v>
      </c>
      <c r="B3" s="23" t="s">
        <v>495</v>
      </c>
      <c r="C3" s="23" t="s">
        <v>57</v>
      </c>
      <c r="D3" s="24">
        <v>2</v>
      </c>
      <c r="E3" s="23">
        <v>1</v>
      </c>
      <c r="G3" s="23" t="s">
        <v>240</v>
      </c>
      <c r="H3" s="23" t="s">
        <v>241</v>
      </c>
      <c r="I3" s="23" t="s">
        <v>223</v>
      </c>
      <c r="J3" s="23" t="s">
        <v>203</v>
      </c>
      <c r="K3" s="23" t="s">
        <v>199</v>
      </c>
      <c r="O3" s="63">
        <v>3</v>
      </c>
      <c r="P3" s="64">
        <v>5</v>
      </c>
      <c r="Q3" s="65">
        <v>2</v>
      </c>
      <c r="R3" s="66">
        <v>2</v>
      </c>
      <c r="T3" s="68">
        <v>5</v>
      </c>
      <c r="U3" s="63">
        <v>9</v>
      </c>
      <c r="AB3" s="42"/>
      <c r="AD3" s="23" t="s">
        <v>242</v>
      </c>
      <c r="AF3" s="23" t="s">
        <v>243</v>
      </c>
      <c r="AI3" s="23" t="s">
        <v>240</v>
      </c>
      <c r="AJ3" s="23" t="s">
        <v>241</v>
      </c>
      <c r="AK3" s="23" t="s">
        <v>223</v>
      </c>
      <c r="AL3" s="23" t="s">
        <v>203</v>
      </c>
      <c r="AM3" s="23" t="s">
        <v>199</v>
      </c>
      <c r="AO3" s="24"/>
      <c r="BE3" s="24"/>
      <c r="BF3" s="23"/>
    </row>
    <row r="4" spans="1:62" ht="15" customHeight="1">
      <c r="A4" s="23" t="s">
        <v>183</v>
      </c>
      <c r="B4" s="23" t="s">
        <v>496</v>
      </c>
      <c r="C4" s="23" t="s">
        <v>57</v>
      </c>
      <c r="D4" s="24">
        <v>3</v>
      </c>
      <c r="E4" s="23">
        <v>1</v>
      </c>
      <c r="G4" s="23" t="s">
        <v>244</v>
      </c>
      <c r="H4" s="23" t="s">
        <v>245</v>
      </c>
      <c r="I4" s="23" t="s">
        <v>223</v>
      </c>
      <c r="J4" s="23" t="s">
        <v>203</v>
      </c>
      <c r="K4" s="23" t="s">
        <v>201</v>
      </c>
      <c r="O4" s="63">
        <v>2</v>
      </c>
      <c r="P4" s="64">
        <v>3</v>
      </c>
      <c r="Q4" s="65">
        <v>3</v>
      </c>
      <c r="R4" s="66">
        <v>4</v>
      </c>
      <c r="T4" s="68">
        <v>8</v>
      </c>
      <c r="U4" s="63">
        <v>6</v>
      </c>
      <c r="AB4" s="42"/>
      <c r="AD4" s="23" t="s">
        <v>246</v>
      </c>
      <c r="AF4" s="23" t="s">
        <v>247</v>
      </c>
      <c r="AI4" s="23" t="s">
        <v>244</v>
      </c>
      <c r="AJ4" s="23" t="s">
        <v>245</v>
      </c>
      <c r="AK4" s="23" t="s">
        <v>223</v>
      </c>
      <c r="AL4" s="23" t="s">
        <v>203</v>
      </c>
      <c r="AM4" s="23" t="s">
        <v>201</v>
      </c>
      <c r="AO4" s="24"/>
      <c r="BE4" s="24"/>
      <c r="BF4" s="23"/>
    </row>
    <row r="5" spans="1:62" ht="15" customHeight="1">
      <c r="A5" s="23" t="s">
        <v>183</v>
      </c>
      <c r="B5" s="23" t="s">
        <v>497</v>
      </c>
      <c r="C5" s="23" t="s">
        <v>57</v>
      </c>
      <c r="D5" s="24">
        <v>4</v>
      </c>
      <c r="E5" s="23">
        <v>1</v>
      </c>
      <c r="G5" s="23" t="s">
        <v>248</v>
      </c>
      <c r="H5" s="23" t="s">
        <v>249</v>
      </c>
      <c r="I5" s="23" t="s">
        <v>223</v>
      </c>
      <c r="J5" s="23" t="s">
        <v>203</v>
      </c>
      <c r="K5" s="23" t="s">
        <v>200</v>
      </c>
      <c r="O5" s="63">
        <v>5</v>
      </c>
      <c r="P5" s="64">
        <v>2</v>
      </c>
      <c r="Q5" s="65">
        <v>2</v>
      </c>
      <c r="R5" s="66">
        <v>3</v>
      </c>
      <c r="T5" s="68">
        <v>6</v>
      </c>
      <c r="U5" s="63">
        <v>8</v>
      </c>
      <c r="AB5" s="42"/>
      <c r="AD5" s="23" t="s">
        <v>250</v>
      </c>
      <c r="AF5" s="23" t="s">
        <v>251</v>
      </c>
      <c r="AI5" s="23" t="s">
        <v>248</v>
      </c>
      <c r="AJ5" s="23" t="s">
        <v>249</v>
      </c>
      <c r="AK5" s="23" t="s">
        <v>223</v>
      </c>
      <c r="AL5" s="23" t="s">
        <v>203</v>
      </c>
      <c r="AM5" s="23" t="s">
        <v>200</v>
      </c>
      <c r="AO5" s="24"/>
      <c r="BE5" s="24"/>
      <c r="BF5" s="23"/>
    </row>
    <row r="6" spans="1:62" ht="15" customHeight="1">
      <c r="A6" s="23" t="s">
        <v>183</v>
      </c>
      <c r="B6" s="23" t="s">
        <v>498</v>
      </c>
      <c r="C6" s="23" t="s">
        <v>57</v>
      </c>
      <c r="D6" s="23">
        <v>5</v>
      </c>
      <c r="E6" s="23">
        <v>1</v>
      </c>
      <c r="G6" s="23" t="s">
        <v>252</v>
      </c>
      <c r="H6" s="23" t="s">
        <v>253</v>
      </c>
      <c r="I6" s="23" t="s">
        <v>223</v>
      </c>
      <c r="J6" s="23" t="s">
        <v>203</v>
      </c>
      <c r="K6" s="23" t="s">
        <v>202</v>
      </c>
      <c r="N6" s="73"/>
      <c r="O6" s="63">
        <v>4</v>
      </c>
      <c r="P6" s="64">
        <v>3</v>
      </c>
      <c r="Q6" s="65">
        <v>1</v>
      </c>
      <c r="R6" s="66">
        <v>4</v>
      </c>
      <c r="T6" s="68">
        <v>7</v>
      </c>
      <c r="U6" s="63">
        <v>7</v>
      </c>
      <c r="AB6" s="42"/>
      <c r="AD6" s="23" t="s">
        <v>254</v>
      </c>
      <c r="AE6" s="23"/>
      <c r="AF6" s="23" t="s">
        <v>255</v>
      </c>
      <c r="AI6" s="23" t="s">
        <v>252</v>
      </c>
      <c r="AJ6" s="23" t="s">
        <v>253</v>
      </c>
      <c r="AK6" s="23" t="s">
        <v>223</v>
      </c>
      <c r="AL6" s="23" t="s">
        <v>203</v>
      </c>
      <c r="AM6" s="23" t="s">
        <v>202</v>
      </c>
      <c r="AO6" s="24"/>
      <c r="AP6" s="73"/>
      <c r="BE6" s="24"/>
      <c r="BF6" s="23"/>
    </row>
    <row r="7" spans="1:62" ht="15" customHeight="1">
      <c r="A7" s="23" t="s">
        <v>183</v>
      </c>
      <c r="B7" s="23" t="s">
        <v>499</v>
      </c>
      <c r="C7" s="23" t="s">
        <v>57</v>
      </c>
      <c r="D7" s="23">
        <v>6</v>
      </c>
      <c r="E7" s="23">
        <v>1</v>
      </c>
      <c r="G7" s="23" t="s">
        <v>256</v>
      </c>
      <c r="I7" s="23" t="s">
        <v>223</v>
      </c>
      <c r="J7" s="23" t="s">
        <v>257</v>
      </c>
      <c r="K7" s="23" t="s">
        <v>26</v>
      </c>
      <c r="N7" s="73">
        <v>3</v>
      </c>
      <c r="Q7" s="65">
        <v>1</v>
      </c>
      <c r="R7" s="66">
        <v>1</v>
      </c>
      <c r="S7" s="113">
        <v>1</v>
      </c>
      <c r="AB7" s="52" t="s">
        <v>1078</v>
      </c>
      <c r="AC7" s="23" t="s">
        <v>258</v>
      </c>
      <c r="AD7" s="23" t="s">
        <v>259</v>
      </c>
      <c r="AE7" s="23"/>
      <c r="AF7" s="23" t="s">
        <v>260</v>
      </c>
      <c r="AO7" s="24"/>
      <c r="AP7" s="73"/>
      <c r="BE7" s="24"/>
      <c r="BF7" s="23"/>
    </row>
    <row r="8" spans="1:62" ht="15" customHeight="1">
      <c r="A8" s="23" t="s">
        <v>183</v>
      </c>
      <c r="B8" s="23" t="s">
        <v>500</v>
      </c>
      <c r="C8" s="23" t="s">
        <v>57</v>
      </c>
      <c r="D8" s="23">
        <v>7</v>
      </c>
      <c r="E8" s="23">
        <v>1</v>
      </c>
      <c r="G8" s="23" t="s">
        <v>261</v>
      </c>
      <c r="J8" s="23" t="s">
        <v>28</v>
      </c>
      <c r="K8" s="23" t="s">
        <v>26</v>
      </c>
      <c r="M8" s="23" t="s">
        <v>648</v>
      </c>
      <c r="N8" s="73"/>
      <c r="AB8" s="42"/>
      <c r="AD8" s="23" t="s">
        <v>262</v>
      </c>
      <c r="AE8" s="23"/>
      <c r="AF8" s="23" t="s">
        <v>263</v>
      </c>
      <c r="AO8" s="24"/>
      <c r="AP8" s="73"/>
      <c r="BE8" s="24"/>
      <c r="BF8" s="23"/>
    </row>
    <row r="9" spans="1:62" ht="15" customHeight="1">
      <c r="A9" s="23" t="s">
        <v>183</v>
      </c>
      <c r="B9" s="23" t="s">
        <v>501</v>
      </c>
      <c r="C9" s="23" t="s">
        <v>57</v>
      </c>
      <c r="D9" s="23">
        <v>8</v>
      </c>
      <c r="E9" s="23">
        <v>1</v>
      </c>
      <c r="G9" s="23" t="s">
        <v>264</v>
      </c>
      <c r="I9" s="23" t="s">
        <v>223</v>
      </c>
      <c r="J9" s="23" t="s">
        <v>257</v>
      </c>
      <c r="K9" s="23" t="s">
        <v>26</v>
      </c>
      <c r="N9" s="73">
        <v>2</v>
      </c>
      <c r="O9" s="63">
        <v>1</v>
      </c>
      <c r="P9" s="64">
        <v>1</v>
      </c>
      <c r="S9" s="113">
        <v>1</v>
      </c>
      <c r="AB9" s="52" t="s">
        <v>1079</v>
      </c>
      <c r="AD9" s="23" t="s">
        <v>265</v>
      </c>
      <c r="AE9" s="23"/>
      <c r="AF9" s="23" t="s">
        <v>266</v>
      </c>
      <c r="AO9" s="24"/>
      <c r="AP9" s="73"/>
      <c r="BE9" s="24"/>
      <c r="BF9" s="23"/>
    </row>
    <row r="10" spans="1:62" ht="15" customHeight="1">
      <c r="A10" s="23" t="s">
        <v>183</v>
      </c>
      <c r="B10" s="23" t="s">
        <v>502</v>
      </c>
      <c r="C10" s="23" t="s">
        <v>57</v>
      </c>
      <c r="D10" s="23">
        <v>9</v>
      </c>
      <c r="E10" s="23">
        <v>1</v>
      </c>
      <c r="G10" s="23" t="s">
        <v>267</v>
      </c>
      <c r="H10" s="23" t="s">
        <v>268</v>
      </c>
      <c r="J10" s="23" t="s">
        <v>257</v>
      </c>
      <c r="K10" s="23" t="s">
        <v>26</v>
      </c>
      <c r="M10" s="23" t="s">
        <v>648</v>
      </c>
      <c r="N10" s="74" t="s">
        <v>38</v>
      </c>
      <c r="AB10" s="42"/>
      <c r="AC10" s="23" t="s">
        <v>258</v>
      </c>
      <c r="AD10" s="23" t="s">
        <v>269</v>
      </c>
      <c r="AE10" s="23"/>
      <c r="AF10" s="23" t="s">
        <v>270</v>
      </c>
      <c r="AO10" s="24"/>
      <c r="AP10" s="73"/>
      <c r="BE10" s="24"/>
      <c r="BF10" s="23"/>
    </row>
    <row r="11" spans="1:62" ht="15" customHeight="1">
      <c r="A11" s="23" t="s">
        <v>183</v>
      </c>
      <c r="B11" s="23" t="s">
        <v>649</v>
      </c>
      <c r="C11" s="23" t="s">
        <v>57</v>
      </c>
      <c r="D11" s="23">
        <v>10</v>
      </c>
      <c r="E11" s="23">
        <v>1</v>
      </c>
      <c r="G11" s="23" t="s">
        <v>645</v>
      </c>
      <c r="J11" s="23" t="s">
        <v>27</v>
      </c>
      <c r="K11" s="23" t="s">
        <v>26</v>
      </c>
      <c r="N11" s="73">
        <v>1</v>
      </c>
      <c r="S11" s="113">
        <v>2</v>
      </c>
      <c r="AB11" s="52" t="s">
        <v>1080</v>
      </c>
      <c r="AD11" s="23" t="s">
        <v>307</v>
      </c>
      <c r="AE11" s="23" t="s">
        <v>646</v>
      </c>
      <c r="AF11" s="23" t="s">
        <v>647</v>
      </c>
      <c r="AO11" s="24"/>
      <c r="AP11" s="73"/>
      <c r="BE11" s="24"/>
      <c r="BF11" s="23"/>
    </row>
    <row r="12" spans="1:62" ht="15" customHeight="1">
      <c r="A12" s="23" t="s">
        <v>183</v>
      </c>
      <c r="B12" s="23" t="s">
        <v>503</v>
      </c>
      <c r="C12" s="23" t="s">
        <v>57</v>
      </c>
      <c r="D12" s="23">
        <v>11</v>
      </c>
      <c r="E12" s="23">
        <v>1</v>
      </c>
      <c r="G12" s="23" t="s">
        <v>271</v>
      </c>
      <c r="J12" s="23" t="s">
        <v>28</v>
      </c>
      <c r="K12" s="23" t="s">
        <v>26</v>
      </c>
      <c r="M12" s="23" t="s">
        <v>648</v>
      </c>
      <c r="N12" s="73"/>
      <c r="AB12" s="42"/>
      <c r="AD12" s="23" t="s">
        <v>262</v>
      </c>
      <c r="AE12" s="23"/>
      <c r="AF12" s="23" t="s">
        <v>272</v>
      </c>
      <c r="AO12" s="24"/>
      <c r="AP12" s="73"/>
      <c r="BE12" s="24"/>
      <c r="BF12" s="23"/>
    </row>
    <row r="13" spans="1:62" ht="15" customHeight="1">
      <c r="A13" s="23" t="s">
        <v>183</v>
      </c>
      <c r="B13" s="23" t="s">
        <v>504</v>
      </c>
      <c r="C13" s="23" t="s">
        <v>57</v>
      </c>
      <c r="D13" s="23">
        <v>12</v>
      </c>
      <c r="E13" s="23">
        <v>1</v>
      </c>
      <c r="G13" s="23" t="s">
        <v>273</v>
      </c>
      <c r="H13" s="23" t="s">
        <v>274</v>
      </c>
      <c r="I13" s="23" t="s">
        <v>223</v>
      </c>
      <c r="J13" s="23" t="s">
        <v>257</v>
      </c>
      <c r="K13" s="23" t="s">
        <v>26</v>
      </c>
      <c r="N13" s="73">
        <v>3</v>
      </c>
      <c r="O13" s="63">
        <v>1</v>
      </c>
      <c r="Q13" s="65">
        <v>1</v>
      </c>
      <c r="S13" s="113">
        <v>1</v>
      </c>
      <c r="AB13" s="52" t="s">
        <v>1081</v>
      </c>
      <c r="AC13" s="23" t="s">
        <v>275</v>
      </c>
      <c r="AD13" s="23" t="s">
        <v>276</v>
      </c>
      <c r="AE13" s="23"/>
      <c r="AF13" s="23" t="s">
        <v>277</v>
      </c>
      <c r="AO13" s="24"/>
      <c r="AP13" s="73"/>
      <c r="BE13" s="24"/>
      <c r="BF13" s="23"/>
    </row>
    <row r="14" spans="1:62" ht="15" customHeight="1">
      <c r="A14" s="23" t="s">
        <v>183</v>
      </c>
      <c r="B14" s="23" t="s">
        <v>505</v>
      </c>
      <c r="C14" s="23" t="s">
        <v>57</v>
      </c>
      <c r="D14" s="23">
        <v>13</v>
      </c>
      <c r="E14" s="23">
        <v>1</v>
      </c>
      <c r="G14" s="23" t="s">
        <v>278</v>
      </c>
      <c r="J14" s="23" t="s">
        <v>27</v>
      </c>
      <c r="K14" s="23" t="s">
        <v>26</v>
      </c>
      <c r="M14" s="23" t="s">
        <v>648</v>
      </c>
      <c r="N14" s="73">
        <v>2</v>
      </c>
      <c r="AB14" s="42"/>
      <c r="AD14" s="23" t="s">
        <v>279</v>
      </c>
      <c r="AE14" s="23"/>
      <c r="AF14" s="23" t="s">
        <v>280</v>
      </c>
      <c r="AO14" s="24"/>
      <c r="AP14" s="73"/>
      <c r="BE14" s="24"/>
      <c r="BF14" s="23"/>
    </row>
    <row r="15" spans="1:62" ht="15" customHeight="1">
      <c r="A15" s="23" t="s">
        <v>183</v>
      </c>
      <c r="B15" s="23" t="s">
        <v>506</v>
      </c>
      <c r="C15" s="23" t="s">
        <v>57</v>
      </c>
      <c r="D15" s="23">
        <v>14</v>
      </c>
      <c r="E15" s="23">
        <v>1</v>
      </c>
      <c r="G15" s="23" t="s">
        <v>281</v>
      </c>
      <c r="I15" s="23" t="s">
        <v>223</v>
      </c>
      <c r="J15" s="23" t="s">
        <v>257</v>
      </c>
      <c r="K15" s="23" t="s">
        <v>26</v>
      </c>
      <c r="N15" s="73">
        <v>2</v>
      </c>
      <c r="S15" s="113">
        <v>2</v>
      </c>
      <c r="AB15" s="52" t="s">
        <v>1082</v>
      </c>
      <c r="AC15" s="23" t="s">
        <v>275</v>
      </c>
      <c r="AD15" s="23" t="s">
        <v>276</v>
      </c>
      <c r="AE15" s="23"/>
      <c r="AF15" s="23" t="s">
        <v>282</v>
      </c>
      <c r="AO15" s="24"/>
      <c r="AP15" s="73"/>
      <c r="BE15" s="24"/>
      <c r="BF15" s="23"/>
    </row>
    <row r="16" spans="1:62" ht="15" customHeight="1">
      <c r="A16" s="23" t="s">
        <v>183</v>
      </c>
      <c r="B16" s="23" t="s">
        <v>507</v>
      </c>
      <c r="C16" s="23" t="s">
        <v>57</v>
      </c>
      <c r="D16" s="23">
        <v>15</v>
      </c>
      <c r="E16" s="23">
        <v>1</v>
      </c>
      <c r="G16" s="23" t="s">
        <v>283</v>
      </c>
      <c r="J16" s="23" t="s">
        <v>28</v>
      </c>
      <c r="K16" s="23" t="s">
        <v>26</v>
      </c>
      <c r="M16" s="23" t="s">
        <v>648</v>
      </c>
      <c r="N16" s="73"/>
      <c r="AB16" s="42"/>
      <c r="AD16" s="23" t="s">
        <v>284</v>
      </c>
      <c r="AE16" s="23"/>
      <c r="AF16" s="23" t="s">
        <v>285</v>
      </c>
      <c r="AO16" s="24"/>
      <c r="AP16" s="73"/>
      <c r="BE16" s="24"/>
      <c r="BF16" s="23"/>
    </row>
    <row r="17" spans="1:58" ht="15" customHeight="1">
      <c r="A17" s="23" t="s">
        <v>183</v>
      </c>
      <c r="B17" s="23" t="s">
        <v>508</v>
      </c>
      <c r="C17" s="23" t="s">
        <v>57</v>
      </c>
      <c r="D17" s="23">
        <v>16</v>
      </c>
      <c r="E17" s="23">
        <v>1</v>
      </c>
      <c r="G17" s="23" t="s">
        <v>286</v>
      </c>
      <c r="J17" s="23" t="s">
        <v>257</v>
      </c>
      <c r="K17" s="23" t="s">
        <v>198</v>
      </c>
      <c r="N17" s="73">
        <v>4</v>
      </c>
      <c r="R17" s="66">
        <v>1</v>
      </c>
      <c r="AB17" s="52" t="s">
        <v>207</v>
      </c>
      <c r="AC17" s="23" t="s">
        <v>258</v>
      </c>
      <c r="AD17" s="23" t="s">
        <v>259</v>
      </c>
      <c r="AE17" s="23"/>
      <c r="AF17" s="23" t="s">
        <v>287</v>
      </c>
      <c r="AO17" s="24"/>
      <c r="AP17" s="73"/>
      <c r="BE17" s="24"/>
      <c r="BF17" s="23"/>
    </row>
    <row r="18" spans="1:58" ht="15" customHeight="1">
      <c r="A18" s="23" t="s">
        <v>183</v>
      </c>
      <c r="B18" s="23" t="s">
        <v>509</v>
      </c>
      <c r="C18" s="23" t="s">
        <v>57</v>
      </c>
      <c r="D18" s="23">
        <v>17</v>
      </c>
      <c r="E18" s="23">
        <v>1</v>
      </c>
      <c r="G18" s="23" t="s">
        <v>288</v>
      </c>
      <c r="J18" s="23" t="s">
        <v>257</v>
      </c>
      <c r="K18" s="23" t="s">
        <v>198</v>
      </c>
      <c r="N18" s="73">
        <v>2</v>
      </c>
      <c r="O18" s="63">
        <v>1</v>
      </c>
      <c r="Q18" s="65">
        <v>1</v>
      </c>
      <c r="AB18" s="52" t="s">
        <v>1083</v>
      </c>
      <c r="AD18" s="23" t="s">
        <v>289</v>
      </c>
      <c r="AE18" s="23"/>
      <c r="AF18" s="23" t="s">
        <v>290</v>
      </c>
      <c r="AO18" s="24"/>
      <c r="AP18" s="73"/>
      <c r="BE18" s="24"/>
      <c r="BF18" s="23"/>
    </row>
    <row r="19" spans="1:58" ht="15" customHeight="1">
      <c r="A19" s="23" t="s">
        <v>183</v>
      </c>
      <c r="B19" s="23" t="s">
        <v>510</v>
      </c>
      <c r="C19" s="23" t="s">
        <v>57</v>
      </c>
      <c r="D19" s="23">
        <v>18</v>
      </c>
      <c r="E19" s="23">
        <v>1</v>
      </c>
      <c r="G19" s="23" t="s">
        <v>291</v>
      </c>
      <c r="J19" s="23" t="s">
        <v>257</v>
      </c>
      <c r="K19" s="23" t="s">
        <v>198</v>
      </c>
      <c r="N19" s="73">
        <v>4</v>
      </c>
      <c r="Q19" s="65">
        <v>1</v>
      </c>
      <c r="T19" s="68">
        <v>2</v>
      </c>
      <c r="U19" s="63">
        <v>2</v>
      </c>
      <c r="AB19" s="52" t="s">
        <v>206</v>
      </c>
      <c r="AC19" s="23" t="s">
        <v>25</v>
      </c>
      <c r="AD19" s="23" t="s">
        <v>292</v>
      </c>
      <c r="AE19" s="23"/>
      <c r="AF19" s="23" t="s">
        <v>293</v>
      </c>
      <c r="AO19" s="24"/>
      <c r="AP19" s="73"/>
      <c r="BE19" s="24"/>
      <c r="BF19" s="23"/>
    </row>
    <row r="20" spans="1:58" ht="15" customHeight="1">
      <c r="A20" s="23" t="s">
        <v>183</v>
      </c>
      <c r="B20" s="23" t="s">
        <v>511</v>
      </c>
      <c r="C20" s="23" t="s">
        <v>57</v>
      </c>
      <c r="D20" s="23">
        <v>19</v>
      </c>
      <c r="E20" s="23">
        <v>1</v>
      </c>
      <c r="G20" s="23" t="s">
        <v>294</v>
      </c>
      <c r="J20" s="23" t="s">
        <v>257</v>
      </c>
      <c r="K20" s="23" t="s">
        <v>198</v>
      </c>
      <c r="N20" s="73">
        <v>2</v>
      </c>
      <c r="O20" s="63">
        <v>1</v>
      </c>
      <c r="AB20" s="52" t="s">
        <v>204</v>
      </c>
      <c r="AD20" s="23" t="s">
        <v>295</v>
      </c>
      <c r="AE20" s="23"/>
      <c r="AF20" s="23" t="s">
        <v>296</v>
      </c>
      <c r="AO20" s="24"/>
      <c r="AP20" s="73"/>
      <c r="BE20" s="24"/>
      <c r="BF20" s="23"/>
    </row>
    <row r="21" spans="1:58" ht="15" customHeight="1">
      <c r="A21" s="23" t="s">
        <v>183</v>
      </c>
      <c r="B21" s="23" t="s">
        <v>512</v>
      </c>
      <c r="C21" s="23" t="s">
        <v>57</v>
      </c>
      <c r="D21" s="23">
        <v>20</v>
      </c>
      <c r="E21" s="23">
        <v>1</v>
      </c>
      <c r="G21" s="23" t="s">
        <v>297</v>
      </c>
      <c r="J21" s="23" t="s">
        <v>257</v>
      </c>
      <c r="K21" s="23" t="s">
        <v>198</v>
      </c>
      <c r="N21" s="73">
        <v>3</v>
      </c>
      <c r="Q21" s="65">
        <v>1</v>
      </c>
      <c r="AB21" s="52" t="s">
        <v>206</v>
      </c>
      <c r="AC21" s="23" t="s">
        <v>258</v>
      </c>
      <c r="AD21" s="23" t="s">
        <v>298</v>
      </c>
      <c r="AE21" s="23"/>
      <c r="AF21" s="23" t="s">
        <v>299</v>
      </c>
      <c r="AO21" s="24"/>
      <c r="AP21" s="73"/>
      <c r="BE21" s="24"/>
      <c r="BF21" s="23"/>
    </row>
    <row r="22" spans="1:58" ht="15" customHeight="1">
      <c r="A22" s="23" t="s">
        <v>183</v>
      </c>
      <c r="B22" s="23" t="s">
        <v>513</v>
      </c>
      <c r="C22" s="23" t="s">
        <v>57</v>
      </c>
      <c r="D22" s="23">
        <v>21</v>
      </c>
      <c r="E22" s="23">
        <v>1</v>
      </c>
      <c r="G22" s="23" t="s">
        <v>300</v>
      </c>
      <c r="J22" s="23" t="s">
        <v>257</v>
      </c>
      <c r="K22" s="23" t="s">
        <v>198</v>
      </c>
      <c r="N22" s="73">
        <v>3</v>
      </c>
      <c r="Q22" s="65">
        <v>1</v>
      </c>
      <c r="T22" s="68">
        <v>3</v>
      </c>
      <c r="U22" s="63">
        <v>1</v>
      </c>
      <c r="AB22" s="52" t="s">
        <v>206</v>
      </c>
      <c r="AC22" s="23" t="s">
        <v>25</v>
      </c>
      <c r="AD22" s="23" t="s">
        <v>301</v>
      </c>
      <c r="AE22" s="23"/>
      <c r="AF22" s="23" t="s">
        <v>302</v>
      </c>
      <c r="AO22" s="24"/>
      <c r="AP22" s="73"/>
      <c r="BE22" s="24"/>
      <c r="BF22" s="23"/>
    </row>
    <row r="23" spans="1:58" ht="15" customHeight="1">
      <c r="A23" s="23" t="s">
        <v>183</v>
      </c>
      <c r="B23" s="23" t="s">
        <v>514</v>
      </c>
      <c r="C23" s="23" t="s">
        <v>57</v>
      </c>
      <c r="D23" s="23">
        <v>22</v>
      </c>
      <c r="E23" s="23">
        <v>1</v>
      </c>
      <c r="G23" s="23" t="s">
        <v>303</v>
      </c>
      <c r="J23" s="23" t="s">
        <v>27</v>
      </c>
      <c r="K23" s="23" t="s">
        <v>198</v>
      </c>
      <c r="N23" s="73">
        <v>1</v>
      </c>
      <c r="P23" s="64">
        <v>2</v>
      </c>
      <c r="AB23" s="52" t="s">
        <v>1084</v>
      </c>
      <c r="AD23" s="23" t="s">
        <v>304</v>
      </c>
      <c r="AE23" s="23"/>
      <c r="AF23" s="23" t="s">
        <v>305</v>
      </c>
      <c r="AO23" s="24"/>
      <c r="AP23" s="73"/>
      <c r="BE23" s="24"/>
      <c r="BF23" s="23"/>
    </row>
    <row r="24" spans="1:58" ht="15" customHeight="1">
      <c r="A24" s="23" t="s">
        <v>183</v>
      </c>
      <c r="B24" s="23" t="s">
        <v>515</v>
      </c>
      <c r="C24" s="23" t="s">
        <v>57</v>
      </c>
      <c r="D24" s="23">
        <v>23</v>
      </c>
      <c r="E24" s="23">
        <v>1</v>
      </c>
      <c r="G24" s="23" t="s">
        <v>306</v>
      </c>
      <c r="J24" s="23" t="s">
        <v>27</v>
      </c>
      <c r="K24" s="23" t="s">
        <v>198</v>
      </c>
      <c r="N24" s="73">
        <v>1</v>
      </c>
      <c r="O24" s="63">
        <v>1</v>
      </c>
      <c r="R24" s="66">
        <v>1</v>
      </c>
      <c r="AB24" s="52" t="s">
        <v>1085</v>
      </c>
      <c r="AD24" s="23" t="s">
        <v>307</v>
      </c>
      <c r="AE24" s="23"/>
      <c r="AF24" s="23" t="s">
        <v>308</v>
      </c>
      <c r="AO24" s="24"/>
      <c r="AP24" s="73"/>
      <c r="BE24" s="24"/>
      <c r="BF24" s="23"/>
    </row>
    <row r="25" spans="1:58" ht="15" customHeight="1">
      <c r="A25" s="23" t="s">
        <v>183</v>
      </c>
      <c r="B25" s="23" t="s">
        <v>516</v>
      </c>
      <c r="C25" s="23" t="s">
        <v>57</v>
      </c>
      <c r="D25" s="23">
        <v>24</v>
      </c>
      <c r="E25" s="23">
        <v>1</v>
      </c>
      <c r="G25" s="23" t="s">
        <v>309</v>
      </c>
      <c r="J25" s="23" t="s">
        <v>27</v>
      </c>
      <c r="K25" s="23" t="s">
        <v>198</v>
      </c>
      <c r="N25" s="73">
        <v>5</v>
      </c>
      <c r="O25" s="63">
        <v>1</v>
      </c>
      <c r="AB25" s="52" t="s">
        <v>204</v>
      </c>
      <c r="AD25" s="23" t="s">
        <v>307</v>
      </c>
      <c r="AE25" s="23"/>
      <c r="AF25" s="23" t="s">
        <v>310</v>
      </c>
      <c r="AO25" s="24"/>
      <c r="AP25" s="73"/>
      <c r="BE25" s="24"/>
      <c r="BF25" s="23"/>
    </row>
    <row r="26" spans="1:58" ht="15" customHeight="1">
      <c r="A26" s="23" t="s">
        <v>183</v>
      </c>
      <c r="B26" s="23" t="s">
        <v>517</v>
      </c>
      <c r="C26" s="23" t="s">
        <v>57</v>
      </c>
      <c r="D26" s="23">
        <v>25</v>
      </c>
      <c r="E26" s="23">
        <v>1</v>
      </c>
      <c r="G26" s="23" t="s">
        <v>311</v>
      </c>
      <c r="J26" s="23" t="s">
        <v>312</v>
      </c>
      <c r="K26" s="23" t="s">
        <v>198</v>
      </c>
      <c r="N26" s="73"/>
      <c r="Q26" s="65">
        <v>1</v>
      </c>
      <c r="AB26" s="52" t="s">
        <v>206</v>
      </c>
      <c r="AD26" s="23" t="s">
        <v>313</v>
      </c>
      <c r="AE26" s="23"/>
      <c r="AF26" s="23" t="s">
        <v>314</v>
      </c>
      <c r="AO26" s="24"/>
      <c r="AP26" s="73"/>
      <c r="BE26" s="24"/>
      <c r="BF26" s="23"/>
    </row>
    <row r="27" spans="1:58" ht="15" customHeight="1">
      <c r="A27" s="23" t="s">
        <v>183</v>
      </c>
      <c r="B27" s="23" t="s">
        <v>518</v>
      </c>
      <c r="C27" s="23" t="s">
        <v>57</v>
      </c>
      <c r="D27" s="23">
        <v>26</v>
      </c>
      <c r="E27" s="23">
        <v>1</v>
      </c>
      <c r="G27" s="23" t="s">
        <v>315</v>
      </c>
      <c r="J27" s="23" t="s">
        <v>27</v>
      </c>
      <c r="K27" s="23" t="s">
        <v>198</v>
      </c>
      <c r="L27" s="23">
        <v>1</v>
      </c>
      <c r="N27" s="73">
        <v>2</v>
      </c>
      <c r="P27" s="64">
        <v>1</v>
      </c>
      <c r="AB27" s="52" t="s">
        <v>205</v>
      </c>
      <c r="AD27" s="23" t="s">
        <v>316</v>
      </c>
      <c r="AE27" s="23"/>
      <c r="AF27" s="23" t="s">
        <v>317</v>
      </c>
      <c r="AO27" s="24"/>
      <c r="AP27" s="73"/>
      <c r="BE27" s="24"/>
      <c r="BF27" s="23"/>
    </row>
    <row r="28" spans="1:58" ht="15" customHeight="1">
      <c r="A28" s="23" t="s">
        <v>183</v>
      </c>
      <c r="B28" s="23" t="s">
        <v>519</v>
      </c>
      <c r="C28" s="23" t="s">
        <v>57</v>
      </c>
      <c r="D28" s="23">
        <v>27</v>
      </c>
      <c r="E28" s="23">
        <v>1</v>
      </c>
      <c r="G28" s="23" t="s">
        <v>318</v>
      </c>
      <c r="J28" s="23" t="s">
        <v>257</v>
      </c>
      <c r="K28" s="23" t="s">
        <v>198</v>
      </c>
      <c r="L28" s="23">
        <v>2</v>
      </c>
      <c r="N28" s="73">
        <v>3</v>
      </c>
      <c r="O28" s="63">
        <v>1</v>
      </c>
      <c r="S28" s="113">
        <v>1</v>
      </c>
      <c r="AB28" s="52" t="s">
        <v>1086</v>
      </c>
      <c r="AC28" s="23" t="s">
        <v>275</v>
      </c>
      <c r="AD28" s="23" t="s">
        <v>265</v>
      </c>
      <c r="AE28" s="23"/>
      <c r="AF28" s="23" t="s">
        <v>319</v>
      </c>
      <c r="AO28" s="24"/>
      <c r="AP28" s="73"/>
      <c r="BE28" s="24"/>
      <c r="BF28" s="23"/>
    </row>
    <row r="29" spans="1:58" ht="15" customHeight="1">
      <c r="A29" s="23" t="s">
        <v>183</v>
      </c>
      <c r="B29" s="23" t="s">
        <v>520</v>
      </c>
      <c r="C29" s="23" t="s">
        <v>57</v>
      </c>
      <c r="D29" s="23">
        <v>28</v>
      </c>
      <c r="E29" s="23">
        <v>1</v>
      </c>
      <c r="G29" s="23" t="s">
        <v>291</v>
      </c>
      <c r="J29" s="23" t="s">
        <v>257</v>
      </c>
      <c r="K29" s="23" t="s">
        <v>198</v>
      </c>
      <c r="L29" s="23">
        <v>2</v>
      </c>
      <c r="N29" s="73">
        <v>4</v>
      </c>
      <c r="Q29" s="65">
        <v>1</v>
      </c>
      <c r="R29" s="66">
        <v>1</v>
      </c>
      <c r="T29" s="68">
        <v>3</v>
      </c>
      <c r="U29" s="63">
        <v>2</v>
      </c>
      <c r="AB29" s="52" t="s">
        <v>1087</v>
      </c>
      <c r="AC29" s="23" t="s">
        <v>25</v>
      </c>
      <c r="AD29" s="23" t="s">
        <v>292</v>
      </c>
      <c r="AE29" s="23"/>
      <c r="AF29" s="23" t="s">
        <v>320</v>
      </c>
      <c r="AO29" s="24"/>
      <c r="AP29" s="73"/>
      <c r="BE29" s="24"/>
      <c r="BF29" s="23"/>
    </row>
    <row r="30" spans="1:58" ht="15" customHeight="1">
      <c r="A30" s="23" t="s">
        <v>183</v>
      </c>
      <c r="B30" s="23" t="s">
        <v>521</v>
      </c>
      <c r="C30" s="23" t="s">
        <v>57</v>
      </c>
      <c r="D30" s="23">
        <v>29</v>
      </c>
      <c r="E30" s="23">
        <v>1</v>
      </c>
      <c r="G30" s="23" t="s">
        <v>321</v>
      </c>
      <c r="J30" s="23" t="s">
        <v>257</v>
      </c>
      <c r="K30" s="23" t="s">
        <v>198</v>
      </c>
      <c r="L30" s="23">
        <v>4</v>
      </c>
      <c r="N30" s="73">
        <v>5</v>
      </c>
      <c r="Q30" s="65">
        <v>2</v>
      </c>
      <c r="AB30" s="52" t="s">
        <v>1088</v>
      </c>
      <c r="AC30" s="23" t="s">
        <v>322</v>
      </c>
      <c r="AD30" s="23" t="s">
        <v>259</v>
      </c>
      <c r="AE30" s="23"/>
      <c r="AF30" s="23" t="s">
        <v>323</v>
      </c>
      <c r="AO30" s="24"/>
      <c r="AP30" s="73"/>
      <c r="BE30" s="24"/>
      <c r="BF30" s="23"/>
    </row>
    <row r="31" spans="1:58" ht="15" customHeight="1">
      <c r="A31" s="23" t="s">
        <v>183</v>
      </c>
      <c r="B31" s="23" t="s">
        <v>522</v>
      </c>
      <c r="C31" s="23" t="s">
        <v>57</v>
      </c>
      <c r="D31" s="23">
        <v>30</v>
      </c>
      <c r="E31" s="23">
        <v>1</v>
      </c>
      <c r="G31" s="23" t="s">
        <v>324</v>
      </c>
      <c r="J31" s="23" t="s">
        <v>257</v>
      </c>
      <c r="K31" s="23" t="s">
        <v>199</v>
      </c>
      <c r="N31" s="73">
        <v>1</v>
      </c>
      <c r="P31" s="64">
        <v>1</v>
      </c>
      <c r="AB31" s="52" t="s">
        <v>205</v>
      </c>
      <c r="AC31" s="23" t="s">
        <v>258</v>
      </c>
      <c r="AD31" s="23" t="s">
        <v>325</v>
      </c>
      <c r="AE31" s="23"/>
      <c r="AF31" s="23" t="s">
        <v>326</v>
      </c>
      <c r="AO31" s="24"/>
      <c r="AP31" s="73"/>
      <c r="BE31" s="24"/>
      <c r="BF31" s="23"/>
    </row>
    <row r="32" spans="1:58" ht="15" customHeight="1">
      <c r="A32" s="23" t="s">
        <v>183</v>
      </c>
      <c r="B32" s="23" t="s">
        <v>523</v>
      </c>
      <c r="C32" s="23" t="s">
        <v>57</v>
      </c>
      <c r="D32" s="23">
        <v>31</v>
      </c>
      <c r="E32" s="23">
        <v>1</v>
      </c>
      <c r="G32" s="23" t="s">
        <v>327</v>
      </c>
      <c r="J32" s="23" t="s">
        <v>257</v>
      </c>
      <c r="K32" s="23" t="s">
        <v>199</v>
      </c>
      <c r="N32" s="73">
        <v>3</v>
      </c>
      <c r="O32" s="63">
        <v>1</v>
      </c>
      <c r="AB32" s="52" t="s">
        <v>204</v>
      </c>
      <c r="AC32" s="23" t="s">
        <v>258</v>
      </c>
      <c r="AD32" s="23" t="s">
        <v>269</v>
      </c>
      <c r="AE32" s="23"/>
      <c r="AF32" s="23" t="s">
        <v>328</v>
      </c>
      <c r="AO32" s="24"/>
      <c r="AP32" s="73"/>
      <c r="BE32" s="24"/>
      <c r="BF32" s="23"/>
    </row>
    <row r="33" spans="1:58" ht="15" customHeight="1">
      <c r="A33" s="23" t="s">
        <v>183</v>
      </c>
      <c r="B33" s="23" t="s">
        <v>524</v>
      </c>
      <c r="C33" s="23" t="s">
        <v>57</v>
      </c>
      <c r="D33" s="23">
        <v>32</v>
      </c>
      <c r="E33" s="23">
        <v>1</v>
      </c>
      <c r="G33" s="23" t="s">
        <v>329</v>
      </c>
      <c r="J33" s="23" t="s">
        <v>257</v>
      </c>
      <c r="K33" s="23" t="s">
        <v>199</v>
      </c>
      <c r="N33" s="73">
        <v>2</v>
      </c>
      <c r="R33" s="66">
        <v>1</v>
      </c>
      <c r="T33" s="68">
        <v>1</v>
      </c>
      <c r="U33" s="63">
        <v>1</v>
      </c>
      <c r="AB33" s="52" t="s">
        <v>207</v>
      </c>
      <c r="AC33" s="23" t="s">
        <v>25</v>
      </c>
      <c r="AD33" s="23" t="s">
        <v>330</v>
      </c>
      <c r="AE33" s="23"/>
      <c r="AF33" s="23" t="s">
        <v>331</v>
      </c>
      <c r="AO33" s="24"/>
      <c r="AP33" s="73"/>
      <c r="BE33" s="24"/>
      <c r="BF33" s="23"/>
    </row>
    <row r="34" spans="1:58" ht="15" customHeight="1">
      <c r="A34" s="23" t="s">
        <v>183</v>
      </c>
      <c r="B34" s="23" t="s">
        <v>525</v>
      </c>
      <c r="C34" s="23" t="s">
        <v>57</v>
      </c>
      <c r="D34" s="23">
        <v>33</v>
      </c>
      <c r="E34" s="23">
        <v>1</v>
      </c>
      <c r="G34" s="23" t="s">
        <v>332</v>
      </c>
      <c r="H34" s="23" t="s">
        <v>333</v>
      </c>
      <c r="I34" s="23" t="s">
        <v>223</v>
      </c>
      <c r="J34" s="23" t="s">
        <v>257</v>
      </c>
      <c r="K34" s="23" t="s">
        <v>199</v>
      </c>
      <c r="N34" s="73">
        <v>4</v>
      </c>
      <c r="P34" s="64">
        <v>1</v>
      </c>
      <c r="T34" s="68">
        <v>1</v>
      </c>
      <c r="U34" s="63">
        <v>2</v>
      </c>
      <c r="AB34" s="52" t="s">
        <v>205</v>
      </c>
      <c r="AC34" s="23" t="s">
        <v>25</v>
      </c>
      <c r="AD34" s="23" t="s">
        <v>330</v>
      </c>
      <c r="AE34" s="23"/>
      <c r="AF34" s="23" t="s">
        <v>334</v>
      </c>
      <c r="AO34" s="24"/>
      <c r="AP34" s="73"/>
      <c r="BE34" s="24"/>
      <c r="BF34" s="23"/>
    </row>
    <row r="35" spans="1:58" ht="15" customHeight="1">
      <c r="A35" s="23" t="s">
        <v>183</v>
      </c>
      <c r="B35" s="23" t="s">
        <v>526</v>
      </c>
      <c r="C35" s="23" t="s">
        <v>57</v>
      </c>
      <c r="D35" s="23">
        <v>34</v>
      </c>
      <c r="E35" s="23">
        <v>1</v>
      </c>
      <c r="G35" s="23" t="s">
        <v>335</v>
      </c>
      <c r="J35" s="23" t="s">
        <v>257</v>
      </c>
      <c r="K35" s="23" t="s">
        <v>199</v>
      </c>
      <c r="N35" s="73">
        <v>2</v>
      </c>
      <c r="P35" s="64">
        <v>1</v>
      </c>
      <c r="R35" s="66">
        <v>1</v>
      </c>
      <c r="AB35" s="52" t="s">
        <v>1089</v>
      </c>
      <c r="AD35" s="23" t="s">
        <v>289</v>
      </c>
      <c r="AE35" s="23"/>
      <c r="AF35" s="23" t="s">
        <v>336</v>
      </c>
      <c r="AO35" s="24"/>
      <c r="AP35" s="73"/>
      <c r="BE35" s="24"/>
      <c r="BF35" s="23"/>
    </row>
    <row r="36" spans="1:58" ht="15" customHeight="1">
      <c r="A36" s="23" t="s">
        <v>183</v>
      </c>
      <c r="B36" s="23" t="s">
        <v>527</v>
      </c>
      <c r="C36" s="23" t="s">
        <v>57</v>
      </c>
      <c r="D36" s="23">
        <v>35</v>
      </c>
      <c r="E36" s="23">
        <v>1</v>
      </c>
      <c r="G36" s="23" t="s">
        <v>337</v>
      </c>
      <c r="J36" s="23" t="s">
        <v>257</v>
      </c>
      <c r="K36" s="23" t="s">
        <v>199</v>
      </c>
      <c r="N36" s="73">
        <v>2</v>
      </c>
      <c r="Q36" s="65">
        <v>1</v>
      </c>
      <c r="AB36" s="52" t="s">
        <v>206</v>
      </c>
      <c r="AC36" s="23" t="s">
        <v>258</v>
      </c>
      <c r="AD36" s="23" t="s">
        <v>269</v>
      </c>
      <c r="AE36" s="23"/>
      <c r="AF36" s="23" t="s">
        <v>338</v>
      </c>
      <c r="AO36" s="24"/>
      <c r="AP36" s="73"/>
      <c r="BE36" s="24"/>
      <c r="BF36" s="23"/>
    </row>
    <row r="37" spans="1:58" ht="15" customHeight="1">
      <c r="A37" s="23" t="s">
        <v>183</v>
      </c>
      <c r="B37" s="30" t="s">
        <v>528</v>
      </c>
      <c r="C37" s="23" t="s">
        <v>57</v>
      </c>
      <c r="D37" s="23">
        <v>36</v>
      </c>
      <c r="E37" s="23">
        <v>1</v>
      </c>
      <c r="G37" s="23" t="s">
        <v>339</v>
      </c>
      <c r="J37" s="23" t="s">
        <v>27</v>
      </c>
      <c r="K37" s="23" t="s">
        <v>199</v>
      </c>
      <c r="N37" s="73">
        <v>1</v>
      </c>
      <c r="Q37" s="65">
        <v>1</v>
      </c>
      <c r="R37" s="66">
        <v>1</v>
      </c>
      <c r="AB37" s="52" t="s">
        <v>1087</v>
      </c>
      <c r="AD37" s="23" t="s">
        <v>340</v>
      </c>
      <c r="AE37" s="23"/>
      <c r="AF37" s="23" t="s">
        <v>341</v>
      </c>
      <c r="AO37" s="24"/>
      <c r="AP37" s="73"/>
      <c r="BE37" s="24"/>
      <c r="BF37" s="23"/>
    </row>
    <row r="38" spans="1:58" ht="15" customHeight="1">
      <c r="A38" s="23" t="s">
        <v>183</v>
      </c>
      <c r="B38" s="23" t="s">
        <v>529</v>
      </c>
      <c r="C38" s="23" t="s">
        <v>57</v>
      </c>
      <c r="D38" s="23">
        <v>37</v>
      </c>
      <c r="E38" s="23">
        <v>1</v>
      </c>
      <c r="G38" s="23" t="s">
        <v>342</v>
      </c>
      <c r="J38" s="23" t="s">
        <v>27</v>
      </c>
      <c r="K38" s="23" t="s">
        <v>199</v>
      </c>
      <c r="N38" s="73">
        <v>2</v>
      </c>
      <c r="O38" s="75"/>
      <c r="P38" s="76"/>
      <c r="Q38" s="77"/>
      <c r="U38" s="75"/>
      <c r="V38" s="78"/>
      <c r="W38" s="79"/>
      <c r="X38" s="80"/>
      <c r="AA38" s="81"/>
      <c r="AB38" s="52" t="s">
        <v>1084</v>
      </c>
      <c r="AD38" s="23" t="s">
        <v>340</v>
      </c>
      <c r="AE38" s="23" t="s">
        <v>657</v>
      </c>
      <c r="AF38" s="23" t="s">
        <v>922</v>
      </c>
      <c r="AO38" s="24"/>
      <c r="AP38" s="73"/>
      <c r="AQ38" s="75"/>
      <c r="AR38" s="76"/>
      <c r="AS38" s="77"/>
      <c r="AV38" s="75"/>
      <c r="AW38" s="83"/>
      <c r="AX38" s="84"/>
      <c r="AY38" s="80"/>
      <c r="BB38" s="81"/>
      <c r="BE38" s="24"/>
      <c r="BF38" s="23"/>
    </row>
    <row r="39" spans="1:58" ht="15" customHeight="1">
      <c r="A39" s="23" t="s">
        <v>183</v>
      </c>
      <c r="B39" s="23" t="s">
        <v>530</v>
      </c>
      <c r="C39" s="23" t="s">
        <v>57</v>
      </c>
      <c r="D39" s="23">
        <v>38</v>
      </c>
      <c r="E39" s="23">
        <v>1</v>
      </c>
      <c r="G39" s="23" t="s">
        <v>343</v>
      </c>
      <c r="J39" s="23" t="s">
        <v>27</v>
      </c>
      <c r="K39" s="23" t="s">
        <v>199</v>
      </c>
      <c r="N39" s="73">
        <v>0</v>
      </c>
      <c r="O39" s="75">
        <v>1</v>
      </c>
      <c r="P39" s="76">
        <v>1</v>
      </c>
      <c r="Q39" s="77"/>
      <c r="R39" s="66">
        <v>1</v>
      </c>
      <c r="U39" s="75"/>
      <c r="V39" s="78"/>
      <c r="W39" s="79"/>
      <c r="X39" s="80"/>
      <c r="AA39" s="81"/>
      <c r="AB39" s="52" t="s">
        <v>1090</v>
      </c>
      <c r="AD39" s="23" t="s">
        <v>344</v>
      </c>
      <c r="AE39" s="23"/>
      <c r="AF39" s="23" t="s">
        <v>345</v>
      </c>
      <c r="AO39" s="24"/>
      <c r="AP39" s="73"/>
      <c r="AQ39" s="75"/>
      <c r="AR39" s="76"/>
      <c r="AS39" s="77"/>
      <c r="AV39" s="75"/>
      <c r="AW39" s="83"/>
      <c r="AX39" s="84"/>
      <c r="AY39" s="80"/>
      <c r="BB39" s="81"/>
      <c r="BE39" s="24"/>
      <c r="BF39" s="23"/>
    </row>
    <row r="40" spans="1:58" ht="15" customHeight="1">
      <c r="A40" s="23" t="s">
        <v>183</v>
      </c>
      <c r="B40" s="23" t="s">
        <v>531</v>
      </c>
      <c r="C40" s="23" t="s">
        <v>57</v>
      </c>
      <c r="D40" s="23">
        <v>39</v>
      </c>
      <c r="E40" s="23">
        <v>1</v>
      </c>
      <c r="G40" s="23" t="s">
        <v>346</v>
      </c>
      <c r="J40" s="23" t="s">
        <v>312</v>
      </c>
      <c r="K40" s="23" t="s">
        <v>199</v>
      </c>
      <c r="N40" s="73"/>
      <c r="O40" s="75"/>
      <c r="P40" s="76">
        <v>1</v>
      </c>
      <c r="Q40" s="77"/>
      <c r="U40" s="75"/>
      <c r="V40" s="78"/>
      <c r="W40" s="79"/>
      <c r="X40" s="80"/>
      <c r="AA40" s="81"/>
      <c r="AB40" s="52" t="s">
        <v>205</v>
      </c>
      <c r="AD40" s="23" t="s">
        <v>313</v>
      </c>
      <c r="AE40" s="23"/>
      <c r="AF40" s="23" t="s">
        <v>347</v>
      </c>
      <c r="AO40" s="24"/>
      <c r="AP40" s="73"/>
      <c r="AQ40" s="75"/>
      <c r="AR40" s="76"/>
      <c r="AS40" s="77"/>
      <c r="AV40" s="75"/>
      <c r="AW40" s="83"/>
      <c r="AX40" s="84"/>
      <c r="AY40" s="80"/>
      <c r="BB40" s="81"/>
      <c r="BE40" s="24"/>
      <c r="BF40" s="23"/>
    </row>
    <row r="41" spans="1:58" ht="15" customHeight="1">
      <c r="A41" s="23" t="s">
        <v>183</v>
      </c>
      <c r="B41" s="23" t="s">
        <v>532</v>
      </c>
      <c r="C41" s="23" t="s">
        <v>57</v>
      </c>
      <c r="D41" s="23">
        <v>40</v>
      </c>
      <c r="E41" s="23">
        <v>1</v>
      </c>
      <c r="G41" s="23" t="s">
        <v>324</v>
      </c>
      <c r="J41" s="23" t="s">
        <v>257</v>
      </c>
      <c r="K41" s="23" t="s">
        <v>199</v>
      </c>
      <c r="L41" s="23">
        <v>1</v>
      </c>
      <c r="N41" s="73">
        <v>0</v>
      </c>
      <c r="O41" s="75"/>
      <c r="P41" s="76">
        <v>1</v>
      </c>
      <c r="Q41" s="77"/>
      <c r="U41" s="75"/>
      <c r="V41" s="78"/>
      <c r="W41" s="79"/>
      <c r="X41" s="80"/>
      <c r="AA41" s="81"/>
      <c r="AB41" s="52" t="s">
        <v>205</v>
      </c>
      <c r="AC41" s="23" t="s">
        <v>258</v>
      </c>
      <c r="AD41" s="23" t="s">
        <v>325</v>
      </c>
      <c r="AE41" s="23"/>
      <c r="AF41" s="23" t="s">
        <v>348</v>
      </c>
      <c r="AO41" s="24"/>
      <c r="AP41" s="73"/>
      <c r="AQ41" s="75"/>
      <c r="AR41" s="76"/>
      <c r="AS41" s="77"/>
      <c r="AV41" s="75"/>
      <c r="AW41" s="83"/>
      <c r="AX41" s="84"/>
      <c r="AY41" s="80"/>
      <c r="BB41" s="81"/>
      <c r="BE41" s="24"/>
      <c r="BF41" s="23"/>
    </row>
    <row r="42" spans="1:58" ht="15" customHeight="1">
      <c r="A42" s="23" t="s">
        <v>183</v>
      </c>
      <c r="B42" s="23" t="s">
        <v>650</v>
      </c>
      <c r="C42" s="23" t="s">
        <v>57</v>
      </c>
      <c r="D42" s="23">
        <v>41</v>
      </c>
      <c r="E42" s="23">
        <v>1</v>
      </c>
      <c r="G42" s="23" t="s">
        <v>651</v>
      </c>
      <c r="H42" s="23" t="s">
        <v>652</v>
      </c>
      <c r="I42" s="23" t="s">
        <v>223</v>
      </c>
      <c r="J42" s="23" t="s">
        <v>257</v>
      </c>
      <c r="K42" s="23" t="s">
        <v>199</v>
      </c>
      <c r="L42" s="23">
        <v>2</v>
      </c>
      <c r="N42" s="73">
        <v>3</v>
      </c>
      <c r="O42" s="75">
        <v>1</v>
      </c>
      <c r="P42" s="76">
        <v>1</v>
      </c>
      <c r="Q42" s="77">
        <v>1</v>
      </c>
      <c r="S42" s="113">
        <v>1</v>
      </c>
      <c r="U42" s="75"/>
      <c r="V42" s="78"/>
      <c r="W42" s="79"/>
      <c r="X42" s="80"/>
      <c r="AA42" s="81"/>
      <c r="AB42" s="52" t="s">
        <v>1079</v>
      </c>
      <c r="AC42" s="23" t="s">
        <v>653</v>
      </c>
      <c r="AD42" s="23" t="s">
        <v>276</v>
      </c>
      <c r="AE42" s="23"/>
      <c r="AF42" s="23" t="s">
        <v>654</v>
      </c>
      <c r="AO42" s="24"/>
      <c r="AP42" s="73"/>
      <c r="AQ42" s="75"/>
      <c r="AR42" s="76"/>
      <c r="AS42" s="77"/>
      <c r="AV42" s="75"/>
      <c r="AW42" s="83"/>
      <c r="AX42" s="84"/>
      <c r="AY42" s="80"/>
      <c r="BB42" s="81"/>
      <c r="BE42" s="24"/>
      <c r="BF42" s="23"/>
    </row>
    <row r="43" spans="1:58" ht="15" customHeight="1">
      <c r="A43" s="23" t="s">
        <v>183</v>
      </c>
      <c r="B43" s="23" t="s">
        <v>533</v>
      </c>
      <c r="C43" s="23" t="s">
        <v>57</v>
      </c>
      <c r="D43" s="23">
        <v>42</v>
      </c>
      <c r="E43" s="23">
        <v>1</v>
      </c>
      <c r="G43" s="23" t="s">
        <v>349</v>
      </c>
      <c r="J43" s="23" t="s">
        <v>257</v>
      </c>
      <c r="K43" s="23" t="s">
        <v>199</v>
      </c>
      <c r="L43" s="23">
        <v>2</v>
      </c>
      <c r="N43" s="73">
        <v>2</v>
      </c>
      <c r="O43" s="75"/>
      <c r="P43" s="76"/>
      <c r="Q43" s="77"/>
      <c r="S43" s="113">
        <v>1</v>
      </c>
      <c r="U43" s="75"/>
      <c r="V43" s="78"/>
      <c r="W43" s="79"/>
      <c r="X43" s="80"/>
      <c r="AA43" s="81"/>
      <c r="AB43" s="52" t="s">
        <v>208</v>
      </c>
      <c r="AC43" s="23" t="s">
        <v>258</v>
      </c>
      <c r="AD43" s="23" t="s">
        <v>269</v>
      </c>
      <c r="AE43" s="23"/>
      <c r="AF43" s="23" t="s">
        <v>350</v>
      </c>
      <c r="AO43" s="24"/>
      <c r="AP43" s="73"/>
      <c r="AQ43" s="75"/>
      <c r="AR43" s="76"/>
      <c r="AS43" s="77"/>
      <c r="AV43" s="75"/>
      <c r="AW43" s="83"/>
      <c r="AX43" s="84"/>
      <c r="AY43" s="80"/>
      <c r="BB43" s="81"/>
      <c r="BE43" s="24"/>
      <c r="BF43" s="23"/>
    </row>
    <row r="44" spans="1:58" ht="15" customHeight="1">
      <c r="A44" s="23" t="s">
        <v>183</v>
      </c>
      <c r="B44" s="23" t="s">
        <v>655</v>
      </c>
      <c r="C44" s="23" t="s">
        <v>57</v>
      </c>
      <c r="D44" s="23">
        <v>43</v>
      </c>
      <c r="E44" s="23">
        <v>1</v>
      </c>
      <c r="G44" s="23" t="s">
        <v>656</v>
      </c>
      <c r="J44" s="23" t="s">
        <v>27</v>
      </c>
      <c r="K44" s="23" t="s">
        <v>199</v>
      </c>
      <c r="L44" s="23">
        <v>4</v>
      </c>
      <c r="N44" s="73">
        <v>0</v>
      </c>
      <c r="O44" s="75"/>
      <c r="P44" s="76"/>
      <c r="Q44" s="77"/>
      <c r="U44" s="75"/>
      <c r="V44" s="78"/>
      <c r="W44" s="79"/>
      <c r="X44" s="80"/>
      <c r="AA44" s="81"/>
      <c r="AB44" s="42"/>
      <c r="AD44" s="23" t="s">
        <v>340</v>
      </c>
      <c r="AE44" s="23" t="s">
        <v>657</v>
      </c>
      <c r="AF44" s="23" t="s">
        <v>658</v>
      </c>
      <c r="AO44" s="24"/>
      <c r="AP44" s="73"/>
      <c r="AQ44" s="75"/>
      <c r="AR44" s="76"/>
      <c r="AS44" s="77"/>
      <c r="AV44" s="75"/>
      <c r="AW44" s="83"/>
      <c r="AX44" s="84"/>
      <c r="AY44" s="80"/>
      <c r="BB44" s="81"/>
      <c r="BE44" s="24"/>
      <c r="BF44" s="23"/>
    </row>
    <row r="45" spans="1:58" ht="15" customHeight="1">
      <c r="A45" s="23" t="s">
        <v>183</v>
      </c>
      <c r="B45" s="23" t="s">
        <v>534</v>
      </c>
      <c r="C45" s="23" t="s">
        <v>57</v>
      </c>
      <c r="D45" s="23">
        <v>44</v>
      </c>
      <c r="E45" s="23">
        <v>1</v>
      </c>
      <c r="G45" s="23" t="s">
        <v>351</v>
      </c>
      <c r="J45" s="23" t="s">
        <v>257</v>
      </c>
      <c r="K45" s="23" t="s">
        <v>201</v>
      </c>
      <c r="N45" s="73">
        <v>1</v>
      </c>
      <c r="O45" s="75"/>
      <c r="P45" s="76"/>
      <c r="Q45" s="77"/>
      <c r="R45" s="66">
        <v>1</v>
      </c>
      <c r="U45" s="75"/>
      <c r="V45" s="78"/>
      <c r="W45" s="79"/>
      <c r="X45" s="80"/>
      <c r="AA45" s="81"/>
      <c r="AB45" s="52" t="s">
        <v>207</v>
      </c>
      <c r="AC45" s="23" t="s">
        <v>258</v>
      </c>
      <c r="AD45" s="23" t="s">
        <v>352</v>
      </c>
      <c r="AE45" s="23"/>
      <c r="AF45" s="23" t="s">
        <v>353</v>
      </c>
      <c r="AO45" s="24"/>
      <c r="AP45" s="73"/>
      <c r="AQ45" s="75"/>
      <c r="AR45" s="76"/>
      <c r="AS45" s="77"/>
      <c r="AV45" s="75"/>
      <c r="AW45" s="83"/>
      <c r="AX45" s="84"/>
      <c r="AY45" s="80"/>
      <c r="BB45" s="81"/>
      <c r="BE45" s="24"/>
      <c r="BF45" s="23"/>
    </row>
    <row r="46" spans="1:58" ht="15" customHeight="1">
      <c r="A46" s="23" t="s">
        <v>183</v>
      </c>
      <c r="B46" s="23" t="s">
        <v>535</v>
      </c>
      <c r="C46" s="23" t="s">
        <v>57</v>
      </c>
      <c r="D46" s="23">
        <v>45</v>
      </c>
      <c r="E46" s="23">
        <v>1</v>
      </c>
      <c r="G46" s="23" t="s">
        <v>354</v>
      </c>
      <c r="J46" s="23" t="s">
        <v>257</v>
      </c>
      <c r="K46" s="23" t="s">
        <v>201</v>
      </c>
      <c r="N46" s="73">
        <v>1</v>
      </c>
      <c r="O46" s="75"/>
      <c r="P46" s="76">
        <v>1</v>
      </c>
      <c r="Q46" s="77"/>
      <c r="U46" s="75"/>
      <c r="V46" s="78"/>
      <c r="W46" s="79"/>
      <c r="X46" s="80"/>
      <c r="AA46" s="81"/>
      <c r="AB46" s="52" t="s">
        <v>205</v>
      </c>
      <c r="AD46" s="23" t="s">
        <v>355</v>
      </c>
      <c r="AE46" s="23"/>
      <c r="AF46" s="23" t="s">
        <v>356</v>
      </c>
      <c r="AO46" s="24"/>
      <c r="AP46" s="73"/>
      <c r="AQ46" s="75"/>
      <c r="AR46" s="76"/>
      <c r="AS46" s="77"/>
      <c r="AV46" s="75"/>
      <c r="AW46" s="83"/>
      <c r="AX46" s="84"/>
      <c r="AY46" s="80"/>
      <c r="BB46" s="81"/>
      <c r="BE46" s="24"/>
      <c r="BF46" s="23"/>
    </row>
    <row r="47" spans="1:58" ht="15" customHeight="1">
      <c r="A47" s="23" t="s">
        <v>183</v>
      </c>
      <c r="B47" s="23" t="s">
        <v>536</v>
      </c>
      <c r="C47" s="23" t="s">
        <v>57</v>
      </c>
      <c r="D47" s="23">
        <v>46</v>
      </c>
      <c r="E47" s="23">
        <v>1</v>
      </c>
      <c r="G47" s="23" t="s">
        <v>357</v>
      </c>
      <c r="J47" s="23" t="s">
        <v>257</v>
      </c>
      <c r="K47" s="23" t="s">
        <v>201</v>
      </c>
      <c r="N47" s="73">
        <v>2</v>
      </c>
      <c r="O47" s="75"/>
      <c r="P47" s="76"/>
      <c r="Q47" s="77"/>
      <c r="R47" s="66">
        <v>1</v>
      </c>
      <c r="U47" s="75"/>
      <c r="V47" s="78"/>
      <c r="W47" s="79"/>
      <c r="X47" s="80"/>
      <c r="AA47" s="81"/>
      <c r="AB47" s="52" t="s">
        <v>207</v>
      </c>
      <c r="AD47" s="23" t="s">
        <v>355</v>
      </c>
      <c r="AE47" s="23"/>
      <c r="AF47" s="23" t="s">
        <v>358</v>
      </c>
      <c r="AO47" s="24"/>
      <c r="AP47" s="73"/>
      <c r="AQ47" s="75"/>
      <c r="AR47" s="76"/>
      <c r="AS47" s="77"/>
      <c r="AV47" s="75"/>
      <c r="AW47" s="83"/>
      <c r="AX47" s="84"/>
      <c r="AY47" s="80"/>
      <c r="BB47" s="81"/>
      <c r="BE47" s="24"/>
      <c r="BF47" s="23"/>
    </row>
    <row r="48" spans="1:58" ht="15" customHeight="1">
      <c r="A48" s="23" t="s">
        <v>183</v>
      </c>
      <c r="B48" s="23" t="s">
        <v>537</v>
      </c>
      <c r="C48" s="23" t="s">
        <v>57</v>
      </c>
      <c r="D48" s="23">
        <v>47</v>
      </c>
      <c r="E48" s="23">
        <v>1</v>
      </c>
      <c r="G48" s="23" t="s">
        <v>359</v>
      </c>
      <c r="J48" s="23" t="s">
        <v>257</v>
      </c>
      <c r="K48" s="23" t="s">
        <v>201</v>
      </c>
      <c r="N48" s="73">
        <v>3</v>
      </c>
      <c r="O48" s="75"/>
      <c r="P48" s="76"/>
      <c r="Q48" s="77"/>
      <c r="U48" s="75"/>
      <c r="V48" s="78"/>
      <c r="W48" s="79"/>
      <c r="X48" s="80"/>
      <c r="AA48" s="81"/>
      <c r="AB48" s="52" t="s">
        <v>206</v>
      </c>
      <c r="AC48" s="23" t="s">
        <v>258</v>
      </c>
      <c r="AD48" s="23" t="s">
        <v>923</v>
      </c>
      <c r="AE48" s="23" t="s">
        <v>924</v>
      </c>
      <c r="AF48" s="23" t="s">
        <v>925</v>
      </c>
      <c r="AO48" s="24"/>
      <c r="AP48" s="73"/>
      <c r="AQ48" s="75"/>
      <c r="AR48" s="76"/>
      <c r="AS48" s="77"/>
      <c r="AV48" s="75"/>
      <c r="AW48" s="83"/>
      <c r="AX48" s="84"/>
      <c r="AY48" s="80"/>
      <c r="BB48" s="81"/>
      <c r="BE48" s="24"/>
      <c r="BF48" s="23"/>
    </row>
    <row r="49" spans="1:58" ht="15" customHeight="1">
      <c r="A49" s="23" t="s">
        <v>183</v>
      </c>
      <c r="B49" s="23" t="s">
        <v>538</v>
      </c>
      <c r="C49" s="23" t="s">
        <v>57</v>
      </c>
      <c r="D49" s="23">
        <v>48</v>
      </c>
      <c r="E49" s="23">
        <v>1</v>
      </c>
      <c r="G49" s="23" t="s">
        <v>360</v>
      </c>
      <c r="H49" s="23" t="s">
        <v>361</v>
      </c>
      <c r="I49" s="23" t="s">
        <v>223</v>
      </c>
      <c r="J49" s="23" t="s">
        <v>257</v>
      </c>
      <c r="K49" s="23" t="s">
        <v>201</v>
      </c>
      <c r="N49" s="73">
        <v>6</v>
      </c>
      <c r="O49" s="75"/>
      <c r="P49" s="76">
        <v>1</v>
      </c>
      <c r="Q49" s="77"/>
      <c r="T49" s="68">
        <v>2</v>
      </c>
      <c r="U49" s="75">
        <v>2</v>
      </c>
      <c r="V49" s="78"/>
      <c r="W49" s="79"/>
      <c r="X49" s="80"/>
      <c r="AA49" s="81"/>
      <c r="AB49" s="52" t="s">
        <v>205</v>
      </c>
      <c r="AC49" s="23" t="s">
        <v>25</v>
      </c>
      <c r="AD49" s="23" t="s">
        <v>362</v>
      </c>
      <c r="AE49" s="23"/>
      <c r="AF49" s="23" t="s">
        <v>363</v>
      </c>
      <c r="AO49" s="24"/>
      <c r="AP49" s="73"/>
      <c r="AQ49" s="75"/>
      <c r="AR49" s="76"/>
      <c r="AS49" s="77"/>
      <c r="AV49" s="75"/>
      <c r="AW49" s="83"/>
      <c r="AX49" s="84"/>
      <c r="AY49" s="80"/>
      <c r="BB49" s="81"/>
      <c r="BE49" s="24"/>
      <c r="BF49" s="23"/>
    </row>
    <row r="50" spans="1:58" ht="15" customHeight="1">
      <c r="A50" s="23" t="s">
        <v>183</v>
      </c>
      <c r="B50" s="23" t="s">
        <v>539</v>
      </c>
      <c r="C50" s="23" t="s">
        <v>57</v>
      </c>
      <c r="D50" s="23">
        <v>49</v>
      </c>
      <c r="E50" s="23">
        <v>1</v>
      </c>
      <c r="G50" s="23" t="s">
        <v>364</v>
      </c>
      <c r="J50" s="23" t="s">
        <v>257</v>
      </c>
      <c r="K50" s="23" t="s">
        <v>201</v>
      </c>
      <c r="N50" s="73">
        <v>2</v>
      </c>
      <c r="O50" s="75"/>
      <c r="P50" s="76"/>
      <c r="Q50" s="77">
        <v>1</v>
      </c>
      <c r="R50" s="66">
        <v>1</v>
      </c>
      <c r="U50" s="75"/>
      <c r="V50" s="78"/>
      <c r="W50" s="79"/>
      <c r="X50" s="80"/>
      <c r="AA50" s="81"/>
      <c r="AB50" s="52" t="s">
        <v>1087</v>
      </c>
      <c r="AD50" s="23" t="s">
        <v>289</v>
      </c>
      <c r="AE50" s="23"/>
      <c r="AF50" s="23" t="s">
        <v>365</v>
      </c>
      <c r="AO50" s="24"/>
      <c r="AP50" s="73"/>
      <c r="AQ50" s="75"/>
      <c r="AR50" s="76"/>
      <c r="AS50" s="77"/>
      <c r="AV50" s="75"/>
      <c r="AW50" s="83"/>
      <c r="AX50" s="84"/>
      <c r="AY50" s="80"/>
      <c r="BB50" s="81"/>
      <c r="BE50" s="24"/>
      <c r="BF50" s="23"/>
    </row>
    <row r="51" spans="1:58" ht="15" customHeight="1">
      <c r="A51" s="23" t="s">
        <v>183</v>
      </c>
      <c r="B51" s="23" t="s">
        <v>540</v>
      </c>
      <c r="C51" s="23" t="s">
        <v>57</v>
      </c>
      <c r="D51" s="23">
        <v>50</v>
      </c>
      <c r="E51" s="23">
        <v>1</v>
      </c>
      <c r="G51" s="23" t="s">
        <v>366</v>
      </c>
      <c r="J51" s="23" t="s">
        <v>27</v>
      </c>
      <c r="K51" s="23" t="s">
        <v>201</v>
      </c>
      <c r="N51" s="73">
        <v>2</v>
      </c>
      <c r="O51" s="75"/>
      <c r="P51" s="76"/>
      <c r="Q51" s="77"/>
      <c r="U51" s="75"/>
      <c r="V51" s="78"/>
      <c r="W51" s="79"/>
      <c r="X51" s="80"/>
      <c r="AA51" s="81"/>
      <c r="AB51" s="52" t="s">
        <v>1089</v>
      </c>
      <c r="AD51" s="23" t="s">
        <v>307</v>
      </c>
      <c r="AE51" s="23" t="s">
        <v>657</v>
      </c>
      <c r="AF51" s="23" t="s">
        <v>926</v>
      </c>
      <c r="AO51" s="24"/>
      <c r="AP51" s="73"/>
      <c r="AQ51" s="75"/>
      <c r="AR51" s="76"/>
      <c r="AS51" s="77"/>
      <c r="AV51" s="75"/>
      <c r="AW51" s="83"/>
      <c r="AX51" s="84"/>
      <c r="AY51" s="80"/>
      <c r="BB51" s="81"/>
      <c r="BE51" s="24"/>
      <c r="BF51" s="23"/>
    </row>
    <row r="52" spans="1:58" ht="15" customHeight="1">
      <c r="A52" s="23" t="s">
        <v>183</v>
      </c>
      <c r="B52" s="23" t="s">
        <v>541</v>
      </c>
      <c r="C52" s="23" t="s">
        <v>57</v>
      </c>
      <c r="D52" s="23">
        <v>51</v>
      </c>
      <c r="E52" s="23">
        <v>1</v>
      </c>
      <c r="G52" s="23" t="s">
        <v>367</v>
      </c>
      <c r="J52" s="23" t="s">
        <v>27</v>
      </c>
      <c r="K52" s="23" t="s">
        <v>201</v>
      </c>
      <c r="N52" s="73">
        <v>3</v>
      </c>
      <c r="O52" s="75"/>
      <c r="P52" s="76"/>
      <c r="Q52" s="77">
        <v>1</v>
      </c>
      <c r="R52" s="66">
        <v>1</v>
      </c>
      <c r="U52" s="75"/>
      <c r="V52" s="78"/>
      <c r="W52" s="79"/>
      <c r="X52" s="80"/>
      <c r="AA52" s="81"/>
      <c r="AB52" s="52" t="s">
        <v>1087</v>
      </c>
      <c r="AD52" s="23" t="s">
        <v>307</v>
      </c>
      <c r="AE52" s="23"/>
      <c r="AF52" s="23" t="s">
        <v>368</v>
      </c>
      <c r="AO52" s="24"/>
      <c r="AP52" s="73"/>
      <c r="AQ52" s="75"/>
      <c r="AR52" s="76"/>
      <c r="AS52" s="77"/>
      <c r="AV52" s="75"/>
      <c r="AW52" s="83"/>
      <c r="AX52" s="84"/>
      <c r="AY52" s="80"/>
      <c r="BB52" s="81"/>
      <c r="BE52" s="24"/>
      <c r="BF52" s="23"/>
    </row>
    <row r="53" spans="1:58" ht="15" customHeight="1">
      <c r="A53" s="23" t="s">
        <v>183</v>
      </c>
      <c r="B53" s="23" t="s">
        <v>542</v>
      </c>
      <c r="C53" s="23" t="s">
        <v>57</v>
      </c>
      <c r="D53" s="23">
        <v>52</v>
      </c>
      <c r="E53" s="23">
        <v>1</v>
      </c>
      <c r="G53" s="23" t="s">
        <v>369</v>
      </c>
      <c r="J53" s="23" t="s">
        <v>27</v>
      </c>
      <c r="K53" s="23" t="s">
        <v>201</v>
      </c>
      <c r="N53" s="73">
        <v>2</v>
      </c>
      <c r="O53" s="75"/>
      <c r="P53" s="76"/>
      <c r="Q53" s="77"/>
      <c r="U53" s="75"/>
      <c r="V53" s="78"/>
      <c r="W53" s="79"/>
      <c r="X53" s="80"/>
      <c r="AA53" s="81"/>
      <c r="AB53" s="52" t="s">
        <v>1091</v>
      </c>
      <c r="AD53" s="23" t="s">
        <v>307</v>
      </c>
      <c r="AE53" s="23"/>
      <c r="AF53" s="23" t="s">
        <v>927</v>
      </c>
      <c r="AO53" s="24"/>
      <c r="AP53" s="73"/>
      <c r="AQ53" s="75"/>
      <c r="AR53" s="76"/>
      <c r="AS53" s="77"/>
      <c r="AV53" s="75"/>
      <c r="AW53" s="83"/>
      <c r="AX53" s="84"/>
      <c r="AY53" s="80"/>
      <c r="BB53" s="81"/>
      <c r="BE53" s="24"/>
      <c r="BF53" s="23"/>
    </row>
    <row r="54" spans="1:58" ht="15" customHeight="1">
      <c r="A54" s="23" t="s">
        <v>183</v>
      </c>
      <c r="B54" s="23" t="s">
        <v>543</v>
      </c>
      <c r="C54" s="23" t="s">
        <v>57</v>
      </c>
      <c r="D54" s="23">
        <v>53</v>
      </c>
      <c r="E54" s="23">
        <v>1</v>
      </c>
      <c r="G54" s="23" t="s">
        <v>370</v>
      </c>
      <c r="J54" s="23" t="s">
        <v>312</v>
      </c>
      <c r="K54" s="23" t="s">
        <v>201</v>
      </c>
      <c r="N54" s="73"/>
      <c r="O54" s="75"/>
      <c r="P54" s="76"/>
      <c r="Q54" s="77"/>
      <c r="S54" s="113">
        <v>1</v>
      </c>
      <c r="U54" s="75"/>
      <c r="V54" s="78"/>
      <c r="W54" s="79"/>
      <c r="X54" s="80"/>
      <c r="AA54" s="81"/>
      <c r="AB54" s="52" t="s">
        <v>208</v>
      </c>
      <c r="AD54" s="23" t="s">
        <v>412</v>
      </c>
      <c r="AE54" s="23" t="s">
        <v>928</v>
      </c>
      <c r="AF54" s="23" t="s">
        <v>929</v>
      </c>
      <c r="AO54" s="24"/>
      <c r="AP54" s="73"/>
      <c r="AQ54" s="75"/>
      <c r="AR54" s="76"/>
      <c r="AS54" s="77"/>
      <c r="AV54" s="75"/>
      <c r="AW54" s="83"/>
      <c r="AX54" s="84"/>
      <c r="AY54" s="80"/>
      <c r="BB54" s="81"/>
      <c r="BE54" s="24"/>
      <c r="BF54" s="23"/>
    </row>
    <row r="55" spans="1:58" ht="15" customHeight="1">
      <c r="A55" s="23" t="s">
        <v>183</v>
      </c>
      <c r="B55" s="23" t="s">
        <v>544</v>
      </c>
      <c r="C55" s="23" t="s">
        <v>57</v>
      </c>
      <c r="D55" s="23">
        <v>54</v>
      </c>
      <c r="E55" s="23">
        <v>1</v>
      </c>
      <c r="G55" s="23" t="s">
        <v>360</v>
      </c>
      <c r="H55" s="23" t="s">
        <v>361</v>
      </c>
      <c r="I55" s="23" t="s">
        <v>223</v>
      </c>
      <c r="J55" s="23" t="s">
        <v>257</v>
      </c>
      <c r="K55" s="23" t="s">
        <v>201</v>
      </c>
      <c r="L55" s="23">
        <v>1</v>
      </c>
      <c r="N55" s="73">
        <v>5</v>
      </c>
      <c r="O55" s="75"/>
      <c r="P55" s="76">
        <v>1</v>
      </c>
      <c r="Q55" s="77"/>
      <c r="T55" s="68">
        <v>2</v>
      </c>
      <c r="U55" s="75">
        <v>2</v>
      </c>
      <c r="V55" s="78"/>
      <c r="W55" s="79"/>
      <c r="X55" s="80"/>
      <c r="AA55" s="81"/>
      <c r="AB55" s="52" t="s">
        <v>205</v>
      </c>
      <c r="AC55" s="23" t="s">
        <v>25</v>
      </c>
      <c r="AD55" s="23" t="s">
        <v>362</v>
      </c>
      <c r="AE55" s="23"/>
      <c r="AF55" s="23" t="s">
        <v>363</v>
      </c>
      <c r="AO55" s="24"/>
      <c r="AP55" s="73"/>
      <c r="AQ55" s="75"/>
      <c r="AR55" s="76"/>
      <c r="AS55" s="77"/>
      <c r="AV55" s="75"/>
      <c r="AW55" s="83"/>
      <c r="AX55" s="84"/>
      <c r="AY55" s="80"/>
      <c r="BB55" s="81"/>
      <c r="BE55" s="24"/>
      <c r="BF55" s="23"/>
    </row>
    <row r="56" spans="1:58" ht="15" customHeight="1">
      <c r="A56" s="23" t="s">
        <v>183</v>
      </c>
      <c r="B56" s="23" t="s">
        <v>659</v>
      </c>
      <c r="C56" s="23" t="s">
        <v>57</v>
      </c>
      <c r="D56" s="23">
        <v>55</v>
      </c>
      <c r="E56" s="23">
        <v>1</v>
      </c>
      <c r="G56" s="23" t="s">
        <v>1097</v>
      </c>
      <c r="J56" s="23" t="s">
        <v>257</v>
      </c>
      <c r="K56" s="23" t="s">
        <v>201</v>
      </c>
      <c r="L56" s="23">
        <v>1</v>
      </c>
      <c r="N56" s="73">
        <v>4</v>
      </c>
      <c r="O56" s="75">
        <v>1</v>
      </c>
      <c r="P56" s="76"/>
      <c r="Q56" s="77"/>
      <c r="R56" s="66">
        <v>1</v>
      </c>
      <c r="T56" s="68">
        <v>2</v>
      </c>
      <c r="U56" s="75">
        <v>2</v>
      </c>
      <c r="V56" s="78"/>
      <c r="W56" s="79"/>
      <c r="X56" s="80"/>
      <c r="AA56" s="81"/>
      <c r="AB56" s="52" t="s">
        <v>1085</v>
      </c>
      <c r="AC56" s="23" t="s">
        <v>25</v>
      </c>
      <c r="AD56" s="23" t="s">
        <v>362</v>
      </c>
      <c r="AE56" s="23" t="s">
        <v>661</v>
      </c>
      <c r="AF56" s="23" t="s">
        <v>662</v>
      </c>
      <c r="AO56" s="24"/>
      <c r="AP56" s="73"/>
      <c r="AQ56" s="75"/>
      <c r="AR56" s="76"/>
      <c r="AS56" s="77"/>
      <c r="AV56" s="75"/>
      <c r="AW56" s="83"/>
      <c r="AX56" s="84"/>
      <c r="AY56" s="80"/>
      <c r="BB56" s="81"/>
      <c r="BE56" s="24"/>
      <c r="BF56" s="23"/>
    </row>
    <row r="57" spans="1:58" ht="15" customHeight="1">
      <c r="A57" s="23" t="s">
        <v>183</v>
      </c>
      <c r="B57" s="23" t="s">
        <v>660</v>
      </c>
      <c r="C57" s="23" t="s">
        <v>57</v>
      </c>
      <c r="D57" s="23">
        <v>56</v>
      </c>
      <c r="E57" s="23">
        <v>1</v>
      </c>
      <c r="G57" s="23" t="s">
        <v>663</v>
      </c>
      <c r="J57" s="23" t="s">
        <v>27</v>
      </c>
      <c r="K57" s="23" t="s">
        <v>201</v>
      </c>
      <c r="L57" s="23">
        <v>3</v>
      </c>
      <c r="N57" s="73">
        <v>2</v>
      </c>
      <c r="O57" s="75"/>
      <c r="P57" s="76"/>
      <c r="Q57" s="77"/>
      <c r="U57" s="75"/>
      <c r="V57" s="78"/>
      <c r="W57" s="79"/>
      <c r="X57" s="80"/>
      <c r="AA57" s="81"/>
      <c r="AB57" s="42"/>
      <c r="AD57" s="23" t="s">
        <v>664</v>
      </c>
      <c r="AE57" s="23"/>
      <c r="AF57" s="23" t="s">
        <v>665</v>
      </c>
      <c r="AO57" s="24"/>
      <c r="AP57" s="73"/>
      <c r="AQ57" s="75"/>
      <c r="AR57" s="76"/>
      <c r="AS57" s="77"/>
      <c r="AV57" s="75"/>
      <c r="AW57" s="83"/>
      <c r="AX57" s="84"/>
      <c r="AY57" s="80"/>
      <c r="BB57" s="81"/>
      <c r="BE57" s="24"/>
      <c r="BF57" s="23"/>
    </row>
    <row r="58" spans="1:58" ht="15" customHeight="1">
      <c r="A58" s="23" t="s">
        <v>183</v>
      </c>
      <c r="B58" s="23" t="s">
        <v>545</v>
      </c>
      <c r="C58" s="23" t="s">
        <v>57</v>
      </c>
      <c r="D58" s="23">
        <v>57</v>
      </c>
      <c r="E58" s="23">
        <v>1</v>
      </c>
      <c r="G58" s="23" t="s">
        <v>371</v>
      </c>
      <c r="J58" s="23" t="s">
        <v>27</v>
      </c>
      <c r="K58" s="23" t="s">
        <v>201</v>
      </c>
      <c r="L58" s="23">
        <v>4</v>
      </c>
      <c r="N58" s="73">
        <v>3</v>
      </c>
      <c r="O58" s="75"/>
      <c r="P58" s="76"/>
      <c r="Q58" s="77"/>
      <c r="S58" s="113">
        <v>1</v>
      </c>
      <c r="U58" s="75"/>
      <c r="V58" s="78"/>
      <c r="W58" s="79"/>
      <c r="X58" s="80"/>
      <c r="AA58" s="81"/>
      <c r="AB58" s="52" t="s">
        <v>208</v>
      </c>
      <c r="AD58" s="23" t="s">
        <v>372</v>
      </c>
      <c r="AE58" s="23"/>
      <c r="AF58" s="23" t="s">
        <v>373</v>
      </c>
      <c r="AO58" s="24"/>
      <c r="AP58" s="73"/>
      <c r="AQ58" s="75"/>
      <c r="AR58" s="76"/>
      <c r="AS58" s="77"/>
      <c r="AV58" s="75"/>
      <c r="AW58" s="83"/>
      <c r="AX58" s="84"/>
      <c r="AY58" s="80"/>
      <c r="BB58" s="81"/>
      <c r="BE58" s="24"/>
      <c r="BF58" s="23"/>
    </row>
    <row r="59" spans="1:58" ht="15" customHeight="1">
      <c r="A59" s="23" t="s">
        <v>183</v>
      </c>
      <c r="B59" s="23" t="s">
        <v>546</v>
      </c>
      <c r="C59" s="23" t="s">
        <v>57</v>
      </c>
      <c r="D59" s="23">
        <v>58</v>
      </c>
      <c r="E59" s="23">
        <v>1</v>
      </c>
      <c r="G59" s="23" t="s">
        <v>666</v>
      </c>
      <c r="J59" s="23" t="s">
        <v>257</v>
      </c>
      <c r="K59" s="23" t="s">
        <v>200</v>
      </c>
      <c r="N59" s="73">
        <v>0</v>
      </c>
      <c r="O59" s="75"/>
      <c r="P59" s="76">
        <v>1</v>
      </c>
      <c r="Q59" s="77"/>
      <c r="U59" s="75"/>
      <c r="V59" s="78"/>
      <c r="W59" s="79"/>
      <c r="X59" s="80"/>
      <c r="AA59" s="81"/>
      <c r="AB59" s="52" t="s">
        <v>205</v>
      </c>
      <c r="AD59" s="23" t="s">
        <v>289</v>
      </c>
      <c r="AE59" s="23"/>
      <c r="AF59" s="23" t="s">
        <v>667</v>
      </c>
      <c r="AO59" s="24"/>
      <c r="AP59" s="73"/>
      <c r="AQ59" s="75"/>
      <c r="AR59" s="76"/>
      <c r="AS59" s="77"/>
      <c r="AV59" s="75"/>
      <c r="AW59" s="83"/>
      <c r="AX59" s="84"/>
      <c r="AY59" s="80"/>
      <c r="BB59" s="81"/>
      <c r="BE59" s="24"/>
      <c r="BF59" s="23"/>
    </row>
    <row r="60" spans="1:58" ht="15" customHeight="1">
      <c r="A60" s="23" t="s">
        <v>183</v>
      </c>
      <c r="B60" s="23" t="s">
        <v>547</v>
      </c>
      <c r="C60" s="23" t="s">
        <v>57</v>
      </c>
      <c r="D60" s="23">
        <v>59</v>
      </c>
      <c r="E60" s="23">
        <v>1</v>
      </c>
      <c r="G60" s="23" t="s">
        <v>374</v>
      </c>
      <c r="J60" s="23" t="s">
        <v>257</v>
      </c>
      <c r="K60" s="23" t="s">
        <v>200</v>
      </c>
      <c r="N60" s="73">
        <v>2</v>
      </c>
      <c r="O60" s="75">
        <v>1</v>
      </c>
      <c r="P60" s="76"/>
      <c r="Q60" s="77"/>
      <c r="T60" s="68" t="s">
        <v>38</v>
      </c>
      <c r="U60" s="75">
        <v>2</v>
      </c>
      <c r="V60" s="78"/>
      <c r="W60" s="79"/>
      <c r="X60" s="80"/>
      <c r="AA60" s="81"/>
      <c r="AB60" s="52" t="s">
        <v>204</v>
      </c>
      <c r="AC60" s="23" t="s">
        <v>275</v>
      </c>
      <c r="AD60" s="23" t="s">
        <v>375</v>
      </c>
      <c r="AE60" s="23"/>
      <c r="AF60" s="23" t="s">
        <v>376</v>
      </c>
      <c r="AO60" s="24"/>
      <c r="AP60" s="73"/>
      <c r="AQ60" s="75"/>
      <c r="AR60" s="76"/>
      <c r="AS60" s="77"/>
      <c r="AV60" s="75"/>
      <c r="AW60" s="83"/>
      <c r="AX60" s="84"/>
      <c r="AY60" s="80"/>
      <c r="BB60" s="81"/>
      <c r="BE60" s="24"/>
      <c r="BF60" s="23"/>
    </row>
    <row r="61" spans="1:58" ht="15" customHeight="1">
      <c r="A61" s="23" t="s">
        <v>183</v>
      </c>
      <c r="B61" s="23" t="s">
        <v>548</v>
      </c>
      <c r="C61" s="23" t="s">
        <v>57</v>
      </c>
      <c r="D61" s="23">
        <v>60</v>
      </c>
      <c r="E61" s="23">
        <v>1</v>
      </c>
      <c r="G61" s="23" t="s">
        <v>377</v>
      </c>
      <c r="J61" s="23" t="s">
        <v>257</v>
      </c>
      <c r="K61" s="23" t="s">
        <v>200</v>
      </c>
      <c r="N61" s="73">
        <v>3</v>
      </c>
      <c r="O61" s="75"/>
      <c r="P61" s="76"/>
      <c r="Q61" s="77">
        <v>1</v>
      </c>
      <c r="U61" s="75"/>
      <c r="V61" s="78"/>
      <c r="W61" s="79"/>
      <c r="X61" s="80"/>
      <c r="AA61" s="81"/>
      <c r="AB61" s="52" t="s">
        <v>206</v>
      </c>
      <c r="AC61" s="23" t="s">
        <v>378</v>
      </c>
      <c r="AD61" s="23" t="s">
        <v>279</v>
      </c>
      <c r="AE61" s="23"/>
      <c r="AF61" s="23" t="s">
        <v>379</v>
      </c>
      <c r="AO61" s="24"/>
      <c r="AP61" s="73"/>
      <c r="AQ61" s="75"/>
      <c r="AR61" s="76"/>
      <c r="AS61" s="77"/>
      <c r="AV61" s="75"/>
      <c r="AW61" s="83"/>
      <c r="AX61" s="84"/>
      <c r="AY61" s="80"/>
      <c r="BB61" s="81"/>
      <c r="BE61" s="24"/>
      <c r="BF61" s="23"/>
    </row>
    <row r="62" spans="1:58" ht="15" customHeight="1">
      <c r="A62" s="23" t="s">
        <v>183</v>
      </c>
      <c r="B62" s="23" t="s">
        <v>549</v>
      </c>
      <c r="C62" s="23" t="s">
        <v>57</v>
      </c>
      <c r="D62" s="23">
        <v>61</v>
      </c>
      <c r="E62" s="23">
        <v>1</v>
      </c>
      <c r="G62" s="23" t="s">
        <v>380</v>
      </c>
      <c r="J62" s="23" t="s">
        <v>257</v>
      </c>
      <c r="K62" s="23" t="s">
        <v>200</v>
      </c>
      <c r="N62" s="73">
        <v>1</v>
      </c>
      <c r="O62" s="75"/>
      <c r="P62" s="76">
        <v>1</v>
      </c>
      <c r="Q62" s="77"/>
      <c r="U62" s="75"/>
      <c r="V62" s="78"/>
      <c r="W62" s="79"/>
      <c r="X62" s="80"/>
      <c r="AA62" s="81"/>
      <c r="AB62" s="52" t="s">
        <v>205</v>
      </c>
      <c r="AC62" s="23" t="s">
        <v>378</v>
      </c>
      <c r="AD62" s="23" t="s">
        <v>279</v>
      </c>
      <c r="AE62" s="23"/>
      <c r="AF62" s="23" t="s">
        <v>381</v>
      </c>
      <c r="AO62" s="24"/>
      <c r="AP62" s="73"/>
      <c r="AQ62" s="75"/>
      <c r="AR62" s="76"/>
      <c r="AS62" s="77"/>
      <c r="AV62" s="75"/>
      <c r="AW62" s="83"/>
      <c r="AX62" s="84"/>
      <c r="AY62" s="80"/>
      <c r="BB62" s="81"/>
      <c r="BE62" s="24"/>
      <c r="BF62" s="23"/>
    </row>
    <row r="63" spans="1:58" ht="15" customHeight="1">
      <c r="A63" s="23" t="s">
        <v>183</v>
      </c>
      <c r="B63" s="23" t="s">
        <v>550</v>
      </c>
      <c r="C63" s="23" t="s">
        <v>57</v>
      </c>
      <c r="D63" s="23">
        <v>62</v>
      </c>
      <c r="E63" s="23">
        <v>1</v>
      </c>
      <c r="G63" s="23" t="s">
        <v>382</v>
      </c>
      <c r="J63" s="23" t="s">
        <v>257</v>
      </c>
      <c r="K63" s="23" t="s">
        <v>200</v>
      </c>
      <c r="N63" s="73">
        <v>2</v>
      </c>
      <c r="O63" s="75">
        <v>1</v>
      </c>
      <c r="P63" s="76">
        <v>1</v>
      </c>
      <c r="Q63" s="77"/>
      <c r="U63" s="75"/>
      <c r="V63" s="78"/>
      <c r="W63" s="79"/>
      <c r="X63" s="80"/>
      <c r="AA63" s="81"/>
      <c r="AB63" s="52" t="s">
        <v>1092</v>
      </c>
      <c r="AD63" s="23" t="s">
        <v>289</v>
      </c>
      <c r="AE63" s="23"/>
      <c r="AF63" s="23" t="s">
        <v>383</v>
      </c>
      <c r="AO63" s="24"/>
      <c r="AP63" s="73"/>
      <c r="AQ63" s="75"/>
      <c r="AR63" s="76"/>
      <c r="AS63" s="77"/>
      <c r="AV63" s="75"/>
      <c r="AW63" s="83"/>
      <c r="AX63" s="84"/>
      <c r="AY63" s="80"/>
      <c r="BB63" s="81"/>
      <c r="BE63" s="24"/>
      <c r="BF63" s="23"/>
    </row>
    <row r="64" spans="1:58" ht="15" customHeight="1">
      <c r="A64" s="23" t="s">
        <v>183</v>
      </c>
      <c r="B64" s="23" t="s">
        <v>668</v>
      </c>
      <c r="C64" s="23" t="s">
        <v>57</v>
      </c>
      <c r="D64" s="23">
        <v>63</v>
      </c>
      <c r="E64" s="23">
        <v>1</v>
      </c>
      <c r="G64" s="23" t="s">
        <v>669</v>
      </c>
      <c r="J64" s="23" t="s">
        <v>257</v>
      </c>
      <c r="K64" s="23" t="s">
        <v>200</v>
      </c>
      <c r="N64" s="73">
        <v>1</v>
      </c>
      <c r="O64" s="75">
        <v>1</v>
      </c>
      <c r="P64" s="76"/>
      <c r="Q64" s="77"/>
      <c r="T64" s="68">
        <v>1</v>
      </c>
      <c r="U64" s="75">
        <v>2</v>
      </c>
      <c r="V64" s="78"/>
      <c r="W64" s="79"/>
      <c r="X64" s="80"/>
      <c r="AA64" s="81"/>
      <c r="AB64" s="52" t="s">
        <v>204</v>
      </c>
      <c r="AC64" s="23" t="s">
        <v>25</v>
      </c>
      <c r="AD64" s="23" t="s">
        <v>670</v>
      </c>
      <c r="AE64" s="23"/>
      <c r="AF64" s="23" t="s">
        <v>671</v>
      </c>
      <c r="AO64" s="24"/>
      <c r="AP64" s="73"/>
      <c r="AQ64" s="75"/>
      <c r="AR64" s="76"/>
      <c r="AS64" s="77"/>
      <c r="AV64" s="75"/>
      <c r="AW64" s="83"/>
      <c r="AX64" s="84"/>
      <c r="AY64" s="80"/>
      <c r="BB64" s="81"/>
      <c r="BE64" s="24"/>
      <c r="BF64" s="23"/>
    </row>
    <row r="65" spans="1:58" ht="15" customHeight="1">
      <c r="A65" s="23" t="s">
        <v>183</v>
      </c>
      <c r="B65" s="23" t="s">
        <v>551</v>
      </c>
      <c r="C65" s="23" t="s">
        <v>57</v>
      </c>
      <c r="D65" s="23">
        <v>64</v>
      </c>
      <c r="E65" s="23">
        <v>1</v>
      </c>
      <c r="G65" s="23" t="s">
        <v>384</v>
      </c>
      <c r="J65" s="23" t="s">
        <v>27</v>
      </c>
      <c r="K65" s="23" t="s">
        <v>200</v>
      </c>
      <c r="N65" s="73">
        <v>0</v>
      </c>
      <c r="O65" s="75">
        <v>1</v>
      </c>
      <c r="P65" s="76">
        <v>1</v>
      </c>
      <c r="Q65" s="77"/>
      <c r="U65" s="75"/>
      <c r="V65" s="78"/>
      <c r="W65" s="79"/>
      <c r="X65" s="80"/>
      <c r="AA65" s="81"/>
      <c r="AB65" s="52" t="s">
        <v>1092</v>
      </c>
      <c r="AD65" s="23" t="s">
        <v>304</v>
      </c>
      <c r="AE65" s="23"/>
      <c r="AF65" s="23" t="s">
        <v>385</v>
      </c>
      <c r="AO65" s="24"/>
      <c r="AP65" s="73"/>
      <c r="AQ65" s="75"/>
      <c r="AR65" s="76"/>
      <c r="AS65" s="77"/>
      <c r="AV65" s="75"/>
      <c r="AW65" s="83"/>
      <c r="AX65" s="84"/>
      <c r="AY65" s="80"/>
      <c r="BB65" s="81"/>
      <c r="BE65" s="24"/>
      <c r="BF65" s="23"/>
    </row>
    <row r="66" spans="1:58" ht="15" customHeight="1">
      <c r="A66" s="23" t="s">
        <v>183</v>
      </c>
      <c r="B66" s="23" t="s">
        <v>672</v>
      </c>
      <c r="C66" s="23" t="s">
        <v>57</v>
      </c>
      <c r="D66" s="23">
        <v>65</v>
      </c>
      <c r="E66" s="23">
        <v>1</v>
      </c>
      <c r="G66" s="23" t="s">
        <v>673</v>
      </c>
      <c r="J66" s="23" t="s">
        <v>27</v>
      </c>
      <c r="K66" s="23" t="s">
        <v>200</v>
      </c>
      <c r="N66" s="73">
        <v>1</v>
      </c>
      <c r="O66" s="75"/>
      <c r="P66" s="76"/>
      <c r="Q66" s="77"/>
      <c r="S66" s="113">
        <v>1</v>
      </c>
      <c r="U66" s="75"/>
      <c r="V66" s="78"/>
      <c r="W66" s="79"/>
      <c r="X66" s="80"/>
      <c r="AA66" s="81"/>
      <c r="AB66" s="52" t="s">
        <v>208</v>
      </c>
      <c r="AD66" s="23" t="s">
        <v>674</v>
      </c>
      <c r="AE66" s="23"/>
      <c r="AF66" s="23" t="s">
        <v>675</v>
      </c>
      <c r="AO66" s="24"/>
      <c r="AP66" s="73"/>
      <c r="AQ66" s="75"/>
      <c r="AR66" s="76"/>
      <c r="AS66" s="77"/>
      <c r="AV66" s="75"/>
      <c r="AW66" s="83"/>
      <c r="AX66" s="84"/>
      <c r="AY66" s="80"/>
      <c r="BB66" s="81"/>
      <c r="BE66" s="24"/>
      <c r="BF66" s="23"/>
    </row>
    <row r="67" spans="1:58" ht="15" customHeight="1">
      <c r="A67" s="23" t="s">
        <v>183</v>
      </c>
      <c r="B67" s="23" t="s">
        <v>552</v>
      </c>
      <c r="C67" s="23" t="s">
        <v>57</v>
      </c>
      <c r="D67" s="23">
        <v>66</v>
      </c>
      <c r="E67" s="23">
        <v>1</v>
      </c>
      <c r="G67" s="23" t="s">
        <v>386</v>
      </c>
      <c r="J67" s="23" t="s">
        <v>27</v>
      </c>
      <c r="K67" s="23" t="s">
        <v>200</v>
      </c>
      <c r="N67" s="73">
        <v>2</v>
      </c>
      <c r="O67" s="75">
        <v>1</v>
      </c>
      <c r="P67" s="76"/>
      <c r="Q67" s="77"/>
      <c r="R67" s="66">
        <v>1</v>
      </c>
      <c r="U67" s="75"/>
      <c r="V67" s="78"/>
      <c r="W67" s="79"/>
      <c r="X67" s="80"/>
      <c r="AA67" s="81"/>
      <c r="AB67" s="52" t="s">
        <v>1085</v>
      </c>
      <c r="AD67" s="23" t="s">
        <v>387</v>
      </c>
      <c r="AE67" s="23"/>
      <c r="AF67" s="23" t="s">
        <v>388</v>
      </c>
      <c r="AO67" s="24"/>
      <c r="AP67" s="73"/>
      <c r="AQ67" s="75"/>
      <c r="AR67" s="76"/>
      <c r="AS67" s="77"/>
      <c r="AV67" s="75"/>
      <c r="AW67" s="83"/>
      <c r="AX67" s="84"/>
      <c r="AY67" s="80"/>
      <c r="BB67" s="81"/>
      <c r="BE67" s="24"/>
      <c r="BF67" s="23"/>
    </row>
    <row r="68" spans="1:58" ht="15" customHeight="1">
      <c r="A68" s="23" t="s">
        <v>183</v>
      </c>
      <c r="B68" s="23" t="s">
        <v>676</v>
      </c>
      <c r="C68" s="23" t="s">
        <v>57</v>
      </c>
      <c r="D68" s="23">
        <v>67</v>
      </c>
      <c r="E68" s="23">
        <v>1</v>
      </c>
      <c r="G68" s="23" t="s">
        <v>678</v>
      </c>
      <c r="J68" s="23" t="s">
        <v>312</v>
      </c>
      <c r="K68" s="23" t="s">
        <v>200</v>
      </c>
      <c r="N68" s="73"/>
      <c r="O68" s="75">
        <v>1</v>
      </c>
      <c r="P68" s="76"/>
      <c r="Q68" s="77"/>
      <c r="U68" s="75"/>
      <c r="V68" s="78"/>
      <c r="W68" s="79"/>
      <c r="X68" s="80"/>
      <c r="AA68" s="81"/>
      <c r="AB68" s="52" t="s">
        <v>204</v>
      </c>
      <c r="AD68" s="23" t="s">
        <v>412</v>
      </c>
      <c r="AE68" s="23"/>
      <c r="AF68" s="23" t="s">
        <v>679</v>
      </c>
      <c r="AO68" s="24"/>
      <c r="AP68" s="73"/>
      <c r="AQ68" s="75"/>
      <c r="AR68" s="76"/>
      <c r="AS68" s="77"/>
      <c r="AV68" s="75"/>
      <c r="AW68" s="83"/>
      <c r="AX68" s="84"/>
      <c r="AY68" s="80"/>
      <c r="BB68" s="81"/>
      <c r="BE68" s="24"/>
      <c r="BF68" s="23"/>
    </row>
    <row r="69" spans="1:58" ht="15" customHeight="1">
      <c r="A69" s="23" t="s">
        <v>183</v>
      </c>
      <c r="B69" s="23" t="s">
        <v>677</v>
      </c>
      <c r="C69" s="23" t="s">
        <v>57</v>
      </c>
      <c r="D69" s="23">
        <v>68</v>
      </c>
      <c r="E69" s="23">
        <v>1</v>
      </c>
      <c r="G69" s="23" t="s">
        <v>680</v>
      </c>
      <c r="J69" s="23" t="s">
        <v>27</v>
      </c>
      <c r="K69" s="23" t="s">
        <v>200</v>
      </c>
      <c r="L69" s="23">
        <v>1</v>
      </c>
      <c r="N69" s="73">
        <v>1</v>
      </c>
      <c r="O69" s="75">
        <v>1</v>
      </c>
      <c r="P69" s="76"/>
      <c r="Q69" s="77">
        <v>1</v>
      </c>
      <c r="U69" s="75"/>
      <c r="V69" s="78"/>
      <c r="W69" s="79"/>
      <c r="X69" s="80"/>
      <c r="AA69" s="81"/>
      <c r="AB69" s="52" t="s">
        <v>1083</v>
      </c>
      <c r="AD69" s="23" t="s">
        <v>279</v>
      </c>
      <c r="AE69" s="23" t="s">
        <v>681</v>
      </c>
      <c r="AF69" s="23" t="s">
        <v>682</v>
      </c>
      <c r="AO69" s="24"/>
      <c r="AP69" s="73"/>
      <c r="AQ69" s="75"/>
      <c r="AR69" s="76"/>
      <c r="AS69" s="77"/>
      <c r="AV69" s="75"/>
      <c r="AW69" s="83"/>
      <c r="AX69" s="84"/>
      <c r="AY69" s="80"/>
      <c r="BB69" s="81"/>
      <c r="BE69" s="24"/>
      <c r="BF69" s="23"/>
    </row>
    <row r="70" spans="1:58" ht="15" customHeight="1">
      <c r="A70" s="23" t="s">
        <v>183</v>
      </c>
      <c r="B70" s="23" t="s">
        <v>553</v>
      </c>
      <c r="C70" s="23" t="s">
        <v>57</v>
      </c>
      <c r="D70" s="23">
        <v>69</v>
      </c>
      <c r="E70" s="23">
        <v>1</v>
      </c>
      <c r="G70" s="23" t="s">
        <v>386</v>
      </c>
      <c r="J70" s="23" t="s">
        <v>27</v>
      </c>
      <c r="K70" s="23" t="s">
        <v>200</v>
      </c>
      <c r="L70" s="23">
        <v>2</v>
      </c>
      <c r="N70" s="73">
        <v>1</v>
      </c>
      <c r="O70" s="75">
        <v>1</v>
      </c>
      <c r="P70" s="76"/>
      <c r="Q70" s="77"/>
      <c r="R70" s="66">
        <v>1</v>
      </c>
      <c r="U70" s="75"/>
      <c r="V70" s="78"/>
      <c r="W70" s="79"/>
      <c r="X70" s="80"/>
      <c r="AA70" s="81"/>
      <c r="AB70" s="52" t="s">
        <v>1085</v>
      </c>
      <c r="AD70" s="23" t="s">
        <v>387</v>
      </c>
      <c r="AE70" s="23"/>
      <c r="AF70" s="23" t="s">
        <v>389</v>
      </c>
      <c r="AO70" s="24"/>
      <c r="AP70" s="73"/>
      <c r="AQ70" s="75"/>
      <c r="AR70" s="76"/>
      <c r="AS70" s="77"/>
      <c r="AV70" s="75"/>
      <c r="AW70" s="83"/>
      <c r="AX70" s="84"/>
      <c r="AY70" s="80"/>
      <c r="BB70" s="81"/>
      <c r="BE70" s="24"/>
      <c r="BF70" s="23"/>
    </row>
    <row r="71" spans="1:58" ht="15" customHeight="1">
      <c r="A71" s="23" t="s">
        <v>183</v>
      </c>
      <c r="B71" s="23" t="s">
        <v>683</v>
      </c>
      <c r="C71" s="23" t="s">
        <v>57</v>
      </c>
      <c r="D71" s="23">
        <v>70</v>
      </c>
      <c r="E71" s="23">
        <v>1</v>
      </c>
      <c r="G71" s="23" t="s">
        <v>684</v>
      </c>
      <c r="J71" s="23" t="s">
        <v>257</v>
      </c>
      <c r="K71" s="23" t="s">
        <v>200</v>
      </c>
      <c r="L71" s="23">
        <v>3</v>
      </c>
      <c r="N71" s="73">
        <v>4</v>
      </c>
      <c r="O71" s="75">
        <v>1</v>
      </c>
      <c r="P71" s="76">
        <v>1</v>
      </c>
      <c r="Q71" s="77"/>
      <c r="U71" s="75"/>
      <c r="V71" s="78"/>
      <c r="W71" s="79"/>
      <c r="X71" s="80"/>
      <c r="AA71" s="81"/>
      <c r="AB71" s="52" t="s">
        <v>1092</v>
      </c>
      <c r="AC71" s="23" t="s">
        <v>258</v>
      </c>
      <c r="AD71" s="23" t="s">
        <v>269</v>
      </c>
      <c r="AE71" s="23" t="s">
        <v>685</v>
      </c>
      <c r="AF71" s="23" t="s">
        <v>686</v>
      </c>
      <c r="AO71" s="24"/>
      <c r="AP71" s="73"/>
      <c r="AQ71" s="75"/>
      <c r="AR71" s="76"/>
      <c r="AS71" s="77"/>
      <c r="AV71" s="75"/>
      <c r="AW71" s="83"/>
      <c r="AX71" s="84"/>
      <c r="AY71" s="80"/>
      <c r="BB71" s="81"/>
      <c r="BE71" s="24"/>
      <c r="BF71" s="23"/>
    </row>
    <row r="72" spans="1:58" ht="15" customHeight="1">
      <c r="A72" s="23" t="s">
        <v>183</v>
      </c>
      <c r="B72" s="23" t="s">
        <v>554</v>
      </c>
      <c r="C72" s="23" t="s">
        <v>57</v>
      </c>
      <c r="D72" s="23">
        <v>71</v>
      </c>
      <c r="E72" s="23">
        <v>1</v>
      </c>
      <c r="G72" s="23" t="s">
        <v>390</v>
      </c>
      <c r="J72" s="23" t="s">
        <v>257</v>
      </c>
      <c r="K72" s="23" t="s">
        <v>200</v>
      </c>
      <c r="L72" s="23">
        <v>4</v>
      </c>
      <c r="N72" s="73">
        <v>2</v>
      </c>
      <c r="O72" s="75"/>
      <c r="P72" s="76"/>
      <c r="Q72" s="77"/>
      <c r="S72" s="113">
        <v>1</v>
      </c>
      <c r="U72" s="75"/>
      <c r="V72" s="78"/>
      <c r="W72" s="79"/>
      <c r="X72" s="80"/>
      <c r="AA72" s="81"/>
      <c r="AB72" s="52" t="s">
        <v>208</v>
      </c>
      <c r="AC72" s="23" t="s">
        <v>258</v>
      </c>
      <c r="AD72" s="23" t="s">
        <v>276</v>
      </c>
      <c r="AE72" s="23"/>
      <c r="AF72" s="23" t="s">
        <v>391</v>
      </c>
      <c r="AO72" s="24"/>
      <c r="AP72" s="73"/>
      <c r="AQ72" s="75"/>
      <c r="AR72" s="76"/>
      <c r="AS72" s="77"/>
      <c r="AV72" s="75"/>
      <c r="AW72" s="83"/>
      <c r="AX72" s="84"/>
      <c r="AY72" s="80"/>
      <c r="BB72" s="81"/>
      <c r="BE72" s="24"/>
      <c r="BF72" s="23"/>
    </row>
    <row r="73" spans="1:58" ht="15" customHeight="1">
      <c r="A73" s="23" t="s">
        <v>183</v>
      </c>
      <c r="B73" s="23" t="s">
        <v>555</v>
      </c>
      <c r="C73" s="23" t="s">
        <v>57</v>
      </c>
      <c r="D73" s="23">
        <v>72</v>
      </c>
      <c r="E73" s="23">
        <v>1</v>
      </c>
      <c r="G73" s="23" t="s">
        <v>392</v>
      </c>
      <c r="J73" s="23" t="s">
        <v>257</v>
      </c>
      <c r="K73" s="23" t="s">
        <v>202</v>
      </c>
      <c r="N73" s="73">
        <v>0</v>
      </c>
      <c r="O73" s="75"/>
      <c r="P73" s="76"/>
      <c r="Q73" s="77">
        <v>1</v>
      </c>
      <c r="T73" s="68">
        <v>2</v>
      </c>
      <c r="U73" s="75" t="s">
        <v>38</v>
      </c>
      <c r="V73" s="78"/>
      <c r="W73" s="79"/>
      <c r="X73" s="80"/>
      <c r="AA73" s="81"/>
      <c r="AB73" s="52" t="s">
        <v>206</v>
      </c>
      <c r="AC73" s="23" t="s">
        <v>393</v>
      </c>
      <c r="AD73" s="23" t="s">
        <v>394</v>
      </c>
      <c r="AE73" s="23"/>
      <c r="AO73" s="24"/>
      <c r="AP73" s="73"/>
      <c r="AQ73" s="75"/>
      <c r="AR73" s="76"/>
      <c r="AS73" s="77"/>
      <c r="AV73" s="75"/>
      <c r="AW73" s="83"/>
      <c r="AX73" s="84"/>
      <c r="AY73" s="80"/>
      <c r="BB73" s="81"/>
      <c r="BE73" s="24"/>
      <c r="BF73" s="23"/>
    </row>
    <row r="74" spans="1:58" ht="15" customHeight="1">
      <c r="A74" s="23" t="s">
        <v>183</v>
      </c>
      <c r="B74" s="23" t="s">
        <v>556</v>
      </c>
      <c r="C74" s="23" t="s">
        <v>57</v>
      </c>
      <c r="D74" s="23">
        <v>73</v>
      </c>
      <c r="E74" s="23">
        <v>1</v>
      </c>
      <c r="G74" s="23" t="s">
        <v>395</v>
      </c>
      <c r="J74" s="23" t="s">
        <v>257</v>
      </c>
      <c r="K74" s="23" t="s">
        <v>202</v>
      </c>
      <c r="N74" s="73">
        <v>1</v>
      </c>
      <c r="O74" s="75"/>
      <c r="P74" s="76">
        <v>1</v>
      </c>
      <c r="Q74" s="77"/>
      <c r="U74" s="75"/>
      <c r="V74" s="78"/>
      <c r="W74" s="79"/>
      <c r="X74" s="80"/>
      <c r="AA74" s="81"/>
      <c r="AB74" s="52" t="s">
        <v>205</v>
      </c>
      <c r="AD74" s="23" t="s">
        <v>289</v>
      </c>
      <c r="AE74" s="23"/>
      <c r="AF74" s="23" t="s">
        <v>396</v>
      </c>
      <c r="AO74" s="24"/>
      <c r="AP74" s="73"/>
      <c r="AQ74" s="75"/>
      <c r="AR74" s="76"/>
      <c r="AS74" s="77"/>
      <c r="AV74" s="75"/>
      <c r="AW74" s="83"/>
      <c r="AX74" s="84"/>
      <c r="AY74" s="80"/>
      <c r="BB74" s="81"/>
      <c r="BE74" s="24"/>
      <c r="BF74" s="23"/>
    </row>
    <row r="75" spans="1:58" ht="15" customHeight="1">
      <c r="A75" s="23" t="s">
        <v>183</v>
      </c>
      <c r="B75" s="23" t="s">
        <v>557</v>
      </c>
      <c r="C75" s="23" t="s">
        <v>57</v>
      </c>
      <c r="D75" s="23">
        <v>74</v>
      </c>
      <c r="E75" s="23">
        <v>1</v>
      </c>
      <c r="G75" s="23" t="s">
        <v>397</v>
      </c>
      <c r="J75" s="23" t="s">
        <v>257</v>
      </c>
      <c r="K75" s="23" t="s">
        <v>202</v>
      </c>
      <c r="N75" s="73">
        <v>2</v>
      </c>
      <c r="O75" s="75"/>
      <c r="P75" s="76"/>
      <c r="Q75" s="77">
        <v>1</v>
      </c>
      <c r="U75" s="75"/>
      <c r="V75" s="78"/>
      <c r="W75" s="79"/>
      <c r="X75" s="80"/>
      <c r="AA75" s="81"/>
      <c r="AB75" s="52" t="s">
        <v>206</v>
      </c>
      <c r="AC75" s="23" t="s">
        <v>322</v>
      </c>
      <c r="AD75" s="23" t="s">
        <v>298</v>
      </c>
      <c r="AE75" s="23"/>
      <c r="AF75" s="23" t="s">
        <v>398</v>
      </c>
      <c r="AO75" s="24"/>
      <c r="AP75" s="73"/>
      <c r="AQ75" s="75"/>
      <c r="AR75" s="76"/>
      <c r="AS75" s="77"/>
      <c r="AV75" s="75"/>
      <c r="AW75" s="83"/>
      <c r="AX75" s="84"/>
      <c r="AY75" s="80"/>
      <c r="BB75" s="81"/>
      <c r="BE75" s="24"/>
      <c r="BF75" s="23"/>
    </row>
    <row r="76" spans="1:58" ht="15" customHeight="1">
      <c r="A76" s="23" t="s">
        <v>183</v>
      </c>
      <c r="B76" s="23" t="s">
        <v>558</v>
      </c>
      <c r="C76" s="23" t="s">
        <v>57</v>
      </c>
      <c r="D76" s="23">
        <v>75</v>
      </c>
      <c r="E76" s="23">
        <v>1</v>
      </c>
      <c r="G76" s="23" t="s">
        <v>399</v>
      </c>
      <c r="J76" s="23" t="s">
        <v>257</v>
      </c>
      <c r="K76" s="23" t="s">
        <v>202</v>
      </c>
      <c r="N76" s="73">
        <v>1</v>
      </c>
      <c r="O76" s="75"/>
      <c r="P76" s="76"/>
      <c r="Q76" s="77"/>
      <c r="S76" s="113">
        <v>1</v>
      </c>
      <c r="U76" s="75"/>
      <c r="V76" s="78"/>
      <c r="W76" s="79"/>
      <c r="X76" s="80"/>
      <c r="AA76" s="81"/>
      <c r="AB76" s="52" t="s">
        <v>208</v>
      </c>
      <c r="AC76" s="23" t="s">
        <v>275</v>
      </c>
      <c r="AD76" s="23" t="s">
        <v>375</v>
      </c>
      <c r="AE76" s="23"/>
      <c r="AF76" s="23" t="s">
        <v>400</v>
      </c>
      <c r="AO76" s="24"/>
      <c r="AP76" s="73"/>
      <c r="AQ76" s="75"/>
      <c r="AR76" s="76"/>
      <c r="AS76" s="77"/>
      <c r="AV76" s="75"/>
      <c r="AW76" s="83"/>
      <c r="AX76" s="84"/>
      <c r="AY76" s="80"/>
      <c r="BB76" s="81"/>
      <c r="BE76" s="24"/>
      <c r="BF76" s="23"/>
    </row>
    <row r="77" spans="1:58" ht="15" customHeight="1">
      <c r="A77" s="23" t="s">
        <v>183</v>
      </c>
      <c r="B77" s="23" t="s">
        <v>559</v>
      </c>
      <c r="C77" s="23" t="s">
        <v>57</v>
      </c>
      <c r="D77" s="23">
        <v>76</v>
      </c>
      <c r="E77" s="23">
        <v>1</v>
      </c>
      <c r="G77" s="23" t="s">
        <v>401</v>
      </c>
      <c r="J77" s="23" t="s">
        <v>257</v>
      </c>
      <c r="K77" s="23" t="s">
        <v>202</v>
      </c>
      <c r="N77" s="73">
        <v>1</v>
      </c>
      <c r="O77" s="75"/>
      <c r="P77" s="76"/>
      <c r="Q77" s="77"/>
      <c r="R77" s="66">
        <v>1</v>
      </c>
      <c r="T77" s="68">
        <v>1</v>
      </c>
      <c r="U77" s="75" t="s">
        <v>38</v>
      </c>
      <c r="V77" s="78"/>
      <c r="W77" s="79"/>
      <c r="X77" s="80"/>
      <c r="AA77" s="81"/>
      <c r="AB77" s="52" t="s">
        <v>207</v>
      </c>
      <c r="AC77" s="23" t="s">
        <v>25</v>
      </c>
      <c r="AD77" s="23" t="s">
        <v>301</v>
      </c>
      <c r="AE77" s="23"/>
      <c r="AF77" s="23" t="s">
        <v>402</v>
      </c>
      <c r="AO77" s="24"/>
      <c r="AP77" s="73"/>
      <c r="AQ77" s="75"/>
      <c r="AR77" s="76"/>
      <c r="AS77" s="77"/>
      <c r="AV77" s="75"/>
      <c r="AW77" s="83"/>
      <c r="AX77" s="84"/>
      <c r="AY77" s="80"/>
      <c r="BB77" s="81"/>
      <c r="BE77" s="24"/>
      <c r="BF77" s="23"/>
    </row>
    <row r="78" spans="1:58" ht="15" customHeight="1">
      <c r="A78" s="23" t="s">
        <v>183</v>
      </c>
      <c r="B78" s="23" t="s">
        <v>560</v>
      </c>
      <c r="C78" s="23" t="s">
        <v>57</v>
      </c>
      <c r="D78" s="23">
        <v>77</v>
      </c>
      <c r="E78" s="23">
        <v>1</v>
      </c>
      <c r="G78" s="23" t="s">
        <v>403</v>
      </c>
      <c r="J78" s="23" t="s">
        <v>257</v>
      </c>
      <c r="K78" s="23" t="s">
        <v>202</v>
      </c>
      <c r="N78" s="73">
        <v>2</v>
      </c>
      <c r="O78" s="75">
        <v>1</v>
      </c>
      <c r="P78" s="76"/>
      <c r="Q78" s="77"/>
      <c r="R78" s="66">
        <v>1</v>
      </c>
      <c r="U78" s="75"/>
      <c r="V78" s="78"/>
      <c r="W78" s="79"/>
      <c r="X78" s="80"/>
      <c r="AA78" s="81"/>
      <c r="AB78" s="52" t="s">
        <v>1085</v>
      </c>
      <c r="AD78" s="23" t="s">
        <v>289</v>
      </c>
      <c r="AE78" s="23"/>
      <c r="AF78" s="23" t="s">
        <v>404</v>
      </c>
      <c r="AO78" s="24"/>
      <c r="AP78" s="73"/>
      <c r="AQ78" s="75"/>
      <c r="AR78" s="76"/>
      <c r="AS78" s="77"/>
      <c r="AV78" s="75"/>
      <c r="AW78" s="83"/>
      <c r="AX78" s="84"/>
      <c r="AY78" s="80"/>
      <c r="BB78" s="81"/>
      <c r="BE78" s="24"/>
      <c r="BF78" s="23"/>
    </row>
    <row r="79" spans="1:58" ht="15" customHeight="1">
      <c r="A79" s="23" t="s">
        <v>183</v>
      </c>
      <c r="B79" s="23" t="s">
        <v>561</v>
      </c>
      <c r="C79" s="23" t="s">
        <v>57</v>
      </c>
      <c r="D79" s="23">
        <v>78</v>
      </c>
      <c r="E79" s="23">
        <v>1</v>
      </c>
      <c r="G79" s="23" t="s">
        <v>405</v>
      </c>
      <c r="J79" s="23" t="s">
        <v>27</v>
      </c>
      <c r="K79" s="23" t="s">
        <v>202</v>
      </c>
      <c r="N79" s="73">
        <v>5</v>
      </c>
      <c r="O79" s="75">
        <v>1</v>
      </c>
      <c r="P79" s="76"/>
      <c r="Q79" s="77"/>
      <c r="S79" s="113">
        <v>1</v>
      </c>
      <c r="U79" s="75"/>
      <c r="V79" s="78"/>
      <c r="W79" s="79"/>
      <c r="X79" s="80"/>
      <c r="AA79" s="81"/>
      <c r="AB79" s="52" t="s">
        <v>1086</v>
      </c>
      <c r="AD79" s="23" t="s">
        <v>307</v>
      </c>
      <c r="AE79" s="23"/>
      <c r="AF79" s="23" t="s">
        <v>406</v>
      </c>
      <c r="AO79" s="24"/>
      <c r="AP79" s="73"/>
      <c r="AQ79" s="75"/>
      <c r="AR79" s="76"/>
      <c r="AS79" s="77"/>
      <c r="AV79" s="75"/>
      <c r="AW79" s="83"/>
      <c r="AX79" s="84"/>
      <c r="AY79" s="80"/>
      <c r="BB79" s="81"/>
      <c r="BE79" s="24"/>
      <c r="BF79" s="23"/>
    </row>
    <row r="80" spans="1:58" ht="15" customHeight="1">
      <c r="A80" s="23" t="s">
        <v>183</v>
      </c>
      <c r="B80" s="23" t="s">
        <v>562</v>
      </c>
      <c r="C80" s="23" t="s">
        <v>57</v>
      </c>
      <c r="D80" s="23">
        <v>79</v>
      </c>
      <c r="E80" s="23">
        <v>1</v>
      </c>
      <c r="G80" s="23" t="s">
        <v>407</v>
      </c>
      <c r="J80" s="23" t="s">
        <v>27</v>
      </c>
      <c r="K80" s="23" t="s">
        <v>202</v>
      </c>
      <c r="N80" s="73">
        <v>2</v>
      </c>
      <c r="O80" s="75"/>
      <c r="P80" s="76">
        <v>2</v>
      </c>
      <c r="Q80" s="77"/>
      <c r="U80" s="75"/>
      <c r="V80" s="78"/>
      <c r="W80" s="79"/>
      <c r="X80" s="80"/>
      <c r="AA80" s="81"/>
      <c r="AB80" s="52" t="s">
        <v>1084</v>
      </c>
      <c r="AD80" s="23" t="s">
        <v>372</v>
      </c>
      <c r="AE80" s="23"/>
      <c r="AF80" s="23" t="s">
        <v>408</v>
      </c>
      <c r="AO80" s="24"/>
      <c r="AP80" s="73"/>
      <c r="AQ80" s="75"/>
      <c r="AR80" s="76"/>
      <c r="AS80" s="77"/>
      <c r="AV80" s="75"/>
      <c r="AW80" s="83"/>
      <c r="AX80" s="84"/>
      <c r="AY80" s="80"/>
      <c r="BB80" s="81"/>
      <c r="BE80" s="24"/>
      <c r="BF80" s="23"/>
    </row>
    <row r="81" spans="1:58" ht="15" customHeight="1">
      <c r="A81" s="23" t="s">
        <v>183</v>
      </c>
      <c r="B81" s="23" t="s">
        <v>563</v>
      </c>
      <c r="C81" s="23" t="s">
        <v>57</v>
      </c>
      <c r="D81" s="23">
        <v>80</v>
      </c>
      <c r="E81" s="23">
        <v>1</v>
      </c>
      <c r="G81" s="23" t="s">
        <v>409</v>
      </c>
      <c r="J81" s="23" t="s">
        <v>27</v>
      </c>
      <c r="K81" s="23" t="s">
        <v>202</v>
      </c>
      <c r="N81" s="73">
        <v>1</v>
      </c>
      <c r="O81" s="75"/>
      <c r="P81" s="76"/>
      <c r="Q81" s="77"/>
      <c r="U81" s="75"/>
      <c r="V81" s="78"/>
      <c r="W81" s="79"/>
      <c r="X81" s="80"/>
      <c r="AA81" s="81"/>
      <c r="AB81" s="42"/>
      <c r="AD81" s="23" t="s">
        <v>372</v>
      </c>
      <c r="AE81" s="23"/>
      <c r="AF81" s="23" t="s">
        <v>410</v>
      </c>
      <c r="AO81" s="24"/>
      <c r="AP81" s="73"/>
      <c r="AQ81" s="75"/>
      <c r="AR81" s="76"/>
      <c r="AS81" s="77"/>
      <c r="AV81" s="75"/>
      <c r="AW81" s="83"/>
      <c r="AX81" s="84"/>
      <c r="AY81" s="80"/>
      <c r="BB81" s="81"/>
      <c r="BE81" s="24"/>
      <c r="BF81" s="23"/>
    </row>
    <row r="82" spans="1:58" ht="15" customHeight="1">
      <c r="A82" s="23" t="s">
        <v>183</v>
      </c>
      <c r="B82" s="23" t="s">
        <v>564</v>
      </c>
      <c r="C82" s="23" t="s">
        <v>57</v>
      </c>
      <c r="D82" s="23">
        <v>81</v>
      </c>
      <c r="E82" s="23">
        <v>1</v>
      </c>
      <c r="G82" s="23" t="s">
        <v>411</v>
      </c>
      <c r="J82" s="23" t="s">
        <v>312</v>
      </c>
      <c r="K82" s="23" t="s">
        <v>202</v>
      </c>
      <c r="N82" s="73"/>
      <c r="O82" s="75"/>
      <c r="P82" s="76"/>
      <c r="Q82" s="77"/>
      <c r="R82" s="66">
        <v>1</v>
      </c>
      <c r="U82" s="75"/>
      <c r="V82" s="78"/>
      <c r="W82" s="79"/>
      <c r="X82" s="80"/>
      <c r="AA82" s="81"/>
      <c r="AB82" s="52" t="s">
        <v>207</v>
      </c>
      <c r="AD82" s="23" t="s">
        <v>412</v>
      </c>
      <c r="AE82" s="23"/>
      <c r="AF82" s="23" t="s">
        <v>413</v>
      </c>
      <c r="AO82" s="24"/>
      <c r="AP82" s="73"/>
      <c r="AQ82" s="75"/>
      <c r="AR82" s="76"/>
      <c r="AS82" s="77"/>
      <c r="AV82" s="75"/>
      <c r="AW82" s="83"/>
      <c r="AX82" s="84"/>
      <c r="AY82" s="80"/>
      <c r="BB82" s="81"/>
      <c r="BE82" s="24"/>
      <c r="BF82" s="23"/>
    </row>
    <row r="83" spans="1:58" ht="15" customHeight="1">
      <c r="A83" s="23" t="s">
        <v>183</v>
      </c>
      <c r="B83" s="23" t="s">
        <v>687</v>
      </c>
      <c r="C83" s="23" t="s">
        <v>57</v>
      </c>
      <c r="D83" s="23">
        <v>82</v>
      </c>
      <c r="E83" s="23">
        <v>1</v>
      </c>
      <c r="G83" s="23" t="s">
        <v>688</v>
      </c>
      <c r="H83" s="23" t="s">
        <v>689</v>
      </c>
      <c r="I83" s="23" t="s">
        <v>223</v>
      </c>
      <c r="J83" s="23" t="s">
        <v>257</v>
      </c>
      <c r="K83" s="23" t="s">
        <v>202</v>
      </c>
      <c r="L83" s="23">
        <v>1</v>
      </c>
      <c r="N83" s="73">
        <v>5</v>
      </c>
      <c r="O83" s="75">
        <v>1</v>
      </c>
      <c r="P83" s="76"/>
      <c r="Q83" s="77"/>
      <c r="T83" s="68">
        <v>1</v>
      </c>
      <c r="U83" s="75">
        <v>4</v>
      </c>
      <c r="V83" s="78"/>
      <c r="W83" s="79"/>
      <c r="X83" s="80"/>
      <c r="AA83" s="81"/>
      <c r="AB83" s="52" t="s">
        <v>204</v>
      </c>
      <c r="AC83" s="23" t="s">
        <v>25</v>
      </c>
      <c r="AD83" s="23" t="s">
        <v>458</v>
      </c>
      <c r="AE83" s="23"/>
      <c r="AF83" s="23" t="s">
        <v>690</v>
      </c>
      <c r="AO83" s="24"/>
      <c r="AP83" s="73"/>
      <c r="AQ83" s="75"/>
      <c r="AR83" s="76"/>
      <c r="AS83" s="77"/>
      <c r="AV83" s="75"/>
      <c r="AW83" s="83"/>
      <c r="AX83" s="84"/>
      <c r="AY83" s="80"/>
      <c r="BB83" s="81"/>
      <c r="BE83" s="24"/>
      <c r="BF83" s="23"/>
    </row>
    <row r="84" spans="1:58" ht="15" customHeight="1">
      <c r="A84" s="23" t="s">
        <v>183</v>
      </c>
      <c r="B84" s="23" t="s">
        <v>565</v>
      </c>
      <c r="C84" s="23" t="s">
        <v>57</v>
      </c>
      <c r="D84" s="23">
        <v>83</v>
      </c>
      <c r="E84" s="23">
        <v>1</v>
      </c>
      <c r="G84" s="23" t="s">
        <v>414</v>
      </c>
      <c r="J84" s="23" t="s">
        <v>27</v>
      </c>
      <c r="K84" s="23" t="s">
        <v>202</v>
      </c>
      <c r="L84" s="23">
        <v>2</v>
      </c>
      <c r="N84" s="73">
        <v>2</v>
      </c>
      <c r="O84" s="75"/>
      <c r="P84" s="76"/>
      <c r="Q84" s="77">
        <v>1</v>
      </c>
      <c r="R84" s="66">
        <v>1</v>
      </c>
      <c r="U84" s="75"/>
      <c r="V84" s="78"/>
      <c r="W84" s="79"/>
      <c r="X84" s="80"/>
      <c r="AA84" s="81"/>
      <c r="AB84" s="52" t="s">
        <v>1087</v>
      </c>
      <c r="AD84" s="23" t="s">
        <v>372</v>
      </c>
      <c r="AE84" s="23"/>
      <c r="AF84" s="23" t="s">
        <v>415</v>
      </c>
      <c r="AO84" s="24"/>
      <c r="AP84" s="73"/>
      <c r="AQ84" s="75"/>
      <c r="AR84" s="76"/>
      <c r="AS84" s="77"/>
      <c r="AV84" s="75"/>
      <c r="AW84" s="83"/>
      <c r="AX84" s="84"/>
      <c r="AY84" s="80"/>
      <c r="BB84" s="81"/>
      <c r="BE84" s="24"/>
      <c r="BF84" s="23"/>
    </row>
    <row r="85" spans="1:58" ht="15" customHeight="1">
      <c r="A85" s="23" t="s">
        <v>183</v>
      </c>
      <c r="B85" s="23" t="s">
        <v>566</v>
      </c>
      <c r="C85" s="23" t="s">
        <v>57</v>
      </c>
      <c r="D85" s="23">
        <v>84</v>
      </c>
      <c r="E85" s="23">
        <v>1</v>
      </c>
      <c r="G85" s="23" t="s">
        <v>409</v>
      </c>
      <c r="J85" s="23" t="s">
        <v>27</v>
      </c>
      <c r="K85" s="23" t="s">
        <v>202</v>
      </c>
      <c r="L85" s="23">
        <v>2</v>
      </c>
      <c r="N85" s="73">
        <v>1</v>
      </c>
      <c r="O85" s="75"/>
      <c r="P85" s="76"/>
      <c r="Q85" s="77"/>
      <c r="U85" s="75"/>
      <c r="V85" s="78"/>
      <c r="W85" s="79"/>
      <c r="X85" s="80"/>
      <c r="AA85" s="81"/>
      <c r="AB85" s="42"/>
      <c r="AD85" s="23" t="s">
        <v>372</v>
      </c>
      <c r="AE85" s="23"/>
      <c r="AF85" s="23" t="s">
        <v>416</v>
      </c>
      <c r="AO85" s="24"/>
      <c r="AP85" s="73"/>
      <c r="AQ85" s="75"/>
      <c r="AR85" s="76"/>
      <c r="AS85" s="77"/>
      <c r="AV85" s="75"/>
      <c r="AW85" s="83"/>
      <c r="AX85" s="84"/>
      <c r="AY85" s="80"/>
      <c r="BB85" s="81"/>
      <c r="BE85" s="24"/>
      <c r="BF85" s="23"/>
    </row>
    <row r="86" spans="1:58" ht="15" customHeight="1">
      <c r="A86" s="23" t="s">
        <v>183</v>
      </c>
      <c r="B86" s="23" t="s">
        <v>567</v>
      </c>
      <c r="C86" s="23" t="s">
        <v>57</v>
      </c>
      <c r="D86" s="23">
        <v>85</v>
      </c>
      <c r="E86" s="23">
        <v>1</v>
      </c>
      <c r="G86" s="23" t="s">
        <v>417</v>
      </c>
      <c r="J86" s="23" t="s">
        <v>27</v>
      </c>
      <c r="K86" s="23" t="s">
        <v>202</v>
      </c>
      <c r="L86" s="23">
        <v>3</v>
      </c>
      <c r="N86" s="73">
        <v>2</v>
      </c>
      <c r="O86" s="75"/>
      <c r="P86" s="76"/>
      <c r="Q86" s="77">
        <v>1</v>
      </c>
      <c r="S86" s="113">
        <v>1</v>
      </c>
      <c r="U86" s="75"/>
      <c r="V86" s="78"/>
      <c r="W86" s="79"/>
      <c r="X86" s="80"/>
      <c r="AA86" s="81"/>
      <c r="AB86" s="52" t="s">
        <v>1093</v>
      </c>
      <c r="AD86" s="23" t="s">
        <v>1805</v>
      </c>
      <c r="AE86" s="23"/>
      <c r="AF86" s="23" t="s">
        <v>418</v>
      </c>
      <c r="AO86" s="24"/>
      <c r="AP86" s="73"/>
      <c r="AQ86" s="75"/>
      <c r="AR86" s="76"/>
      <c r="AS86" s="77"/>
      <c r="AV86" s="75"/>
      <c r="AW86" s="83"/>
      <c r="AX86" s="84"/>
      <c r="AY86" s="80"/>
      <c r="BB86" s="81"/>
      <c r="BE86" s="24"/>
      <c r="BF86" s="23"/>
    </row>
    <row r="87" spans="1:58" ht="15" customHeight="1">
      <c r="A87" s="23" t="s">
        <v>183</v>
      </c>
      <c r="B87" s="23" t="s">
        <v>568</v>
      </c>
      <c r="C87" s="23" t="s">
        <v>57</v>
      </c>
      <c r="D87" s="23">
        <v>86</v>
      </c>
      <c r="E87" s="23">
        <v>4</v>
      </c>
      <c r="G87" s="23" t="s">
        <v>419</v>
      </c>
      <c r="J87" s="23" t="s">
        <v>257</v>
      </c>
      <c r="K87" s="23" t="s">
        <v>26</v>
      </c>
      <c r="N87" s="73">
        <v>1</v>
      </c>
      <c r="O87" s="75"/>
      <c r="P87" s="76"/>
      <c r="Q87" s="77">
        <v>1</v>
      </c>
      <c r="U87" s="75"/>
      <c r="V87" s="78"/>
      <c r="W87" s="79"/>
      <c r="X87" s="80"/>
      <c r="AA87" s="81"/>
      <c r="AB87" s="52" t="s">
        <v>206</v>
      </c>
      <c r="AC87" s="23" t="s">
        <v>258</v>
      </c>
      <c r="AD87" s="23" t="s">
        <v>298</v>
      </c>
      <c r="AE87" s="23"/>
      <c r="AF87" s="23" t="s">
        <v>420</v>
      </c>
      <c r="AO87" s="24"/>
      <c r="AP87" s="73"/>
      <c r="AQ87" s="75"/>
      <c r="AR87" s="76"/>
      <c r="AS87" s="77"/>
      <c r="AV87" s="75"/>
      <c r="AW87" s="83"/>
      <c r="AX87" s="84"/>
      <c r="AY87" s="80"/>
      <c r="BB87" s="81"/>
      <c r="BE87" s="24"/>
      <c r="BF87" s="23"/>
    </row>
    <row r="88" spans="1:58" ht="15" customHeight="1">
      <c r="A88" s="23" t="s">
        <v>183</v>
      </c>
      <c r="B88" s="23" t="s">
        <v>569</v>
      </c>
      <c r="C88" s="23" t="s">
        <v>57</v>
      </c>
      <c r="D88" s="23">
        <v>87</v>
      </c>
      <c r="E88" s="23">
        <v>4</v>
      </c>
      <c r="G88" s="23" t="s">
        <v>421</v>
      </c>
      <c r="J88" s="23" t="s">
        <v>257</v>
      </c>
      <c r="K88" s="23" t="s">
        <v>26</v>
      </c>
      <c r="N88" s="73">
        <v>2</v>
      </c>
      <c r="O88" s="75"/>
      <c r="P88" s="76">
        <v>1</v>
      </c>
      <c r="Q88" s="77"/>
      <c r="U88" s="75"/>
      <c r="V88" s="78"/>
      <c r="W88" s="79"/>
      <c r="X88" s="80"/>
      <c r="AA88" s="81"/>
      <c r="AB88" s="52" t="s">
        <v>205</v>
      </c>
      <c r="AC88" s="23" t="s">
        <v>258</v>
      </c>
      <c r="AD88" s="23" t="s">
        <v>325</v>
      </c>
      <c r="AE88" s="23"/>
      <c r="AF88" s="23" t="s">
        <v>422</v>
      </c>
      <c r="AO88" s="24"/>
      <c r="AP88" s="73"/>
      <c r="AQ88" s="75"/>
      <c r="AR88" s="76"/>
      <c r="AS88" s="77"/>
      <c r="AV88" s="75"/>
      <c r="AW88" s="83"/>
      <c r="AX88" s="84"/>
      <c r="AY88" s="80"/>
      <c r="BB88" s="81"/>
      <c r="BE88" s="24"/>
      <c r="BF88" s="23"/>
    </row>
    <row r="89" spans="1:58" ht="15" customHeight="1">
      <c r="A89" s="23" t="s">
        <v>183</v>
      </c>
      <c r="B89" s="23" t="s">
        <v>570</v>
      </c>
      <c r="C89" s="23" t="s">
        <v>57</v>
      </c>
      <c r="D89" s="23">
        <v>88</v>
      </c>
      <c r="E89" s="23">
        <v>4</v>
      </c>
      <c r="G89" s="23" t="s">
        <v>423</v>
      </c>
      <c r="J89" s="23" t="s">
        <v>27</v>
      </c>
      <c r="K89" s="23" t="s">
        <v>26</v>
      </c>
      <c r="N89" s="73">
        <v>0</v>
      </c>
      <c r="O89" s="75"/>
      <c r="P89" s="76"/>
      <c r="Q89" s="77"/>
      <c r="U89" s="75"/>
      <c r="V89" s="78"/>
      <c r="W89" s="79"/>
      <c r="X89" s="80"/>
      <c r="AA89" s="81"/>
      <c r="AB89" s="42"/>
      <c r="AD89" s="23" t="s">
        <v>316</v>
      </c>
      <c r="AE89" s="23"/>
      <c r="AF89" s="23" t="s">
        <v>424</v>
      </c>
      <c r="AO89" s="24"/>
      <c r="AP89" s="73"/>
      <c r="AQ89" s="75"/>
      <c r="AR89" s="76"/>
      <c r="AS89" s="77"/>
      <c r="AV89" s="75"/>
      <c r="AW89" s="83"/>
      <c r="AX89" s="84"/>
      <c r="AY89" s="80"/>
      <c r="BB89" s="81"/>
      <c r="BE89" s="24"/>
      <c r="BF89" s="23"/>
    </row>
    <row r="90" spans="1:58" ht="15" customHeight="1">
      <c r="A90" s="23" t="s">
        <v>183</v>
      </c>
      <c r="B90" s="23" t="s">
        <v>571</v>
      </c>
      <c r="C90" s="23" t="s">
        <v>57</v>
      </c>
      <c r="D90" s="23">
        <v>89</v>
      </c>
      <c r="E90" s="23">
        <v>2</v>
      </c>
      <c r="G90" s="23" t="s">
        <v>425</v>
      </c>
      <c r="J90" s="23" t="s">
        <v>312</v>
      </c>
      <c r="K90" s="23" t="s">
        <v>26</v>
      </c>
      <c r="N90" s="73"/>
      <c r="O90" s="75">
        <v>2</v>
      </c>
      <c r="P90" s="76"/>
      <c r="Q90" s="77"/>
      <c r="U90" s="75"/>
      <c r="V90" s="78"/>
      <c r="W90" s="79"/>
      <c r="X90" s="80"/>
      <c r="AA90" s="81"/>
      <c r="AB90" s="52" t="s">
        <v>1094</v>
      </c>
      <c r="AD90" s="23" t="s">
        <v>412</v>
      </c>
      <c r="AE90" s="23"/>
      <c r="AF90" s="23" t="s">
        <v>426</v>
      </c>
      <c r="AO90" s="24"/>
      <c r="AP90" s="73"/>
      <c r="AQ90" s="75"/>
      <c r="AR90" s="76"/>
      <c r="AS90" s="77"/>
      <c r="AV90" s="75"/>
      <c r="AW90" s="83"/>
      <c r="AX90" s="84"/>
      <c r="AY90" s="80"/>
      <c r="BB90" s="81"/>
      <c r="BE90" s="24"/>
      <c r="BF90" s="23"/>
    </row>
    <row r="91" spans="1:58" ht="15" customHeight="1">
      <c r="A91" s="23" t="s">
        <v>183</v>
      </c>
      <c r="B91" s="23" t="s">
        <v>572</v>
      </c>
      <c r="C91" s="23" t="s">
        <v>57</v>
      </c>
      <c r="D91" s="23">
        <v>90</v>
      </c>
      <c r="E91" s="23">
        <v>2</v>
      </c>
      <c r="G91" s="23" t="s">
        <v>427</v>
      </c>
      <c r="J91" s="23" t="s">
        <v>312</v>
      </c>
      <c r="K91" s="23" t="s">
        <v>26</v>
      </c>
      <c r="N91" s="73"/>
      <c r="O91" s="75"/>
      <c r="P91" s="76">
        <v>2</v>
      </c>
      <c r="Q91" s="77"/>
      <c r="U91" s="75"/>
      <c r="V91" s="78"/>
      <c r="W91" s="79"/>
      <c r="X91" s="80"/>
      <c r="AA91" s="81"/>
      <c r="AB91" s="52" t="s">
        <v>1084</v>
      </c>
      <c r="AD91" s="23" t="s">
        <v>313</v>
      </c>
      <c r="AE91" s="23"/>
      <c r="AF91" s="23" t="s">
        <v>426</v>
      </c>
      <c r="AO91" s="24"/>
      <c r="AP91" s="73"/>
      <c r="AQ91" s="75"/>
      <c r="AR91" s="76"/>
      <c r="AS91" s="77"/>
      <c r="AV91" s="75"/>
      <c r="AW91" s="83"/>
      <c r="AX91" s="84"/>
      <c r="AY91" s="80"/>
      <c r="BB91" s="81"/>
      <c r="BE91" s="24"/>
      <c r="BF91" s="23"/>
    </row>
    <row r="92" spans="1:58" ht="15" customHeight="1">
      <c r="A92" s="23" t="s">
        <v>183</v>
      </c>
      <c r="B92" s="23" t="s">
        <v>573</v>
      </c>
      <c r="C92" s="23" t="s">
        <v>57</v>
      </c>
      <c r="D92" s="23">
        <v>91</v>
      </c>
      <c r="E92" s="23">
        <v>2</v>
      </c>
      <c r="G92" s="23" t="s">
        <v>428</v>
      </c>
      <c r="J92" s="23" t="s">
        <v>312</v>
      </c>
      <c r="K92" s="23" t="s">
        <v>26</v>
      </c>
      <c r="N92" s="73"/>
      <c r="O92" s="75"/>
      <c r="P92" s="76"/>
      <c r="Q92" s="77">
        <v>2</v>
      </c>
      <c r="U92" s="75"/>
      <c r="V92" s="78"/>
      <c r="W92" s="79"/>
      <c r="X92" s="80"/>
      <c r="AA92" s="81"/>
      <c r="AB92" s="52" t="s">
        <v>1088</v>
      </c>
      <c r="AD92" s="23" t="s">
        <v>313</v>
      </c>
      <c r="AE92" s="23"/>
      <c r="AF92" s="23" t="s">
        <v>426</v>
      </c>
      <c r="AO92" s="24"/>
      <c r="AP92" s="73"/>
      <c r="AQ92" s="75"/>
      <c r="AR92" s="76"/>
      <c r="AS92" s="77"/>
      <c r="AV92" s="75"/>
      <c r="AW92" s="83"/>
      <c r="AX92" s="84"/>
      <c r="AY92" s="80"/>
      <c r="BB92" s="81"/>
      <c r="BE92" s="24"/>
      <c r="BF92" s="23"/>
    </row>
    <row r="93" spans="1:58" ht="15" customHeight="1">
      <c r="A93" s="23" t="s">
        <v>183</v>
      </c>
      <c r="B93" s="23" t="s">
        <v>574</v>
      </c>
      <c r="C93" s="23" t="s">
        <v>57</v>
      </c>
      <c r="D93" s="23">
        <v>92</v>
      </c>
      <c r="E93" s="23">
        <v>2</v>
      </c>
      <c r="G93" s="23" t="s">
        <v>429</v>
      </c>
      <c r="J93" s="23" t="s">
        <v>312</v>
      </c>
      <c r="K93" s="23" t="s">
        <v>26</v>
      </c>
      <c r="N93" s="73"/>
      <c r="O93" s="75"/>
      <c r="P93" s="76"/>
      <c r="Q93" s="77"/>
      <c r="R93" s="66">
        <v>2</v>
      </c>
      <c r="U93" s="75"/>
      <c r="V93" s="78"/>
      <c r="W93" s="79"/>
      <c r="X93" s="80"/>
      <c r="AA93" s="81"/>
      <c r="AB93" s="52" t="s">
        <v>1095</v>
      </c>
      <c r="AD93" s="23" t="s">
        <v>412</v>
      </c>
      <c r="AE93" s="23"/>
      <c r="AF93" s="23" t="s">
        <v>426</v>
      </c>
      <c r="AO93" s="24"/>
      <c r="AP93" s="73"/>
      <c r="AQ93" s="75"/>
      <c r="AR93" s="76"/>
      <c r="AS93" s="77"/>
      <c r="AV93" s="75"/>
      <c r="AW93" s="83"/>
      <c r="AX93" s="84"/>
      <c r="AY93" s="80"/>
      <c r="BB93" s="81"/>
      <c r="BE93" s="24"/>
      <c r="BF93" s="23"/>
    </row>
    <row r="94" spans="1:58" ht="15" customHeight="1">
      <c r="A94" s="23" t="s">
        <v>183</v>
      </c>
      <c r="B94" s="23" t="s">
        <v>575</v>
      </c>
      <c r="C94" s="23" t="s">
        <v>57</v>
      </c>
      <c r="D94" s="23">
        <v>93</v>
      </c>
      <c r="E94" s="23">
        <v>2</v>
      </c>
      <c r="G94" s="23" t="s">
        <v>430</v>
      </c>
      <c r="J94" s="23" t="s">
        <v>312</v>
      </c>
      <c r="K94" s="23" t="s">
        <v>26</v>
      </c>
      <c r="N94" s="73"/>
      <c r="O94" s="75"/>
      <c r="P94" s="76"/>
      <c r="Q94" s="77"/>
      <c r="S94" s="113">
        <v>2</v>
      </c>
      <c r="U94" s="75"/>
      <c r="V94" s="78"/>
      <c r="W94" s="79"/>
      <c r="X94" s="80"/>
      <c r="AA94" s="81"/>
      <c r="AB94" s="52" t="s">
        <v>1082</v>
      </c>
      <c r="AD94" s="23" t="s">
        <v>412</v>
      </c>
      <c r="AE94" s="23"/>
      <c r="AF94" s="23" t="s">
        <v>431</v>
      </c>
      <c r="AO94" s="24"/>
      <c r="AP94" s="73"/>
      <c r="AQ94" s="75"/>
      <c r="AR94" s="76"/>
      <c r="AS94" s="77"/>
      <c r="AV94" s="75"/>
      <c r="AW94" s="83"/>
      <c r="AX94" s="84"/>
      <c r="AY94" s="80"/>
      <c r="BB94" s="81"/>
      <c r="BE94" s="24"/>
      <c r="BF94" s="23"/>
    </row>
    <row r="95" spans="1:58" ht="15" customHeight="1">
      <c r="A95" s="23" t="s">
        <v>183</v>
      </c>
      <c r="B95" s="23" t="s">
        <v>576</v>
      </c>
      <c r="C95" s="23" t="s">
        <v>57</v>
      </c>
      <c r="D95" s="23">
        <v>94</v>
      </c>
      <c r="E95" s="23">
        <v>2</v>
      </c>
      <c r="G95" s="23" t="s">
        <v>432</v>
      </c>
      <c r="J95" s="23" t="s">
        <v>257</v>
      </c>
      <c r="K95" s="23" t="s">
        <v>26</v>
      </c>
      <c r="L95" s="23">
        <v>3</v>
      </c>
      <c r="N95" s="73">
        <v>2</v>
      </c>
      <c r="O95" s="75"/>
      <c r="P95" s="76"/>
      <c r="Q95" s="77">
        <v>1</v>
      </c>
      <c r="S95" s="113">
        <v>1</v>
      </c>
      <c r="T95" s="68">
        <v>4</v>
      </c>
      <c r="U95" s="75" t="s">
        <v>38</v>
      </c>
      <c r="V95" s="78"/>
      <c r="W95" s="79"/>
      <c r="X95" s="80"/>
      <c r="AA95" s="81"/>
      <c r="AB95" s="52" t="s">
        <v>1093</v>
      </c>
      <c r="AC95" s="23" t="s">
        <v>393</v>
      </c>
      <c r="AD95" s="23" t="s">
        <v>394</v>
      </c>
      <c r="AE95" s="23"/>
      <c r="AO95" s="24"/>
      <c r="AP95" s="73"/>
      <c r="AQ95" s="75"/>
      <c r="AR95" s="76"/>
      <c r="AS95" s="77"/>
      <c r="AV95" s="75"/>
      <c r="AW95" s="83"/>
      <c r="AX95" s="84"/>
      <c r="AY95" s="80"/>
      <c r="BB95" s="81"/>
      <c r="BE95" s="24"/>
      <c r="BF95" s="23"/>
    </row>
    <row r="96" spans="1:58" ht="15" customHeight="1">
      <c r="A96" s="23" t="s">
        <v>183</v>
      </c>
      <c r="B96" s="23" t="s">
        <v>577</v>
      </c>
      <c r="C96" s="23" t="s">
        <v>57</v>
      </c>
      <c r="D96" s="23">
        <v>95</v>
      </c>
      <c r="E96" s="23">
        <v>2</v>
      </c>
      <c r="G96" s="23" t="s">
        <v>433</v>
      </c>
      <c r="J96" s="23" t="s">
        <v>257</v>
      </c>
      <c r="K96" s="23" t="s">
        <v>26</v>
      </c>
      <c r="L96" s="23">
        <v>3</v>
      </c>
      <c r="N96" s="73">
        <v>2</v>
      </c>
      <c r="O96" s="75">
        <v>1</v>
      </c>
      <c r="P96" s="76"/>
      <c r="Q96" s="77"/>
      <c r="S96" s="113">
        <v>1</v>
      </c>
      <c r="T96" s="68" t="s">
        <v>38</v>
      </c>
      <c r="U96" s="75">
        <v>4</v>
      </c>
      <c r="V96" s="78"/>
      <c r="W96" s="79"/>
      <c r="X96" s="80"/>
      <c r="AA96" s="81"/>
      <c r="AB96" s="52" t="s">
        <v>1086</v>
      </c>
      <c r="AC96" s="23" t="s">
        <v>275</v>
      </c>
      <c r="AD96" s="23" t="s">
        <v>276</v>
      </c>
      <c r="AE96" s="23"/>
      <c r="AO96" s="24"/>
      <c r="AP96" s="73"/>
      <c r="AQ96" s="75"/>
      <c r="AR96" s="76"/>
      <c r="AS96" s="77"/>
      <c r="AV96" s="75"/>
      <c r="AW96" s="83"/>
      <c r="AX96" s="84"/>
      <c r="AY96" s="80"/>
      <c r="BB96" s="81"/>
      <c r="BE96" s="24"/>
      <c r="BF96" s="23"/>
    </row>
    <row r="97" spans="1:59" ht="15" customHeight="1">
      <c r="A97" s="23" t="s">
        <v>183</v>
      </c>
      <c r="B97" s="23" t="s">
        <v>578</v>
      </c>
      <c r="C97" s="23" t="s">
        <v>57</v>
      </c>
      <c r="D97" s="23">
        <v>96</v>
      </c>
      <c r="E97" s="23">
        <v>2</v>
      </c>
      <c r="G97" s="23" t="s">
        <v>434</v>
      </c>
      <c r="J97" s="23" t="s">
        <v>28</v>
      </c>
      <c r="K97" s="23" t="s">
        <v>26</v>
      </c>
      <c r="M97" s="23" t="s">
        <v>691</v>
      </c>
      <c r="N97" s="73"/>
      <c r="O97" s="75"/>
      <c r="P97" s="76"/>
      <c r="Q97" s="77"/>
      <c r="U97" s="75"/>
      <c r="V97" s="78"/>
      <c r="W97" s="79"/>
      <c r="X97" s="80"/>
      <c r="AA97" s="81"/>
      <c r="AB97" s="42"/>
      <c r="AD97" s="23" t="s">
        <v>284</v>
      </c>
      <c r="AE97" s="23"/>
      <c r="AF97" s="23" t="s">
        <v>435</v>
      </c>
      <c r="AO97" s="24"/>
      <c r="AP97" s="73"/>
      <c r="AQ97" s="75"/>
      <c r="AR97" s="76"/>
      <c r="AS97" s="77"/>
      <c r="AV97" s="75"/>
      <c r="AW97" s="83"/>
      <c r="AX97" s="84"/>
      <c r="AY97" s="80"/>
      <c r="BB97" s="81"/>
      <c r="BE97" s="24"/>
      <c r="BF97" s="23"/>
    </row>
    <row r="98" spans="1:59" ht="15" customHeight="1">
      <c r="A98" s="23" t="s">
        <v>183</v>
      </c>
      <c r="B98" s="23" t="s">
        <v>579</v>
      </c>
      <c r="C98" s="23" t="s">
        <v>57</v>
      </c>
      <c r="D98" s="23">
        <v>97</v>
      </c>
      <c r="E98" s="23">
        <v>2</v>
      </c>
      <c r="G98" s="23" t="s">
        <v>436</v>
      </c>
      <c r="J98" s="23" t="s">
        <v>28</v>
      </c>
      <c r="K98" s="23" t="s">
        <v>26</v>
      </c>
      <c r="M98" s="23" t="s">
        <v>691</v>
      </c>
      <c r="N98" s="73"/>
      <c r="O98" s="75"/>
      <c r="P98" s="76"/>
      <c r="Q98" s="77"/>
      <c r="U98" s="75"/>
      <c r="V98" s="78"/>
      <c r="W98" s="79"/>
      <c r="X98" s="80"/>
      <c r="AA98" s="81"/>
      <c r="AB98" s="42"/>
      <c r="AD98" s="23" t="s">
        <v>284</v>
      </c>
      <c r="AE98" s="23"/>
      <c r="AF98" s="23" t="s">
        <v>437</v>
      </c>
      <c r="AO98" s="24"/>
      <c r="AP98" s="73"/>
      <c r="AQ98" s="75"/>
      <c r="AR98" s="76"/>
      <c r="AS98" s="77"/>
      <c r="AV98" s="75"/>
      <c r="AW98" s="83"/>
      <c r="AX98" s="84"/>
      <c r="AY98" s="80"/>
      <c r="BB98" s="81"/>
      <c r="BE98" s="24"/>
      <c r="BF98" s="23"/>
    </row>
    <row r="99" spans="1:59" ht="15" customHeight="1">
      <c r="A99" s="23" t="s">
        <v>183</v>
      </c>
      <c r="B99" s="23" t="s">
        <v>580</v>
      </c>
      <c r="C99" s="23" t="s">
        <v>57</v>
      </c>
      <c r="D99" s="23">
        <v>98</v>
      </c>
      <c r="E99" s="23">
        <v>1</v>
      </c>
      <c r="G99" s="23" t="s">
        <v>438</v>
      </c>
      <c r="J99" s="23" t="s">
        <v>28</v>
      </c>
      <c r="K99" s="23" t="s">
        <v>26</v>
      </c>
      <c r="M99" s="23" t="s">
        <v>691</v>
      </c>
      <c r="N99" s="73"/>
      <c r="O99" s="75"/>
      <c r="P99" s="76"/>
      <c r="Q99" s="77"/>
      <c r="U99" s="75"/>
      <c r="V99" s="78"/>
      <c r="W99" s="79"/>
      <c r="X99" s="80"/>
      <c r="AA99" s="81"/>
      <c r="AB99" s="42"/>
      <c r="AD99" s="23" t="s">
        <v>439</v>
      </c>
      <c r="AE99" s="23"/>
      <c r="AF99" s="23" t="s">
        <v>440</v>
      </c>
      <c r="AO99" s="24"/>
      <c r="AP99" s="73"/>
      <c r="AQ99" s="75"/>
      <c r="AR99" s="76"/>
      <c r="AS99" s="77"/>
      <c r="AV99" s="75"/>
      <c r="AW99" s="83"/>
      <c r="AX99" s="84"/>
      <c r="AY99" s="80"/>
      <c r="BB99" s="81"/>
      <c r="BE99" s="24"/>
      <c r="BF99" s="23"/>
    </row>
    <row r="100" spans="1:59" ht="15" customHeight="1">
      <c r="A100" s="23" t="s">
        <v>183</v>
      </c>
      <c r="B100" s="23" t="s">
        <v>581</v>
      </c>
      <c r="C100" s="23" t="s">
        <v>57</v>
      </c>
      <c r="D100" s="23">
        <v>99</v>
      </c>
      <c r="E100" s="23">
        <v>1</v>
      </c>
      <c r="G100" s="23" t="s">
        <v>696</v>
      </c>
      <c r="J100" s="23" t="s">
        <v>28</v>
      </c>
      <c r="K100" s="23" t="s">
        <v>26</v>
      </c>
      <c r="M100" s="23" t="s">
        <v>691</v>
      </c>
      <c r="N100" s="73"/>
      <c r="O100" s="75"/>
      <c r="P100" s="76"/>
      <c r="Q100" s="77"/>
      <c r="U100" s="75"/>
      <c r="V100" s="78"/>
      <c r="W100" s="79"/>
      <c r="X100" s="80"/>
      <c r="AA100" s="81"/>
      <c r="AB100" s="42"/>
      <c r="AD100" s="23" t="s">
        <v>284</v>
      </c>
      <c r="AE100" s="23"/>
      <c r="AF100" s="23" t="s">
        <v>697</v>
      </c>
      <c r="AO100" s="24"/>
      <c r="AP100" s="73"/>
      <c r="AQ100" s="75"/>
      <c r="AR100" s="76"/>
      <c r="AS100" s="77"/>
      <c r="AV100" s="75"/>
      <c r="AW100" s="83"/>
      <c r="AX100" s="84"/>
      <c r="AY100" s="80"/>
      <c r="BB100" s="81"/>
      <c r="BE100" s="24"/>
      <c r="BF100" s="23"/>
    </row>
    <row r="101" spans="1:59" ht="15" customHeight="1">
      <c r="A101" s="23" t="s">
        <v>183</v>
      </c>
      <c r="B101" s="23" t="s">
        <v>692</v>
      </c>
      <c r="C101" s="23" t="s">
        <v>57</v>
      </c>
      <c r="D101" s="23">
        <v>100</v>
      </c>
      <c r="E101" s="23">
        <v>1</v>
      </c>
      <c r="G101" s="23" t="s">
        <v>441</v>
      </c>
      <c r="J101" s="23" t="s">
        <v>28</v>
      </c>
      <c r="K101" s="23" t="s">
        <v>26</v>
      </c>
      <c r="M101" s="23" t="s">
        <v>691</v>
      </c>
      <c r="N101" s="73"/>
      <c r="O101" s="75"/>
      <c r="P101" s="76"/>
      <c r="Q101" s="77"/>
      <c r="U101" s="75"/>
      <c r="V101" s="78"/>
      <c r="W101" s="79"/>
      <c r="X101" s="80"/>
      <c r="AA101" s="81"/>
      <c r="AB101" s="42"/>
      <c r="AD101" s="23" t="s">
        <v>284</v>
      </c>
      <c r="AE101" s="23"/>
      <c r="AF101" s="23" t="s">
        <v>698</v>
      </c>
      <c r="AO101" s="24"/>
      <c r="AP101" s="73"/>
      <c r="AQ101" s="75"/>
      <c r="AR101" s="76"/>
      <c r="AS101" s="77"/>
      <c r="AV101" s="75"/>
      <c r="AW101" s="83"/>
      <c r="AX101" s="84"/>
      <c r="AY101" s="80"/>
      <c r="BB101" s="81"/>
      <c r="BE101" s="24"/>
      <c r="BF101" s="23"/>
    </row>
    <row r="102" spans="1:59" ht="15" customHeight="1">
      <c r="A102" s="23" t="s">
        <v>183</v>
      </c>
      <c r="B102" s="23" t="s">
        <v>693</v>
      </c>
      <c r="C102" s="23" t="s">
        <v>57</v>
      </c>
      <c r="D102" s="23">
        <v>101</v>
      </c>
      <c r="E102" s="23">
        <v>1</v>
      </c>
      <c r="G102" s="23" t="s">
        <v>699</v>
      </c>
      <c r="J102" s="23" t="s">
        <v>29</v>
      </c>
      <c r="K102" s="23" t="s">
        <v>26</v>
      </c>
      <c r="M102" s="23" t="s">
        <v>691</v>
      </c>
      <c r="N102" s="73"/>
      <c r="O102" s="75"/>
      <c r="P102" s="76"/>
      <c r="Q102" s="77">
        <v>4</v>
      </c>
      <c r="R102" s="66">
        <v>3</v>
      </c>
      <c r="T102" s="68">
        <v>3</v>
      </c>
      <c r="U102" s="75"/>
      <c r="V102" s="78">
        <v>1</v>
      </c>
      <c r="W102" s="79"/>
      <c r="X102" s="80"/>
      <c r="AA102" s="81"/>
      <c r="AB102" s="42"/>
      <c r="AD102" s="23" t="s">
        <v>700</v>
      </c>
      <c r="AE102" s="23" t="s">
        <v>701</v>
      </c>
      <c r="AF102" s="23" t="s">
        <v>702</v>
      </c>
      <c r="AO102" s="24"/>
      <c r="AP102" s="73"/>
      <c r="AQ102" s="75"/>
      <c r="AR102" s="76"/>
      <c r="AS102" s="77"/>
      <c r="AV102" s="75"/>
      <c r="AW102" s="83"/>
      <c r="AX102" s="84"/>
      <c r="AY102" s="80"/>
      <c r="BB102" s="81"/>
      <c r="BE102" s="24"/>
      <c r="BF102" s="23"/>
    </row>
    <row r="103" spans="1:59" ht="15" customHeight="1">
      <c r="A103" s="23" t="s">
        <v>183</v>
      </c>
      <c r="B103" s="23" t="s">
        <v>694</v>
      </c>
      <c r="C103" s="23" t="s">
        <v>57</v>
      </c>
      <c r="D103" s="23">
        <v>102</v>
      </c>
      <c r="E103" s="23">
        <v>1</v>
      </c>
      <c r="G103" s="23" t="s">
        <v>703</v>
      </c>
      <c r="J103" s="23" t="s">
        <v>29</v>
      </c>
      <c r="K103" s="23" t="s">
        <v>26</v>
      </c>
      <c r="M103" s="23" t="s">
        <v>691</v>
      </c>
      <c r="N103" s="73"/>
      <c r="O103" s="75"/>
      <c r="P103" s="76"/>
      <c r="Q103" s="77">
        <v>2</v>
      </c>
      <c r="R103" s="66">
        <v>3</v>
      </c>
      <c r="T103" s="68">
        <v>3</v>
      </c>
      <c r="U103" s="75"/>
      <c r="V103" s="78">
        <v>1</v>
      </c>
      <c r="W103" s="79"/>
      <c r="X103" s="80"/>
      <c r="AA103" s="81"/>
      <c r="AB103" s="42"/>
      <c r="AD103" s="23" t="s">
        <v>704</v>
      </c>
      <c r="AE103" s="23" t="s">
        <v>701</v>
      </c>
      <c r="AF103" s="23" t="s">
        <v>705</v>
      </c>
      <c r="AO103" s="24"/>
      <c r="AP103" s="73"/>
      <c r="AQ103" s="75"/>
      <c r="AR103" s="76"/>
      <c r="AS103" s="77"/>
      <c r="AV103" s="75"/>
      <c r="AW103" s="83"/>
      <c r="AX103" s="84"/>
      <c r="AY103" s="80"/>
      <c r="BB103" s="81"/>
      <c r="BE103" s="24"/>
      <c r="BF103" s="23"/>
    </row>
    <row r="104" spans="1:59" ht="15" customHeight="1">
      <c r="A104" s="23" t="s">
        <v>183</v>
      </c>
      <c r="B104" s="23" t="s">
        <v>695</v>
      </c>
      <c r="C104" s="23" t="s">
        <v>57</v>
      </c>
      <c r="D104" s="23">
        <v>103</v>
      </c>
      <c r="E104" s="23">
        <v>1</v>
      </c>
      <c r="G104" s="23" t="s">
        <v>706</v>
      </c>
      <c r="J104" s="23" t="s">
        <v>29</v>
      </c>
      <c r="K104" s="23" t="s">
        <v>26</v>
      </c>
      <c r="M104" s="23" t="s">
        <v>691</v>
      </c>
      <c r="N104" s="73"/>
      <c r="O104" s="75"/>
      <c r="P104" s="76"/>
      <c r="Q104" s="77">
        <v>3</v>
      </c>
      <c r="R104" s="66">
        <v>2</v>
      </c>
      <c r="T104" s="68">
        <v>2</v>
      </c>
      <c r="U104" s="75"/>
      <c r="V104" s="78">
        <v>1</v>
      </c>
      <c r="W104" s="79"/>
      <c r="X104" s="80"/>
      <c r="AA104" s="81"/>
      <c r="AB104" s="42"/>
      <c r="AD104" s="23" t="s">
        <v>707</v>
      </c>
      <c r="AE104" s="23" t="s">
        <v>701</v>
      </c>
      <c r="AF104" s="23" t="s">
        <v>708</v>
      </c>
      <c r="AO104" s="24"/>
      <c r="AP104" s="73"/>
      <c r="AQ104" s="75"/>
      <c r="AR104" s="76"/>
      <c r="AS104" s="77"/>
      <c r="AV104" s="75"/>
      <c r="AW104" s="83"/>
      <c r="AX104" s="84"/>
      <c r="AY104" s="80"/>
      <c r="BB104" s="81"/>
      <c r="BE104" s="24"/>
      <c r="BF104" s="23"/>
    </row>
    <row r="105" spans="1:59" ht="15" customHeight="1">
      <c r="A105" s="23" t="s">
        <v>183</v>
      </c>
      <c r="B105" s="23" t="s">
        <v>582</v>
      </c>
      <c r="C105" s="23" t="s">
        <v>57</v>
      </c>
      <c r="D105" s="31">
        <v>104</v>
      </c>
      <c r="E105" s="28">
        <v>1</v>
      </c>
      <c r="F105" s="28" t="s">
        <v>442</v>
      </c>
      <c r="G105" s="28" t="s">
        <v>442</v>
      </c>
      <c r="H105" s="23" t="s">
        <v>709</v>
      </c>
      <c r="J105" s="23" t="s">
        <v>618</v>
      </c>
      <c r="AB105" s="42"/>
      <c r="AF105" s="23" t="s">
        <v>930</v>
      </c>
      <c r="AI105" s="26" t="s">
        <v>442</v>
      </c>
      <c r="AJ105" s="28" t="s">
        <v>710</v>
      </c>
      <c r="AL105" s="23" t="s">
        <v>618</v>
      </c>
      <c r="AO105" s="24"/>
      <c r="AP105" s="73"/>
      <c r="AQ105" s="75"/>
      <c r="AR105" s="76"/>
      <c r="AS105" s="77"/>
      <c r="AV105" s="75"/>
      <c r="AW105" s="83"/>
      <c r="AX105" s="84"/>
      <c r="AY105" s="80"/>
      <c r="BB105" s="81"/>
      <c r="BE105" s="24"/>
      <c r="BF105" s="23"/>
      <c r="BG105" s="23" t="s">
        <v>931</v>
      </c>
    </row>
    <row r="106" spans="1:59" ht="15" customHeight="1">
      <c r="A106" s="23" t="s">
        <v>183</v>
      </c>
      <c r="B106" s="23" t="s">
        <v>583</v>
      </c>
      <c r="C106" s="23" t="s">
        <v>57</v>
      </c>
      <c r="D106" s="24">
        <v>105</v>
      </c>
      <c r="E106" s="23">
        <v>1</v>
      </c>
      <c r="F106" s="28" t="s">
        <v>442</v>
      </c>
      <c r="G106" s="23" t="s">
        <v>443</v>
      </c>
      <c r="J106" s="23" t="s">
        <v>619</v>
      </c>
      <c r="L106" s="23">
        <v>1</v>
      </c>
      <c r="Z106" s="68">
        <v>3</v>
      </c>
      <c r="AB106" s="42"/>
      <c r="AI106" s="23" t="s">
        <v>711</v>
      </c>
      <c r="AL106" s="23" t="s">
        <v>619</v>
      </c>
      <c r="AN106" s="23">
        <v>1</v>
      </c>
      <c r="AO106" s="24"/>
      <c r="AP106" s="73"/>
      <c r="AQ106" s="75"/>
      <c r="AR106" s="76"/>
      <c r="AS106" s="77"/>
      <c r="AV106" s="75"/>
      <c r="AW106" s="83"/>
      <c r="AX106" s="84"/>
      <c r="AY106" s="80"/>
      <c r="BB106" s="81"/>
      <c r="BE106" s="24"/>
      <c r="BF106" s="23"/>
      <c r="BG106" s="23" t="s">
        <v>712</v>
      </c>
    </row>
    <row r="107" spans="1:59" ht="15" customHeight="1">
      <c r="A107" s="23" t="s">
        <v>183</v>
      </c>
      <c r="B107" s="23" t="s">
        <v>584</v>
      </c>
      <c r="C107" s="23" t="s">
        <v>57</v>
      </c>
      <c r="D107" s="24">
        <v>106</v>
      </c>
      <c r="E107" s="23">
        <v>1</v>
      </c>
      <c r="F107" s="28" t="s">
        <v>442</v>
      </c>
      <c r="G107" s="23" t="s">
        <v>444</v>
      </c>
      <c r="J107" s="23" t="s">
        <v>619</v>
      </c>
      <c r="L107" s="23">
        <v>2</v>
      </c>
      <c r="Z107" s="68">
        <v>7</v>
      </c>
      <c r="AB107" s="42"/>
      <c r="AI107" s="23" t="s">
        <v>713</v>
      </c>
      <c r="AL107" s="23" t="s">
        <v>619</v>
      </c>
      <c r="AN107" s="23">
        <v>2</v>
      </c>
      <c r="AO107" s="24"/>
      <c r="AP107" s="73"/>
      <c r="AQ107" s="75"/>
      <c r="AR107" s="76"/>
      <c r="AS107" s="77"/>
      <c r="AV107" s="75"/>
      <c r="AW107" s="83"/>
      <c r="AX107" s="84"/>
      <c r="AY107" s="80"/>
      <c r="BB107" s="81"/>
      <c r="BE107" s="24"/>
      <c r="BF107" s="23"/>
      <c r="BG107" s="23" t="s">
        <v>714</v>
      </c>
    </row>
    <row r="108" spans="1:59" ht="15" customHeight="1">
      <c r="A108" s="23" t="s">
        <v>183</v>
      </c>
      <c r="B108" s="23" t="s">
        <v>585</v>
      </c>
      <c r="C108" s="23" t="s">
        <v>57</v>
      </c>
      <c r="D108" s="24">
        <v>107</v>
      </c>
      <c r="E108" s="23">
        <v>1</v>
      </c>
      <c r="F108" s="28" t="s">
        <v>442</v>
      </c>
      <c r="G108" s="23" t="s">
        <v>445</v>
      </c>
      <c r="J108" s="23" t="s">
        <v>619</v>
      </c>
      <c r="L108" s="23">
        <v>3</v>
      </c>
      <c r="Z108" s="68">
        <v>10</v>
      </c>
      <c r="AB108" s="42"/>
      <c r="AF108" s="23" t="s">
        <v>620</v>
      </c>
      <c r="AI108" s="23" t="s">
        <v>715</v>
      </c>
      <c r="AL108" s="23" t="s">
        <v>619</v>
      </c>
      <c r="AN108" s="23">
        <v>3</v>
      </c>
      <c r="AO108" s="24"/>
      <c r="AP108" s="73"/>
      <c r="AQ108" s="75"/>
      <c r="AR108" s="76"/>
      <c r="AS108" s="77"/>
      <c r="AV108" s="75"/>
      <c r="AW108" s="83"/>
      <c r="AX108" s="84"/>
      <c r="AY108" s="80"/>
      <c r="BB108" s="81"/>
      <c r="BE108" s="24"/>
      <c r="BF108" s="23"/>
      <c r="BG108" s="23" t="s">
        <v>716</v>
      </c>
    </row>
    <row r="109" spans="1:59" ht="15" customHeight="1">
      <c r="A109" s="23" t="s">
        <v>183</v>
      </c>
      <c r="B109" s="23" t="s">
        <v>586</v>
      </c>
      <c r="C109" s="23" t="s">
        <v>57</v>
      </c>
      <c r="D109" s="23">
        <v>108</v>
      </c>
      <c r="E109" s="23">
        <v>1</v>
      </c>
      <c r="F109" s="28" t="s">
        <v>442</v>
      </c>
      <c r="G109" s="23" t="s">
        <v>446</v>
      </c>
      <c r="J109" s="23" t="s">
        <v>621</v>
      </c>
      <c r="L109" s="23">
        <v>1</v>
      </c>
      <c r="N109" s="73"/>
      <c r="S109" s="113">
        <v>1</v>
      </c>
      <c r="Y109" s="66" t="s">
        <v>1111</v>
      </c>
      <c r="AB109" s="42"/>
      <c r="AE109" s="23"/>
      <c r="AI109" s="23" t="s">
        <v>717</v>
      </c>
      <c r="AL109" s="23" t="s">
        <v>621</v>
      </c>
      <c r="AN109" s="23">
        <v>1</v>
      </c>
      <c r="AO109" s="24"/>
      <c r="AP109" s="73"/>
      <c r="AQ109" s="75"/>
      <c r="AR109" s="76"/>
      <c r="AS109" s="77"/>
      <c r="AV109" s="75"/>
      <c r="AW109" s="83"/>
      <c r="AX109" s="84"/>
      <c r="AY109" s="80"/>
      <c r="BB109" s="81"/>
      <c r="BE109" s="24"/>
      <c r="BF109" s="23"/>
      <c r="BG109" s="23" t="s">
        <v>718</v>
      </c>
    </row>
    <row r="110" spans="1:59" ht="15" customHeight="1">
      <c r="A110" s="23" t="s">
        <v>183</v>
      </c>
      <c r="B110" s="23" t="s">
        <v>587</v>
      </c>
      <c r="C110" s="23" t="s">
        <v>57</v>
      </c>
      <c r="D110" s="23">
        <v>109</v>
      </c>
      <c r="E110" s="23">
        <v>1</v>
      </c>
      <c r="F110" s="28" t="s">
        <v>442</v>
      </c>
      <c r="G110" s="23" t="s">
        <v>447</v>
      </c>
      <c r="J110" s="23" t="s">
        <v>621</v>
      </c>
      <c r="L110" s="23">
        <v>2</v>
      </c>
      <c r="N110" s="73"/>
      <c r="Y110" s="66" t="s">
        <v>1112</v>
      </c>
      <c r="AB110" s="42"/>
      <c r="AE110" s="23"/>
      <c r="AF110" s="23" t="s">
        <v>622</v>
      </c>
      <c r="AI110" s="23" t="s">
        <v>719</v>
      </c>
      <c r="AL110" s="23" t="s">
        <v>621</v>
      </c>
      <c r="AN110" s="23">
        <v>2</v>
      </c>
      <c r="AO110" s="24"/>
      <c r="AP110" s="73"/>
      <c r="AQ110" s="75"/>
      <c r="AR110" s="76"/>
      <c r="AS110" s="77"/>
      <c r="AV110" s="75"/>
      <c r="AW110" s="83"/>
      <c r="AX110" s="84"/>
      <c r="AY110" s="80"/>
      <c r="BB110" s="81"/>
      <c r="BE110" s="24"/>
      <c r="BF110" s="23"/>
      <c r="BG110" s="23" t="s">
        <v>720</v>
      </c>
    </row>
    <row r="111" spans="1:59" ht="15" customHeight="1">
      <c r="A111" s="23" t="s">
        <v>183</v>
      </c>
      <c r="B111" s="23" t="s">
        <v>588</v>
      </c>
      <c r="C111" s="23" t="s">
        <v>57</v>
      </c>
      <c r="D111" s="23">
        <v>110</v>
      </c>
      <c r="E111" s="23">
        <v>1</v>
      </c>
      <c r="F111" s="28" t="s">
        <v>442</v>
      </c>
      <c r="G111" s="23" t="s">
        <v>448</v>
      </c>
      <c r="J111" s="23" t="s">
        <v>621</v>
      </c>
      <c r="L111" s="23">
        <v>3</v>
      </c>
      <c r="N111" s="73"/>
      <c r="S111" s="113">
        <v>1</v>
      </c>
      <c r="Y111" s="82" t="s">
        <v>38</v>
      </c>
      <c r="AB111" s="42"/>
      <c r="AE111" s="23"/>
      <c r="AF111" s="23" t="s">
        <v>623</v>
      </c>
      <c r="AI111" s="23" t="s">
        <v>721</v>
      </c>
      <c r="AL111" s="23" t="s">
        <v>621</v>
      </c>
      <c r="AN111" s="23">
        <v>3</v>
      </c>
      <c r="AO111" s="24"/>
      <c r="AP111" s="73"/>
      <c r="AQ111" s="75"/>
      <c r="AR111" s="76"/>
      <c r="AS111" s="77"/>
      <c r="AV111" s="75"/>
      <c r="AW111" s="83"/>
      <c r="AX111" s="84"/>
      <c r="AY111" s="80"/>
      <c r="BB111" s="81"/>
      <c r="BE111" s="24"/>
      <c r="BF111" s="23"/>
      <c r="BG111" s="23" t="s">
        <v>722</v>
      </c>
    </row>
    <row r="112" spans="1:59" ht="15" customHeight="1">
      <c r="A112" s="23" t="s">
        <v>183</v>
      </c>
      <c r="B112" s="23" t="s">
        <v>589</v>
      </c>
      <c r="C112" s="23" t="s">
        <v>57</v>
      </c>
      <c r="D112" s="23">
        <v>111</v>
      </c>
      <c r="E112" s="23">
        <v>1</v>
      </c>
      <c r="F112" s="28" t="s">
        <v>442</v>
      </c>
      <c r="G112" s="23" t="s">
        <v>449</v>
      </c>
      <c r="J112" s="23" t="s">
        <v>31</v>
      </c>
      <c r="N112" s="73"/>
      <c r="AB112" s="42"/>
      <c r="AE112" s="23"/>
      <c r="AI112" s="23" t="s">
        <v>449</v>
      </c>
      <c r="AL112" s="23" t="s">
        <v>31</v>
      </c>
      <c r="AP112" s="73"/>
      <c r="AY112" s="71">
        <v>2</v>
      </c>
      <c r="AZ112" s="66" t="s">
        <v>1111</v>
      </c>
      <c r="BF112" s="23"/>
    </row>
    <row r="113" spans="1:59" ht="15" customHeight="1">
      <c r="A113" s="23" t="s">
        <v>183</v>
      </c>
      <c r="B113" s="23" t="s">
        <v>590</v>
      </c>
      <c r="C113" s="23" t="s">
        <v>57</v>
      </c>
      <c r="D113" s="23">
        <v>112</v>
      </c>
      <c r="E113" s="23">
        <v>1</v>
      </c>
      <c r="F113" s="28" t="s">
        <v>442</v>
      </c>
      <c r="G113" s="23" t="s">
        <v>450</v>
      </c>
      <c r="J113" s="23" t="s">
        <v>31</v>
      </c>
      <c r="N113" s="73"/>
      <c r="S113" s="113">
        <v>1</v>
      </c>
      <c r="AB113" s="42"/>
      <c r="AE113" s="23"/>
      <c r="AI113" s="23" t="s">
        <v>450</v>
      </c>
      <c r="AL113" s="23" t="s">
        <v>31</v>
      </c>
      <c r="AP113" s="73"/>
      <c r="AY113" s="71">
        <v>1</v>
      </c>
      <c r="AZ113" s="66">
        <v>0</v>
      </c>
      <c r="BF113" s="23"/>
    </row>
    <row r="114" spans="1:59" ht="15" customHeight="1">
      <c r="A114" s="23" t="s">
        <v>183</v>
      </c>
      <c r="B114" s="23" t="s">
        <v>591</v>
      </c>
      <c r="C114" s="23" t="s">
        <v>57</v>
      </c>
      <c r="D114" s="23">
        <v>113</v>
      </c>
      <c r="E114" s="23">
        <v>1</v>
      </c>
      <c r="F114" s="28" t="s">
        <v>442</v>
      </c>
      <c r="G114" s="23" t="s">
        <v>451</v>
      </c>
      <c r="J114" s="23" t="s">
        <v>31</v>
      </c>
      <c r="N114" s="73"/>
      <c r="AB114" s="42"/>
      <c r="AE114" s="23"/>
      <c r="AI114" s="23" t="s">
        <v>451</v>
      </c>
      <c r="AL114" s="23" t="s">
        <v>31</v>
      </c>
      <c r="AP114" s="73"/>
      <c r="AY114" s="71">
        <v>1</v>
      </c>
      <c r="AZ114" s="66" t="s">
        <v>1111</v>
      </c>
      <c r="BB114" s="72">
        <v>1</v>
      </c>
      <c r="BF114" s="23"/>
      <c r="BG114" s="23" t="s">
        <v>624</v>
      </c>
    </row>
    <row r="115" spans="1:59" ht="15" customHeight="1">
      <c r="A115" s="23" t="s">
        <v>183</v>
      </c>
      <c r="B115" s="23" t="s">
        <v>592</v>
      </c>
      <c r="C115" s="23" t="s">
        <v>57</v>
      </c>
      <c r="D115" s="23">
        <v>114</v>
      </c>
      <c r="E115" s="23">
        <v>1</v>
      </c>
      <c r="F115" s="28" t="s">
        <v>442</v>
      </c>
      <c r="G115" s="23" t="s">
        <v>452</v>
      </c>
      <c r="J115" s="23" t="s">
        <v>31</v>
      </c>
      <c r="N115" s="73"/>
      <c r="S115" s="113">
        <v>1</v>
      </c>
      <c r="AB115" s="42"/>
      <c r="AE115" s="23"/>
      <c r="AI115" s="23" t="s">
        <v>452</v>
      </c>
      <c r="AL115" s="23" t="s">
        <v>31</v>
      </c>
      <c r="AP115" s="73"/>
      <c r="AY115" s="71">
        <v>4</v>
      </c>
      <c r="AZ115" s="66" t="s">
        <v>1111</v>
      </c>
      <c r="BB115" s="72">
        <v>1</v>
      </c>
      <c r="BF115" s="23"/>
      <c r="BG115" s="23" t="s">
        <v>625</v>
      </c>
    </row>
    <row r="116" spans="1:59" ht="15" customHeight="1">
      <c r="A116" s="23" t="s">
        <v>183</v>
      </c>
      <c r="B116" s="23" t="s">
        <v>593</v>
      </c>
      <c r="C116" s="23" t="s">
        <v>57</v>
      </c>
      <c r="D116" s="23">
        <v>115</v>
      </c>
      <c r="E116" s="23">
        <v>1</v>
      </c>
      <c r="F116" s="28" t="s">
        <v>442</v>
      </c>
      <c r="G116" s="23" t="s">
        <v>453</v>
      </c>
      <c r="J116" s="23" t="s">
        <v>31</v>
      </c>
      <c r="N116" s="73"/>
      <c r="AB116" s="42"/>
      <c r="AE116" s="23"/>
      <c r="AI116" s="23" t="s">
        <v>453</v>
      </c>
      <c r="AL116" s="23" t="s">
        <v>31</v>
      </c>
      <c r="AP116" s="73"/>
      <c r="AY116" s="71">
        <v>2</v>
      </c>
      <c r="AZ116" s="66">
        <v>0</v>
      </c>
      <c r="BF116" s="23"/>
      <c r="BG116" s="23" t="s">
        <v>626</v>
      </c>
    </row>
    <row r="117" spans="1:59" ht="15" customHeight="1">
      <c r="A117" s="23" t="s">
        <v>183</v>
      </c>
      <c r="B117" s="23" t="s">
        <v>594</v>
      </c>
      <c r="C117" s="23" t="s">
        <v>57</v>
      </c>
      <c r="D117" s="23">
        <v>116</v>
      </c>
      <c r="E117" s="23">
        <v>1</v>
      </c>
      <c r="F117" s="28" t="s">
        <v>442</v>
      </c>
      <c r="G117" s="23" t="s">
        <v>454</v>
      </c>
      <c r="J117" s="23" t="s">
        <v>29</v>
      </c>
      <c r="N117" s="73"/>
      <c r="Q117" s="65">
        <v>4</v>
      </c>
      <c r="R117" s="66">
        <v>4</v>
      </c>
      <c r="S117" s="113">
        <v>1</v>
      </c>
      <c r="T117" s="68" t="s">
        <v>1077</v>
      </c>
      <c r="V117" s="69">
        <v>2</v>
      </c>
      <c r="W117" s="70">
        <v>2</v>
      </c>
      <c r="AA117" s="72">
        <v>2</v>
      </c>
      <c r="AB117" s="42"/>
      <c r="AD117" s="23" t="s">
        <v>455</v>
      </c>
      <c r="AE117" s="23"/>
      <c r="AF117" s="23" t="s">
        <v>627</v>
      </c>
      <c r="AO117" s="24"/>
      <c r="AP117" s="73"/>
      <c r="AQ117" s="75"/>
      <c r="AR117" s="76"/>
      <c r="AS117" s="77"/>
      <c r="AV117" s="75"/>
      <c r="AW117" s="83"/>
      <c r="AX117" s="84"/>
      <c r="AY117" s="80"/>
      <c r="BB117" s="81"/>
      <c r="BE117" s="24"/>
      <c r="BF117" s="23"/>
    </row>
    <row r="118" spans="1:59" ht="15" customHeight="1">
      <c r="A118" s="23" t="s">
        <v>183</v>
      </c>
      <c r="B118" s="23" t="s">
        <v>595</v>
      </c>
      <c r="C118" s="23" t="s">
        <v>57</v>
      </c>
      <c r="D118" s="23">
        <v>117</v>
      </c>
      <c r="E118" s="23">
        <v>1</v>
      </c>
      <c r="F118" s="28" t="s">
        <v>442</v>
      </c>
      <c r="G118" s="23" t="s">
        <v>456</v>
      </c>
      <c r="H118" s="23" t="s">
        <v>457</v>
      </c>
      <c r="I118" s="23" t="s">
        <v>223</v>
      </c>
      <c r="J118" s="23" t="s">
        <v>257</v>
      </c>
      <c r="N118" s="73"/>
      <c r="S118" s="113">
        <v>1</v>
      </c>
      <c r="T118" s="68">
        <v>3</v>
      </c>
      <c r="U118" s="63">
        <v>3</v>
      </c>
      <c r="AB118" s="42"/>
      <c r="AC118" s="23" t="s">
        <v>25</v>
      </c>
      <c r="AD118" s="23" t="s">
        <v>458</v>
      </c>
      <c r="AE118" s="23"/>
      <c r="AF118" s="23" t="s">
        <v>628</v>
      </c>
      <c r="AO118" s="24"/>
      <c r="AP118" s="73"/>
      <c r="AQ118" s="75"/>
      <c r="AR118" s="76"/>
      <c r="AS118" s="77"/>
      <c r="AV118" s="75"/>
      <c r="AW118" s="83"/>
      <c r="AX118" s="84"/>
      <c r="AY118" s="80"/>
      <c r="BB118" s="81"/>
      <c r="BE118" s="24"/>
      <c r="BF118" s="23"/>
    </row>
    <row r="119" spans="1:59" ht="15" customHeight="1">
      <c r="A119" s="23" t="s">
        <v>183</v>
      </c>
      <c r="B119" s="23" t="s">
        <v>596</v>
      </c>
      <c r="C119" s="23" t="s">
        <v>57</v>
      </c>
      <c r="D119" s="23">
        <v>118</v>
      </c>
      <c r="E119" s="23">
        <v>1</v>
      </c>
      <c r="F119" s="28" t="s">
        <v>442</v>
      </c>
      <c r="G119" s="23" t="s">
        <v>459</v>
      </c>
      <c r="J119" s="23" t="s">
        <v>29</v>
      </c>
      <c r="N119" s="73"/>
      <c r="Q119" s="65">
        <v>4</v>
      </c>
      <c r="R119" s="66">
        <v>1</v>
      </c>
      <c r="T119" s="68">
        <v>4</v>
      </c>
      <c r="V119" s="69">
        <v>1</v>
      </c>
      <c r="W119" s="70">
        <v>2</v>
      </c>
      <c r="AA119" s="72">
        <v>1</v>
      </c>
      <c r="AB119" s="42"/>
      <c r="AD119" s="23" t="s">
        <v>460</v>
      </c>
      <c r="AE119" s="23"/>
      <c r="AF119" s="23" t="s">
        <v>629</v>
      </c>
      <c r="AO119" s="24"/>
      <c r="AP119" s="73"/>
      <c r="AQ119" s="75"/>
      <c r="AR119" s="76"/>
      <c r="AS119" s="77"/>
      <c r="AV119" s="75"/>
      <c r="AW119" s="83"/>
      <c r="AX119" s="84"/>
      <c r="AY119" s="80"/>
      <c r="BB119" s="81"/>
      <c r="BE119" s="24"/>
      <c r="BF119" s="23"/>
    </row>
    <row r="120" spans="1:59" ht="15" customHeight="1">
      <c r="A120" s="23" t="s">
        <v>183</v>
      </c>
      <c r="B120" s="23" t="s">
        <v>597</v>
      </c>
      <c r="C120" s="23" t="s">
        <v>57</v>
      </c>
      <c r="D120" s="23">
        <v>119</v>
      </c>
      <c r="E120" s="23">
        <v>1</v>
      </c>
      <c r="F120" s="28" t="s">
        <v>442</v>
      </c>
      <c r="G120" s="23" t="s">
        <v>461</v>
      </c>
      <c r="J120" s="23" t="s">
        <v>29</v>
      </c>
      <c r="N120" s="73"/>
      <c r="Q120" s="65">
        <v>3</v>
      </c>
      <c r="R120" s="66">
        <v>4</v>
      </c>
      <c r="S120" s="113">
        <v>1</v>
      </c>
      <c r="T120" s="68">
        <v>4</v>
      </c>
      <c r="V120" s="69">
        <v>2</v>
      </c>
      <c r="W120" s="70">
        <v>1</v>
      </c>
      <c r="AA120" s="72">
        <v>1</v>
      </c>
      <c r="AB120" s="42"/>
      <c r="AD120" s="23" t="s">
        <v>460</v>
      </c>
      <c r="AE120" s="23"/>
      <c r="AF120" s="23" t="s">
        <v>630</v>
      </c>
      <c r="AO120" s="24"/>
      <c r="AP120" s="73"/>
      <c r="AQ120" s="75"/>
      <c r="AR120" s="76"/>
      <c r="AS120" s="77"/>
      <c r="AV120" s="75"/>
      <c r="AW120" s="83"/>
      <c r="AX120" s="84"/>
      <c r="AY120" s="80"/>
      <c r="BB120" s="81"/>
      <c r="BE120" s="24"/>
      <c r="BF120" s="23"/>
    </row>
    <row r="121" spans="1:59" ht="15" customHeight="1">
      <c r="A121" s="23" t="s">
        <v>183</v>
      </c>
      <c r="B121" s="23" t="s">
        <v>902</v>
      </c>
      <c r="C121" s="23" t="s">
        <v>57</v>
      </c>
      <c r="D121" s="23">
        <v>120</v>
      </c>
      <c r="E121" s="23">
        <v>1</v>
      </c>
      <c r="F121" s="23" t="s">
        <v>723</v>
      </c>
      <c r="G121" s="23" t="s">
        <v>723</v>
      </c>
      <c r="H121" s="23" t="s">
        <v>709</v>
      </c>
      <c r="J121" s="23" t="s">
        <v>618</v>
      </c>
      <c r="N121" s="73"/>
      <c r="AB121" s="42"/>
      <c r="AE121" s="23"/>
      <c r="AF121" s="23" t="s">
        <v>724</v>
      </c>
      <c r="AI121" s="23" t="s">
        <v>723</v>
      </c>
      <c r="AJ121" s="23" t="s">
        <v>710</v>
      </c>
      <c r="AL121" s="23" t="s">
        <v>618</v>
      </c>
      <c r="AO121" s="24"/>
      <c r="AP121" s="73"/>
      <c r="AQ121" s="75"/>
      <c r="AR121" s="76"/>
      <c r="AS121" s="77"/>
      <c r="AV121" s="75"/>
      <c r="AW121" s="83"/>
      <c r="AX121" s="84"/>
      <c r="AY121" s="80"/>
      <c r="BB121" s="81"/>
      <c r="BE121" s="24"/>
      <c r="BF121" s="23"/>
      <c r="BG121" s="23" t="s">
        <v>725</v>
      </c>
    </row>
    <row r="122" spans="1:59" ht="15" customHeight="1">
      <c r="A122" s="23" t="s">
        <v>183</v>
      </c>
      <c r="B122" s="23" t="s">
        <v>903</v>
      </c>
      <c r="C122" s="23" t="s">
        <v>57</v>
      </c>
      <c r="D122" s="23">
        <v>121</v>
      </c>
      <c r="E122" s="23">
        <v>1</v>
      </c>
      <c r="F122" s="23" t="s">
        <v>723</v>
      </c>
      <c r="G122" s="23" t="s">
        <v>726</v>
      </c>
      <c r="J122" s="23" t="s">
        <v>619</v>
      </c>
      <c r="L122" s="23">
        <v>1</v>
      </c>
      <c r="N122" s="73"/>
      <c r="Z122" s="68">
        <v>6</v>
      </c>
      <c r="AB122" s="42"/>
      <c r="AE122" s="23"/>
      <c r="AF122" s="23" t="s">
        <v>727</v>
      </c>
      <c r="AI122" s="23" t="s">
        <v>728</v>
      </c>
      <c r="AJ122" s="23" t="s">
        <v>729</v>
      </c>
      <c r="AK122" s="23" t="s">
        <v>223</v>
      </c>
      <c r="AL122" s="23" t="s">
        <v>29</v>
      </c>
      <c r="AO122" s="24"/>
      <c r="AP122" s="73"/>
      <c r="AQ122" s="75"/>
      <c r="AR122" s="76"/>
      <c r="AS122" s="77">
        <v>4</v>
      </c>
      <c r="AT122" s="66">
        <v>2</v>
      </c>
      <c r="AU122" s="68">
        <v>4</v>
      </c>
      <c r="AV122" s="75"/>
      <c r="AW122" s="83">
        <v>2</v>
      </c>
      <c r="AX122" s="84">
        <v>1</v>
      </c>
      <c r="AY122" s="80"/>
      <c r="BB122" s="81">
        <v>2</v>
      </c>
      <c r="BE122" s="24"/>
      <c r="BF122" s="23" t="s">
        <v>730</v>
      </c>
      <c r="BG122" s="23" t="s">
        <v>731</v>
      </c>
    </row>
    <row r="123" spans="1:59" ht="15" customHeight="1">
      <c r="A123" s="23" t="s">
        <v>183</v>
      </c>
      <c r="B123" s="23" t="s">
        <v>1096</v>
      </c>
      <c r="C123" s="23" t="s">
        <v>57</v>
      </c>
      <c r="D123" s="23">
        <v>121</v>
      </c>
      <c r="E123" s="23">
        <v>1</v>
      </c>
      <c r="F123" s="23" t="s">
        <v>723</v>
      </c>
      <c r="G123" s="23" t="s">
        <v>728</v>
      </c>
      <c r="H123" s="23" t="s">
        <v>729</v>
      </c>
      <c r="I123" s="23" t="s">
        <v>223</v>
      </c>
      <c r="J123" s="23" t="s">
        <v>29</v>
      </c>
      <c r="M123" s="24"/>
      <c r="N123" s="73"/>
      <c r="O123" s="75"/>
      <c r="P123" s="76"/>
      <c r="Q123" s="77">
        <v>4</v>
      </c>
      <c r="R123" s="66">
        <v>2</v>
      </c>
      <c r="T123" s="68">
        <v>4</v>
      </c>
      <c r="U123" s="75"/>
      <c r="V123" s="83">
        <v>2</v>
      </c>
      <c r="W123" s="84">
        <v>1</v>
      </c>
      <c r="X123" s="80"/>
      <c r="AA123" s="81">
        <v>2</v>
      </c>
      <c r="AD123" s="24"/>
      <c r="AE123" s="23" t="s">
        <v>730</v>
      </c>
      <c r="AF123" s="23" t="s">
        <v>731</v>
      </c>
      <c r="AO123" s="24"/>
      <c r="AP123" s="73"/>
      <c r="AQ123" s="75"/>
      <c r="AR123" s="76"/>
      <c r="AS123" s="77"/>
      <c r="AV123" s="75"/>
      <c r="AW123" s="83"/>
      <c r="AX123" s="84"/>
      <c r="AY123" s="80"/>
      <c r="BB123" s="81"/>
      <c r="BE123" s="24"/>
      <c r="BF123" s="23"/>
    </row>
    <row r="124" spans="1:59" ht="15" customHeight="1">
      <c r="A124" s="23" t="s">
        <v>183</v>
      </c>
      <c r="B124" s="23" t="s">
        <v>904</v>
      </c>
      <c r="C124" s="23" t="s">
        <v>57</v>
      </c>
      <c r="D124" s="23">
        <v>122</v>
      </c>
      <c r="E124" s="23">
        <v>1</v>
      </c>
      <c r="F124" s="23" t="s">
        <v>723</v>
      </c>
      <c r="G124" s="23" t="s">
        <v>732</v>
      </c>
      <c r="J124" s="23" t="s">
        <v>619</v>
      </c>
      <c r="L124" s="23">
        <v>2</v>
      </c>
      <c r="N124" s="73"/>
      <c r="Z124" s="68">
        <v>8</v>
      </c>
      <c r="AB124" s="42"/>
      <c r="AE124" s="23"/>
      <c r="AF124" s="23" t="s">
        <v>727</v>
      </c>
      <c r="AI124" s="23" t="s">
        <v>733</v>
      </c>
      <c r="AL124" s="23" t="s">
        <v>619</v>
      </c>
      <c r="AN124" s="23">
        <v>2</v>
      </c>
      <c r="AO124" s="24"/>
      <c r="AP124" s="73"/>
      <c r="AQ124" s="75"/>
      <c r="AR124" s="76"/>
      <c r="AS124" s="77"/>
      <c r="AV124" s="75"/>
      <c r="AW124" s="83"/>
      <c r="AX124" s="84"/>
      <c r="AY124" s="80"/>
      <c r="BB124" s="81"/>
      <c r="BE124" s="24"/>
      <c r="BF124" s="23"/>
      <c r="BG124" s="23" t="s">
        <v>734</v>
      </c>
    </row>
    <row r="125" spans="1:59" ht="15" customHeight="1">
      <c r="A125" s="23" t="s">
        <v>183</v>
      </c>
      <c r="B125" s="23" t="s">
        <v>905</v>
      </c>
      <c r="C125" s="23" t="s">
        <v>57</v>
      </c>
      <c r="D125" s="23">
        <v>123</v>
      </c>
      <c r="E125" s="23">
        <v>1</v>
      </c>
      <c r="F125" s="23" t="s">
        <v>723</v>
      </c>
      <c r="G125" s="23" t="s">
        <v>735</v>
      </c>
      <c r="J125" s="23" t="s">
        <v>621</v>
      </c>
      <c r="L125" s="23">
        <v>1</v>
      </c>
      <c r="N125" s="73"/>
      <c r="Y125" s="82" t="s">
        <v>38</v>
      </c>
      <c r="AB125" s="42"/>
      <c r="AE125" s="23"/>
      <c r="AF125" s="23" t="s">
        <v>736</v>
      </c>
      <c r="AI125" s="23" t="s">
        <v>737</v>
      </c>
      <c r="AL125" s="23" t="s">
        <v>621</v>
      </c>
      <c r="AN125" s="23">
        <v>1</v>
      </c>
      <c r="AO125" s="24"/>
      <c r="AP125" s="73"/>
      <c r="AQ125" s="75"/>
      <c r="AR125" s="76"/>
      <c r="AS125" s="77"/>
      <c r="AV125" s="75"/>
      <c r="AW125" s="83"/>
      <c r="AX125" s="84"/>
      <c r="AY125" s="80"/>
      <c r="BB125" s="81"/>
      <c r="BE125" s="24"/>
      <c r="BF125" s="23"/>
      <c r="BG125" s="23" t="s">
        <v>738</v>
      </c>
    </row>
    <row r="126" spans="1:59" ht="15" customHeight="1">
      <c r="A126" s="23" t="s">
        <v>183</v>
      </c>
      <c r="B126" s="23" t="s">
        <v>906</v>
      </c>
      <c r="C126" s="23" t="s">
        <v>57</v>
      </c>
      <c r="D126" s="23">
        <v>124</v>
      </c>
      <c r="E126" s="23">
        <v>1</v>
      </c>
      <c r="F126" s="23" t="s">
        <v>723</v>
      </c>
      <c r="G126" s="23" t="s">
        <v>739</v>
      </c>
      <c r="J126" s="23" t="s">
        <v>31</v>
      </c>
      <c r="N126" s="73"/>
      <c r="AB126" s="42"/>
      <c r="AD126" s="23" t="s">
        <v>463</v>
      </c>
      <c r="AE126" s="23"/>
      <c r="AI126" s="23" t="s">
        <v>739</v>
      </c>
      <c r="AL126" s="23" t="s">
        <v>31</v>
      </c>
      <c r="AO126" s="24"/>
      <c r="AP126" s="73"/>
      <c r="AQ126" s="75"/>
      <c r="AR126" s="76"/>
      <c r="AS126" s="77"/>
      <c r="AV126" s="75"/>
      <c r="AW126" s="83"/>
      <c r="AX126" s="84"/>
      <c r="AY126" s="80">
        <v>2</v>
      </c>
      <c r="AZ126" s="66" t="s">
        <v>1073</v>
      </c>
      <c r="BB126" s="81"/>
      <c r="BE126" s="24" t="s">
        <v>463</v>
      </c>
      <c r="BF126" s="23"/>
      <c r="BG126" s="23" t="s">
        <v>740</v>
      </c>
    </row>
    <row r="127" spans="1:59" ht="15" customHeight="1">
      <c r="A127" s="23" t="s">
        <v>183</v>
      </c>
      <c r="B127" s="23" t="s">
        <v>907</v>
      </c>
      <c r="C127" s="23" t="s">
        <v>57</v>
      </c>
      <c r="D127" s="23">
        <v>125</v>
      </c>
      <c r="E127" s="23">
        <v>1</v>
      </c>
      <c r="F127" s="23" t="s">
        <v>723</v>
      </c>
      <c r="G127" s="23" t="s">
        <v>741</v>
      </c>
      <c r="J127" s="23" t="s">
        <v>31</v>
      </c>
      <c r="N127" s="73"/>
      <c r="AB127" s="42"/>
      <c r="AD127" s="23" t="s">
        <v>742</v>
      </c>
      <c r="AE127" s="23"/>
      <c r="AI127" s="23" t="s">
        <v>741</v>
      </c>
      <c r="AL127" s="23" t="s">
        <v>31</v>
      </c>
      <c r="AO127" s="24"/>
      <c r="AP127" s="73"/>
      <c r="AQ127" s="75"/>
      <c r="AR127" s="76"/>
      <c r="AS127" s="77"/>
      <c r="AV127" s="75"/>
      <c r="AW127" s="83"/>
      <c r="AX127" s="84"/>
      <c r="AY127" s="80">
        <v>1</v>
      </c>
      <c r="AZ127" s="66" t="s">
        <v>1073</v>
      </c>
      <c r="BB127" s="81"/>
      <c r="BE127" s="24" t="s">
        <v>742</v>
      </c>
      <c r="BF127" s="23"/>
    </row>
    <row r="128" spans="1:59" ht="15" customHeight="1">
      <c r="A128" s="23" t="s">
        <v>183</v>
      </c>
      <c r="B128" s="23" t="s">
        <v>908</v>
      </c>
      <c r="C128" s="23" t="s">
        <v>57</v>
      </c>
      <c r="D128" s="23">
        <v>126</v>
      </c>
      <c r="E128" s="23">
        <v>1</v>
      </c>
      <c r="F128" s="23" t="s">
        <v>723</v>
      </c>
      <c r="G128" s="23" t="s">
        <v>743</v>
      </c>
      <c r="J128" s="23" t="s">
        <v>31</v>
      </c>
      <c r="N128" s="73"/>
      <c r="AB128" s="42"/>
      <c r="AD128" s="23" t="s">
        <v>463</v>
      </c>
      <c r="AE128" s="23"/>
      <c r="AI128" s="23" t="s">
        <v>743</v>
      </c>
      <c r="AJ128" s="23" t="s">
        <v>744</v>
      </c>
      <c r="AL128" s="23" t="s">
        <v>31</v>
      </c>
      <c r="AO128" s="24"/>
      <c r="AP128" s="73"/>
      <c r="AQ128" s="75"/>
      <c r="AR128" s="76"/>
      <c r="AS128" s="77"/>
      <c r="AV128" s="75"/>
      <c r="AW128" s="83"/>
      <c r="AX128" s="84"/>
      <c r="AY128" s="80">
        <v>3</v>
      </c>
      <c r="AZ128" s="66" t="s">
        <v>1073</v>
      </c>
      <c r="BB128" s="81"/>
      <c r="BE128" s="24" t="s">
        <v>463</v>
      </c>
      <c r="BF128" s="23"/>
      <c r="BG128" s="23" t="s">
        <v>745</v>
      </c>
    </row>
    <row r="129" spans="1:59" ht="15" customHeight="1">
      <c r="A129" s="23" t="s">
        <v>183</v>
      </c>
      <c r="B129" s="23" t="s">
        <v>909</v>
      </c>
      <c r="C129" s="23" t="s">
        <v>57</v>
      </c>
      <c r="D129" s="23">
        <v>127</v>
      </c>
      <c r="E129" s="23">
        <v>1</v>
      </c>
      <c r="F129" s="23" t="s">
        <v>723</v>
      </c>
      <c r="G129" s="23" t="s">
        <v>743</v>
      </c>
      <c r="J129" s="23" t="s">
        <v>31</v>
      </c>
      <c r="N129" s="73"/>
      <c r="AB129" s="42"/>
      <c r="AD129" s="23" t="s">
        <v>463</v>
      </c>
      <c r="AE129" s="23"/>
      <c r="AI129" s="23" t="s">
        <v>743</v>
      </c>
      <c r="AJ129" s="23" t="s">
        <v>746</v>
      </c>
      <c r="AL129" s="23" t="s">
        <v>31</v>
      </c>
      <c r="AO129" s="24"/>
      <c r="AP129" s="73"/>
      <c r="AQ129" s="75"/>
      <c r="AR129" s="76"/>
      <c r="AS129" s="77"/>
      <c r="AV129" s="75"/>
      <c r="AW129" s="83"/>
      <c r="AX129" s="84"/>
      <c r="AY129" s="80">
        <v>2</v>
      </c>
      <c r="AZ129" s="66" t="s">
        <v>1073</v>
      </c>
      <c r="BB129" s="81"/>
      <c r="BE129" s="24" t="s">
        <v>463</v>
      </c>
      <c r="BF129" s="23"/>
      <c r="BG129" s="23" t="s">
        <v>747</v>
      </c>
    </row>
    <row r="130" spans="1:59" ht="15" customHeight="1">
      <c r="A130" s="23" t="s">
        <v>183</v>
      </c>
      <c r="B130" s="23" t="s">
        <v>598</v>
      </c>
      <c r="C130" s="23" t="s">
        <v>57</v>
      </c>
      <c r="D130" s="23">
        <v>128</v>
      </c>
      <c r="E130" s="23">
        <v>1</v>
      </c>
      <c r="F130" s="23" t="s">
        <v>723</v>
      </c>
      <c r="G130" s="23" t="s">
        <v>462</v>
      </c>
      <c r="J130" s="23" t="s">
        <v>31</v>
      </c>
      <c r="N130" s="73"/>
      <c r="AB130" s="42"/>
      <c r="AD130" s="23" t="s">
        <v>463</v>
      </c>
      <c r="AE130" s="23"/>
      <c r="AI130" s="23" t="s">
        <v>462</v>
      </c>
      <c r="AL130" s="23" t="s">
        <v>31</v>
      </c>
      <c r="AP130" s="73"/>
      <c r="AY130" s="71">
        <v>2</v>
      </c>
      <c r="AZ130" s="66" t="s">
        <v>1073</v>
      </c>
      <c r="BE130" s="23" t="s">
        <v>463</v>
      </c>
      <c r="BF130" s="23"/>
      <c r="BG130" s="23" t="s">
        <v>631</v>
      </c>
    </row>
    <row r="131" spans="1:59" ht="15" customHeight="1">
      <c r="A131" s="23" t="s">
        <v>183</v>
      </c>
      <c r="B131" s="23" t="s">
        <v>599</v>
      </c>
      <c r="C131" s="23" t="s">
        <v>57</v>
      </c>
      <c r="D131" s="23">
        <v>129</v>
      </c>
      <c r="E131" s="23">
        <v>1</v>
      </c>
      <c r="F131" s="23" t="s">
        <v>723</v>
      </c>
      <c r="G131" s="23" t="s">
        <v>464</v>
      </c>
      <c r="J131" s="23" t="s">
        <v>31</v>
      </c>
      <c r="N131" s="73"/>
      <c r="AB131" s="42"/>
      <c r="AD131" s="23" t="s">
        <v>463</v>
      </c>
      <c r="AE131" s="23"/>
      <c r="AI131" s="23" t="s">
        <v>464</v>
      </c>
      <c r="AL131" s="23" t="s">
        <v>31</v>
      </c>
      <c r="AP131" s="73"/>
      <c r="AY131" s="71">
        <v>4</v>
      </c>
      <c r="AZ131" s="66" t="s">
        <v>1111</v>
      </c>
      <c r="BB131" s="72">
        <v>1</v>
      </c>
      <c r="BE131" s="23" t="s">
        <v>463</v>
      </c>
      <c r="BF131" s="23"/>
      <c r="BG131" s="23" t="s">
        <v>748</v>
      </c>
    </row>
    <row r="132" spans="1:59" ht="15" customHeight="1">
      <c r="A132" s="23" t="s">
        <v>183</v>
      </c>
      <c r="B132" s="23" t="s">
        <v>892</v>
      </c>
      <c r="C132" s="23" t="s">
        <v>57</v>
      </c>
      <c r="D132" s="23">
        <v>130</v>
      </c>
      <c r="E132" s="23">
        <v>1</v>
      </c>
      <c r="F132" s="23" t="s">
        <v>723</v>
      </c>
      <c r="G132" s="23" t="s">
        <v>749</v>
      </c>
      <c r="J132" s="23" t="s">
        <v>31</v>
      </c>
      <c r="N132" s="73"/>
      <c r="AB132" s="42"/>
      <c r="AD132" s="23" t="s">
        <v>463</v>
      </c>
      <c r="AE132" s="23"/>
      <c r="AI132" s="23" t="s">
        <v>749</v>
      </c>
      <c r="AJ132" s="23" t="s">
        <v>750</v>
      </c>
      <c r="AL132" s="23" t="s">
        <v>31</v>
      </c>
      <c r="AO132" s="24"/>
      <c r="AP132" s="73"/>
      <c r="AQ132" s="75"/>
      <c r="AR132" s="76"/>
      <c r="AS132" s="77"/>
      <c r="AV132" s="75"/>
      <c r="AW132" s="83"/>
      <c r="AX132" s="84"/>
      <c r="AY132" s="80">
        <v>3</v>
      </c>
      <c r="AZ132" s="66" t="s">
        <v>1073</v>
      </c>
      <c r="BB132" s="81"/>
      <c r="BE132" s="24" t="s">
        <v>463</v>
      </c>
      <c r="BF132" s="23"/>
      <c r="BG132" s="23" t="s">
        <v>751</v>
      </c>
    </row>
    <row r="133" spans="1:59" ht="15" customHeight="1">
      <c r="A133" s="23" t="s">
        <v>183</v>
      </c>
      <c r="B133" s="23" t="s">
        <v>893</v>
      </c>
      <c r="C133" s="23" t="s">
        <v>57</v>
      </c>
      <c r="D133" s="23">
        <v>131</v>
      </c>
      <c r="E133" s="23">
        <v>1</v>
      </c>
      <c r="F133" s="23" t="s">
        <v>723</v>
      </c>
      <c r="G133" s="23" t="s">
        <v>749</v>
      </c>
      <c r="J133" s="23" t="s">
        <v>31</v>
      </c>
      <c r="N133" s="73"/>
      <c r="AB133" s="42"/>
      <c r="AD133" s="23" t="s">
        <v>463</v>
      </c>
      <c r="AE133" s="23"/>
      <c r="AI133" s="23" t="s">
        <v>749</v>
      </c>
      <c r="AJ133" s="23" t="s">
        <v>752</v>
      </c>
      <c r="AL133" s="23" t="s">
        <v>31</v>
      </c>
      <c r="AO133" s="24"/>
      <c r="AP133" s="73"/>
      <c r="AQ133" s="75"/>
      <c r="AR133" s="76"/>
      <c r="AS133" s="77"/>
      <c r="AV133" s="75"/>
      <c r="AW133" s="83"/>
      <c r="AX133" s="84"/>
      <c r="AY133" s="80">
        <v>3</v>
      </c>
      <c r="AZ133" s="66" t="s">
        <v>1111</v>
      </c>
      <c r="BB133" s="81"/>
      <c r="BE133" s="24" t="s">
        <v>463</v>
      </c>
      <c r="BF133" s="23"/>
      <c r="BG133" s="23" t="s">
        <v>753</v>
      </c>
    </row>
    <row r="134" spans="1:59" ht="15" customHeight="1">
      <c r="A134" s="23" t="s">
        <v>183</v>
      </c>
      <c r="B134" s="23" t="s">
        <v>894</v>
      </c>
      <c r="C134" s="23" t="s">
        <v>57</v>
      </c>
      <c r="D134" s="23">
        <v>132</v>
      </c>
      <c r="E134" s="23">
        <v>1</v>
      </c>
      <c r="F134" s="23" t="s">
        <v>723</v>
      </c>
      <c r="G134" s="23" t="s">
        <v>754</v>
      </c>
      <c r="J134" s="23" t="s">
        <v>31</v>
      </c>
      <c r="N134" s="73"/>
      <c r="AB134" s="42"/>
      <c r="AD134" s="23" t="s">
        <v>463</v>
      </c>
      <c r="AE134" s="23"/>
      <c r="AI134" s="23" t="s">
        <v>754</v>
      </c>
      <c r="AL134" s="23" t="s">
        <v>31</v>
      </c>
      <c r="AO134" s="24"/>
      <c r="AP134" s="73"/>
      <c r="AQ134" s="75"/>
      <c r="AR134" s="76"/>
      <c r="AS134" s="77"/>
      <c r="AV134" s="75"/>
      <c r="AW134" s="83"/>
      <c r="AX134" s="84"/>
      <c r="AY134" s="80">
        <v>2</v>
      </c>
      <c r="AZ134" s="66" t="s">
        <v>1073</v>
      </c>
      <c r="BB134" s="81"/>
      <c r="BE134" s="24" t="s">
        <v>463</v>
      </c>
      <c r="BF134" s="23"/>
      <c r="BG134" s="23" t="s">
        <v>755</v>
      </c>
    </row>
    <row r="135" spans="1:59" ht="15" customHeight="1">
      <c r="A135" s="23" t="s">
        <v>183</v>
      </c>
      <c r="B135" s="23" t="s">
        <v>895</v>
      </c>
      <c r="C135" s="23" t="s">
        <v>57</v>
      </c>
      <c r="D135" s="23">
        <v>133</v>
      </c>
      <c r="E135" s="23">
        <v>1</v>
      </c>
      <c r="F135" s="23" t="s">
        <v>723</v>
      </c>
      <c r="G135" s="23" t="s">
        <v>756</v>
      </c>
      <c r="J135" s="23" t="s">
        <v>31</v>
      </c>
      <c r="N135" s="73"/>
      <c r="AB135" s="42"/>
      <c r="AD135" s="23" t="s">
        <v>463</v>
      </c>
      <c r="AE135" s="23"/>
      <c r="AI135" s="23" t="s">
        <v>756</v>
      </c>
      <c r="AL135" s="23" t="s">
        <v>31</v>
      </c>
      <c r="AO135" s="24"/>
      <c r="AP135" s="73"/>
      <c r="AQ135" s="75"/>
      <c r="AR135" s="76"/>
      <c r="AS135" s="77"/>
      <c r="AV135" s="75"/>
      <c r="AW135" s="83"/>
      <c r="AX135" s="84"/>
      <c r="AY135" s="80">
        <v>1</v>
      </c>
      <c r="AZ135" s="66" t="s">
        <v>1111</v>
      </c>
      <c r="BB135" s="81">
        <v>1</v>
      </c>
      <c r="BE135" s="24" t="s">
        <v>463</v>
      </c>
      <c r="BF135" s="23"/>
      <c r="BG135" s="23" t="s">
        <v>757</v>
      </c>
    </row>
    <row r="136" spans="1:59" ht="15" customHeight="1">
      <c r="A136" s="23" t="s">
        <v>183</v>
      </c>
      <c r="B136" s="23" t="s">
        <v>896</v>
      </c>
      <c r="C136" s="23" t="s">
        <v>57</v>
      </c>
      <c r="D136" s="23">
        <v>134</v>
      </c>
      <c r="E136" s="23">
        <v>1</v>
      </c>
      <c r="F136" s="23" t="s">
        <v>723</v>
      </c>
      <c r="G136" s="23" t="s">
        <v>758</v>
      </c>
      <c r="J136" s="23" t="s">
        <v>31</v>
      </c>
      <c r="N136" s="73"/>
      <c r="AB136" s="42"/>
      <c r="AD136" s="23" t="s">
        <v>463</v>
      </c>
      <c r="AE136" s="23"/>
      <c r="AI136" s="23" t="s">
        <v>758</v>
      </c>
      <c r="AL136" s="23" t="s">
        <v>31</v>
      </c>
      <c r="AO136" s="24"/>
      <c r="AP136" s="73"/>
      <c r="AQ136" s="75"/>
      <c r="AR136" s="76"/>
      <c r="AS136" s="77"/>
      <c r="AV136" s="75"/>
      <c r="AW136" s="83"/>
      <c r="AX136" s="84"/>
      <c r="AY136" s="80">
        <v>3</v>
      </c>
      <c r="AZ136" s="66" t="s">
        <v>1111</v>
      </c>
      <c r="BB136" s="81">
        <v>1</v>
      </c>
      <c r="BE136" s="24" t="s">
        <v>463</v>
      </c>
      <c r="BF136" s="23"/>
      <c r="BG136" s="23" t="s">
        <v>759</v>
      </c>
    </row>
    <row r="137" spans="1:59" ht="15" customHeight="1">
      <c r="A137" s="23" t="s">
        <v>183</v>
      </c>
      <c r="B137" s="23" t="s">
        <v>897</v>
      </c>
      <c r="C137" s="23" t="s">
        <v>57</v>
      </c>
      <c r="D137" s="23">
        <v>135</v>
      </c>
      <c r="E137" s="23">
        <v>3</v>
      </c>
      <c r="F137" s="23" t="s">
        <v>723</v>
      </c>
      <c r="G137" s="23" t="s">
        <v>760</v>
      </c>
      <c r="J137" s="23" t="s">
        <v>28</v>
      </c>
      <c r="N137" s="73"/>
      <c r="AB137" s="42"/>
      <c r="AD137" s="23" t="s">
        <v>439</v>
      </c>
      <c r="AE137" s="23" t="s">
        <v>761</v>
      </c>
      <c r="AF137" s="23" t="s">
        <v>762</v>
      </c>
      <c r="AO137" s="24"/>
      <c r="AP137" s="73"/>
      <c r="AQ137" s="75"/>
      <c r="AR137" s="76"/>
      <c r="AS137" s="77"/>
      <c r="AV137" s="75"/>
      <c r="AW137" s="83"/>
      <c r="AX137" s="84"/>
      <c r="AY137" s="80"/>
      <c r="BB137" s="81"/>
      <c r="BE137" s="24"/>
      <c r="BF137" s="23"/>
    </row>
    <row r="138" spans="1:59" ht="15" customHeight="1">
      <c r="A138" s="23" t="s">
        <v>183</v>
      </c>
      <c r="B138" s="23" t="s">
        <v>898</v>
      </c>
      <c r="C138" s="23" t="s">
        <v>57</v>
      </c>
      <c r="D138" s="23">
        <v>136</v>
      </c>
      <c r="E138" s="23">
        <v>2</v>
      </c>
      <c r="F138" s="23" t="s">
        <v>723</v>
      </c>
      <c r="G138" s="23" t="s">
        <v>763</v>
      </c>
      <c r="J138" s="23" t="s">
        <v>28</v>
      </c>
      <c r="N138" s="73"/>
      <c r="AB138" s="42"/>
      <c r="AE138" s="23"/>
      <c r="AF138" s="23" t="s">
        <v>764</v>
      </c>
      <c r="AO138" s="24"/>
      <c r="AP138" s="73"/>
      <c r="AQ138" s="75"/>
      <c r="AR138" s="76"/>
      <c r="AS138" s="77"/>
      <c r="AV138" s="75"/>
      <c r="AW138" s="83"/>
      <c r="AX138" s="84"/>
      <c r="AY138" s="80"/>
      <c r="BB138" s="81"/>
      <c r="BE138" s="24"/>
      <c r="BF138" s="23"/>
    </row>
    <row r="139" spans="1:59" ht="15" customHeight="1">
      <c r="A139" s="23" t="s">
        <v>183</v>
      </c>
      <c r="B139" s="23" t="s">
        <v>899</v>
      </c>
      <c r="C139" s="23" t="s">
        <v>57</v>
      </c>
      <c r="D139" s="23">
        <v>137</v>
      </c>
      <c r="E139" s="23">
        <v>1</v>
      </c>
      <c r="F139" s="23" t="s">
        <v>910</v>
      </c>
      <c r="G139" s="23" t="s">
        <v>765</v>
      </c>
      <c r="H139" s="23" t="s">
        <v>766</v>
      </c>
      <c r="I139" s="23" t="s">
        <v>223</v>
      </c>
      <c r="J139" s="23" t="s">
        <v>29</v>
      </c>
      <c r="N139" s="73"/>
      <c r="Q139" s="65">
        <v>4</v>
      </c>
      <c r="R139" s="66">
        <v>2</v>
      </c>
      <c r="T139" s="68">
        <v>4</v>
      </c>
      <c r="V139" s="69">
        <v>2</v>
      </c>
      <c r="W139" s="70">
        <v>0</v>
      </c>
      <c r="AA139" s="72">
        <v>1</v>
      </c>
      <c r="AB139" s="42"/>
      <c r="AD139" s="23" t="s">
        <v>467</v>
      </c>
      <c r="AE139" s="23" t="s">
        <v>767</v>
      </c>
      <c r="AF139" s="23" t="s">
        <v>768</v>
      </c>
      <c r="AO139" s="24"/>
      <c r="AP139" s="73"/>
      <c r="AQ139" s="75"/>
      <c r="AR139" s="76"/>
      <c r="AS139" s="77"/>
      <c r="AV139" s="75"/>
      <c r="AW139" s="83"/>
      <c r="AX139" s="84"/>
      <c r="AY139" s="80"/>
      <c r="BB139" s="81"/>
      <c r="BE139" s="24"/>
      <c r="BF139" s="23"/>
    </row>
    <row r="140" spans="1:59" ht="15" customHeight="1">
      <c r="A140" s="23" t="s">
        <v>183</v>
      </c>
      <c r="B140" s="23" t="s">
        <v>900</v>
      </c>
      <c r="C140" s="23" t="s">
        <v>57</v>
      </c>
      <c r="D140" s="23">
        <v>138</v>
      </c>
      <c r="E140" s="23">
        <v>1</v>
      </c>
      <c r="F140" s="23" t="s">
        <v>910</v>
      </c>
      <c r="G140" s="23" t="s">
        <v>769</v>
      </c>
      <c r="H140" s="23" t="s">
        <v>770</v>
      </c>
      <c r="I140" s="23" t="s">
        <v>223</v>
      </c>
      <c r="J140" s="23" t="s">
        <v>29</v>
      </c>
      <c r="N140" s="73"/>
      <c r="Q140" s="65">
        <v>3</v>
      </c>
      <c r="R140" s="66">
        <v>4</v>
      </c>
      <c r="T140" s="68">
        <v>4</v>
      </c>
      <c r="V140" s="69">
        <v>1</v>
      </c>
      <c r="W140" s="70">
        <v>1</v>
      </c>
      <c r="AA140" s="72">
        <v>1</v>
      </c>
      <c r="AB140" s="42"/>
      <c r="AD140" s="23" t="s">
        <v>467</v>
      </c>
      <c r="AE140" s="23" t="s">
        <v>771</v>
      </c>
      <c r="AF140" s="23" t="s">
        <v>772</v>
      </c>
      <c r="AO140" s="24"/>
      <c r="AP140" s="73"/>
      <c r="AQ140" s="75"/>
      <c r="AR140" s="76"/>
      <c r="AS140" s="77"/>
      <c r="AV140" s="75"/>
      <c r="AW140" s="83"/>
      <c r="AX140" s="84"/>
      <c r="AY140" s="80"/>
      <c r="BB140" s="81"/>
      <c r="BE140" s="24"/>
      <c r="BF140" s="23"/>
    </row>
    <row r="141" spans="1:59" ht="15" customHeight="1">
      <c r="A141" s="23" t="s">
        <v>183</v>
      </c>
      <c r="B141" s="23" t="s">
        <v>901</v>
      </c>
      <c r="C141" s="23" t="s">
        <v>57</v>
      </c>
      <c r="D141" s="23">
        <v>139</v>
      </c>
      <c r="E141" s="23">
        <v>1</v>
      </c>
      <c r="F141" s="23" t="s">
        <v>910</v>
      </c>
      <c r="G141" s="23" t="s">
        <v>773</v>
      </c>
      <c r="H141" s="23" t="s">
        <v>774</v>
      </c>
      <c r="I141" s="23" t="s">
        <v>223</v>
      </c>
      <c r="J141" s="23" t="s">
        <v>29</v>
      </c>
      <c r="N141" s="73"/>
      <c r="Q141" s="65">
        <v>2</v>
      </c>
      <c r="R141" s="66">
        <v>3</v>
      </c>
      <c r="T141" s="68">
        <v>3</v>
      </c>
      <c r="V141" s="69">
        <v>1</v>
      </c>
      <c r="W141" s="70">
        <v>0</v>
      </c>
      <c r="AA141" s="72">
        <v>1</v>
      </c>
      <c r="AB141" s="42"/>
      <c r="AD141" s="23" t="s">
        <v>775</v>
      </c>
      <c r="AE141" s="23" t="s">
        <v>776</v>
      </c>
      <c r="AF141" s="23" t="s">
        <v>777</v>
      </c>
      <c r="AO141" s="24"/>
      <c r="AP141" s="73"/>
      <c r="AQ141" s="75"/>
      <c r="AR141" s="76"/>
      <c r="AS141" s="77"/>
      <c r="AV141" s="75"/>
      <c r="AW141" s="83"/>
      <c r="AX141" s="84"/>
      <c r="AY141" s="80"/>
      <c r="BB141" s="81"/>
      <c r="BE141" s="24"/>
      <c r="BF141" s="23"/>
    </row>
    <row r="142" spans="1:59" ht="15" customHeight="1">
      <c r="A142" s="23" t="s">
        <v>183</v>
      </c>
      <c r="B142" s="23" t="s">
        <v>600</v>
      </c>
      <c r="C142" s="23" t="s">
        <v>57</v>
      </c>
      <c r="D142" s="23">
        <v>140</v>
      </c>
      <c r="E142" s="23">
        <v>1</v>
      </c>
      <c r="F142" s="23" t="s">
        <v>910</v>
      </c>
      <c r="G142" s="23" t="s">
        <v>465</v>
      </c>
      <c r="H142" s="23" t="s">
        <v>466</v>
      </c>
      <c r="I142" s="23" t="s">
        <v>223</v>
      </c>
      <c r="J142" s="23" t="s">
        <v>29</v>
      </c>
      <c r="N142" s="73"/>
      <c r="Q142" s="65">
        <v>3</v>
      </c>
      <c r="R142" s="66">
        <v>3</v>
      </c>
      <c r="T142" s="68">
        <v>3</v>
      </c>
      <c r="V142" s="69">
        <v>1</v>
      </c>
      <c r="W142" s="70">
        <v>0</v>
      </c>
      <c r="AA142" s="72">
        <v>1</v>
      </c>
      <c r="AB142" s="42"/>
      <c r="AD142" s="23" t="s">
        <v>467</v>
      </c>
      <c r="AE142" s="23" t="s">
        <v>778</v>
      </c>
      <c r="AF142" s="23" t="s">
        <v>779</v>
      </c>
      <c r="AO142" s="24"/>
      <c r="AP142" s="73"/>
      <c r="AQ142" s="75"/>
      <c r="AR142" s="76"/>
      <c r="AS142" s="77"/>
      <c r="AV142" s="75"/>
      <c r="AW142" s="83"/>
      <c r="AX142" s="84"/>
      <c r="AY142" s="80"/>
      <c r="BB142" s="81"/>
      <c r="BE142" s="24"/>
      <c r="BF142" s="23"/>
    </row>
    <row r="143" spans="1:59" ht="15" customHeight="1">
      <c r="A143" s="23" t="s">
        <v>183</v>
      </c>
      <c r="B143" s="23" t="s">
        <v>601</v>
      </c>
      <c r="C143" s="23" t="s">
        <v>57</v>
      </c>
      <c r="D143" s="23">
        <v>141</v>
      </c>
      <c r="E143" s="23">
        <v>1</v>
      </c>
      <c r="F143" s="23" t="s">
        <v>910</v>
      </c>
      <c r="G143" s="23" t="s">
        <v>468</v>
      </c>
      <c r="H143" s="23" t="s">
        <v>469</v>
      </c>
      <c r="I143" s="23" t="s">
        <v>223</v>
      </c>
      <c r="J143" s="23" t="s">
        <v>29</v>
      </c>
      <c r="N143" s="73"/>
      <c r="Q143" s="65">
        <v>2</v>
      </c>
      <c r="R143" s="66">
        <v>5</v>
      </c>
      <c r="T143" s="68">
        <v>4</v>
      </c>
      <c r="V143" s="69">
        <v>1</v>
      </c>
      <c r="W143" s="70">
        <v>0</v>
      </c>
      <c r="AA143" s="72">
        <v>1</v>
      </c>
      <c r="AB143" s="42"/>
      <c r="AD143" s="23" t="s">
        <v>467</v>
      </c>
      <c r="AE143" s="23" t="s">
        <v>780</v>
      </c>
      <c r="AF143" s="23" t="s">
        <v>781</v>
      </c>
      <c r="AO143" s="24"/>
      <c r="AP143" s="73"/>
      <c r="AQ143" s="75"/>
      <c r="AR143" s="76"/>
      <c r="AS143" s="77"/>
      <c r="AV143" s="75"/>
      <c r="AW143" s="83"/>
      <c r="AX143" s="84"/>
      <c r="AY143" s="80"/>
      <c r="BB143" s="81"/>
      <c r="BE143" s="24"/>
      <c r="BF143" s="23"/>
    </row>
    <row r="144" spans="1:59" ht="15" customHeight="1">
      <c r="A144" s="23" t="s">
        <v>183</v>
      </c>
      <c r="B144" s="23" t="s">
        <v>889</v>
      </c>
      <c r="C144" s="23" t="s">
        <v>57</v>
      </c>
      <c r="D144" s="23">
        <v>142</v>
      </c>
      <c r="E144" s="23">
        <v>1</v>
      </c>
      <c r="F144" s="23" t="s">
        <v>782</v>
      </c>
      <c r="G144" s="23" t="s">
        <v>782</v>
      </c>
      <c r="H144" s="23" t="s">
        <v>709</v>
      </c>
      <c r="J144" s="23" t="s">
        <v>618</v>
      </c>
      <c r="N144" s="73"/>
      <c r="AB144" s="42"/>
      <c r="AE144" s="23"/>
      <c r="AF144" s="23" t="s">
        <v>783</v>
      </c>
      <c r="AI144" s="23" t="s">
        <v>782</v>
      </c>
      <c r="AJ144" s="23" t="s">
        <v>710</v>
      </c>
      <c r="AL144" s="23" t="s">
        <v>618</v>
      </c>
      <c r="AO144" s="24"/>
      <c r="AP144" s="73"/>
      <c r="AQ144" s="75"/>
      <c r="AR144" s="76"/>
      <c r="AS144" s="77"/>
      <c r="AV144" s="75"/>
      <c r="AW144" s="83"/>
      <c r="AX144" s="84"/>
      <c r="AY144" s="80"/>
      <c r="BB144" s="81"/>
      <c r="BE144" s="24"/>
      <c r="BF144" s="23"/>
      <c r="BG144" s="23" t="s">
        <v>784</v>
      </c>
    </row>
    <row r="145" spans="1:59" ht="15" customHeight="1">
      <c r="A145" s="23" t="s">
        <v>183</v>
      </c>
      <c r="B145" s="23" t="s">
        <v>890</v>
      </c>
      <c r="C145" s="23" t="s">
        <v>57</v>
      </c>
      <c r="D145" s="23">
        <v>143</v>
      </c>
      <c r="E145" s="23">
        <v>1</v>
      </c>
      <c r="F145" s="23" t="s">
        <v>782</v>
      </c>
      <c r="G145" s="23" t="s">
        <v>785</v>
      </c>
      <c r="J145" s="23" t="s">
        <v>619</v>
      </c>
      <c r="L145" s="23">
        <v>1</v>
      </c>
      <c r="N145" s="73"/>
      <c r="Z145" s="68">
        <v>3</v>
      </c>
      <c r="AB145" s="42"/>
      <c r="AE145" s="23"/>
      <c r="AI145" s="23" t="s">
        <v>786</v>
      </c>
      <c r="AL145" s="23" t="s">
        <v>619</v>
      </c>
      <c r="AN145" s="23">
        <v>1</v>
      </c>
      <c r="AO145" s="24"/>
      <c r="AP145" s="73"/>
      <c r="AQ145" s="75"/>
      <c r="AR145" s="76"/>
      <c r="AS145" s="77"/>
      <c r="AV145" s="75"/>
      <c r="AW145" s="83"/>
      <c r="AX145" s="84"/>
      <c r="AY145" s="80"/>
      <c r="BB145" s="81"/>
      <c r="BE145" s="24"/>
      <c r="BF145" s="23"/>
      <c r="BG145" s="23" t="s">
        <v>787</v>
      </c>
    </row>
    <row r="146" spans="1:59" ht="15" customHeight="1">
      <c r="A146" s="23" t="s">
        <v>183</v>
      </c>
      <c r="B146" s="23" t="s">
        <v>891</v>
      </c>
      <c r="C146" s="23" t="s">
        <v>57</v>
      </c>
      <c r="D146" s="23">
        <v>144</v>
      </c>
      <c r="E146" s="23">
        <v>1</v>
      </c>
      <c r="F146" s="23" t="s">
        <v>782</v>
      </c>
      <c r="G146" s="23" t="s">
        <v>788</v>
      </c>
      <c r="J146" s="23" t="s">
        <v>619</v>
      </c>
      <c r="L146" s="23">
        <v>2</v>
      </c>
      <c r="N146" s="73"/>
      <c r="Z146" s="68">
        <v>5</v>
      </c>
      <c r="AB146" s="42"/>
      <c r="AE146" s="23"/>
      <c r="AF146" s="23" t="s">
        <v>789</v>
      </c>
      <c r="AI146" s="23" t="s">
        <v>790</v>
      </c>
      <c r="AL146" s="23" t="s">
        <v>619</v>
      </c>
      <c r="AN146" s="23">
        <v>2</v>
      </c>
      <c r="AO146" s="24"/>
      <c r="AP146" s="73"/>
      <c r="AQ146" s="75"/>
      <c r="AR146" s="76"/>
      <c r="AS146" s="77"/>
      <c r="AV146" s="75"/>
      <c r="AW146" s="83"/>
      <c r="AX146" s="84"/>
      <c r="AY146" s="80"/>
      <c r="BB146" s="81"/>
      <c r="BE146" s="24"/>
      <c r="BF146" s="23"/>
      <c r="BG146" s="23" t="s">
        <v>791</v>
      </c>
    </row>
    <row r="147" spans="1:59" ht="15" customHeight="1">
      <c r="A147" s="23" t="s">
        <v>183</v>
      </c>
      <c r="B147" s="23" t="s">
        <v>602</v>
      </c>
      <c r="C147" s="23" t="s">
        <v>57</v>
      </c>
      <c r="D147" s="23">
        <v>145</v>
      </c>
      <c r="E147" s="23">
        <v>1</v>
      </c>
      <c r="F147" s="23" t="s">
        <v>782</v>
      </c>
      <c r="G147" s="23" t="s">
        <v>470</v>
      </c>
      <c r="J147" s="23" t="s">
        <v>619</v>
      </c>
      <c r="L147" s="23">
        <v>3</v>
      </c>
      <c r="N147" s="73"/>
      <c r="Z147" s="68">
        <v>5</v>
      </c>
      <c r="AB147" s="42"/>
      <c r="AE147" s="23"/>
      <c r="AF147" s="23" t="s">
        <v>792</v>
      </c>
      <c r="AI147" s="23" t="s">
        <v>782</v>
      </c>
      <c r="AL147" s="23" t="s">
        <v>619</v>
      </c>
      <c r="AN147" s="23">
        <v>3</v>
      </c>
      <c r="AO147" s="24"/>
      <c r="AP147" s="73"/>
      <c r="AQ147" s="75"/>
      <c r="AR147" s="76"/>
      <c r="AS147" s="77"/>
      <c r="AV147" s="75"/>
      <c r="AW147" s="83"/>
      <c r="AX147" s="84"/>
      <c r="AY147" s="80"/>
      <c r="BB147" s="81"/>
      <c r="BE147" s="24"/>
      <c r="BF147" s="23"/>
      <c r="BG147" s="23" t="s">
        <v>793</v>
      </c>
    </row>
    <row r="148" spans="1:59" ht="15" customHeight="1">
      <c r="A148" s="23" t="s">
        <v>183</v>
      </c>
      <c r="B148" s="23" t="s">
        <v>886</v>
      </c>
      <c r="C148" s="23" t="s">
        <v>57</v>
      </c>
      <c r="D148" s="23">
        <v>146</v>
      </c>
      <c r="E148" s="23">
        <v>1</v>
      </c>
      <c r="F148" s="23" t="s">
        <v>782</v>
      </c>
      <c r="G148" s="23" t="s">
        <v>794</v>
      </c>
      <c r="J148" s="23" t="s">
        <v>621</v>
      </c>
      <c r="L148" s="23">
        <v>1</v>
      </c>
      <c r="N148" s="73"/>
      <c r="Y148" s="66" t="s">
        <v>1112</v>
      </c>
      <c r="AB148" s="42"/>
      <c r="AE148" s="23"/>
      <c r="AI148" s="23" t="s">
        <v>795</v>
      </c>
      <c r="AL148" s="23" t="s">
        <v>621</v>
      </c>
      <c r="AN148" s="23">
        <v>1</v>
      </c>
      <c r="AO148" s="24"/>
      <c r="AP148" s="73"/>
      <c r="AQ148" s="75"/>
      <c r="AR148" s="76"/>
      <c r="AS148" s="77"/>
      <c r="AV148" s="75"/>
      <c r="AW148" s="83"/>
      <c r="AX148" s="84"/>
      <c r="AY148" s="80"/>
      <c r="BB148" s="81"/>
      <c r="BE148" s="24"/>
      <c r="BF148" s="23"/>
      <c r="BG148" s="23" t="s">
        <v>796</v>
      </c>
    </row>
    <row r="149" spans="1:59" ht="15" customHeight="1">
      <c r="A149" s="23" t="s">
        <v>183</v>
      </c>
      <c r="B149" s="23" t="s">
        <v>887</v>
      </c>
      <c r="C149" s="23" t="s">
        <v>57</v>
      </c>
      <c r="D149" s="23">
        <v>147</v>
      </c>
      <c r="E149" s="23">
        <v>1</v>
      </c>
      <c r="F149" s="23" t="s">
        <v>782</v>
      </c>
      <c r="G149" s="23" t="s">
        <v>797</v>
      </c>
      <c r="J149" s="23" t="s">
        <v>621</v>
      </c>
      <c r="L149" s="23">
        <v>2</v>
      </c>
      <c r="N149" s="73"/>
      <c r="Y149" s="82" t="s">
        <v>38</v>
      </c>
      <c r="AB149" s="42"/>
      <c r="AE149" s="23"/>
      <c r="AF149" s="23" t="s">
        <v>798</v>
      </c>
      <c r="AI149" s="23" t="s">
        <v>799</v>
      </c>
      <c r="AL149" s="23" t="s">
        <v>621</v>
      </c>
      <c r="AN149" s="23">
        <v>2</v>
      </c>
      <c r="AO149" s="24"/>
      <c r="AP149" s="73"/>
      <c r="AQ149" s="75"/>
      <c r="AR149" s="76"/>
      <c r="AS149" s="77"/>
      <c r="AV149" s="75"/>
      <c r="AW149" s="83"/>
      <c r="AX149" s="84"/>
      <c r="AY149" s="80"/>
      <c r="BB149" s="81"/>
      <c r="BE149" s="24"/>
      <c r="BF149" s="23"/>
      <c r="BG149" s="23" t="s">
        <v>800</v>
      </c>
    </row>
    <row r="150" spans="1:59" ht="15" customHeight="1">
      <c r="A150" s="23" t="s">
        <v>183</v>
      </c>
      <c r="B150" s="23" t="s">
        <v>888</v>
      </c>
      <c r="C150" s="23" t="s">
        <v>57</v>
      </c>
      <c r="D150" s="23">
        <v>148</v>
      </c>
      <c r="E150" s="23">
        <v>1</v>
      </c>
      <c r="F150" s="23" t="s">
        <v>782</v>
      </c>
      <c r="G150" s="23" t="s">
        <v>801</v>
      </c>
      <c r="J150" s="23" t="s">
        <v>621</v>
      </c>
      <c r="L150" s="23">
        <v>3</v>
      </c>
      <c r="N150" s="73"/>
      <c r="Y150" s="82" t="s">
        <v>38</v>
      </c>
      <c r="AB150" s="42"/>
      <c r="AE150" s="23"/>
      <c r="AF150" s="23" t="s">
        <v>802</v>
      </c>
      <c r="AI150" s="23" t="s">
        <v>803</v>
      </c>
      <c r="AL150" s="23" t="s">
        <v>621</v>
      </c>
      <c r="AN150" s="23">
        <v>3</v>
      </c>
      <c r="AO150" s="24"/>
      <c r="AP150" s="73"/>
      <c r="AQ150" s="75"/>
      <c r="AR150" s="76"/>
      <c r="AS150" s="77"/>
      <c r="AV150" s="75"/>
      <c r="AW150" s="83"/>
      <c r="AX150" s="84"/>
      <c r="AY150" s="80"/>
      <c r="BB150" s="81"/>
      <c r="BE150" s="24"/>
      <c r="BF150" s="23"/>
      <c r="BG150" s="23" t="s">
        <v>738</v>
      </c>
    </row>
    <row r="151" spans="1:59" ht="15" customHeight="1">
      <c r="A151" s="23" t="s">
        <v>183</v>
      </c>
      <c r="B151" s="23" t="s">
        <v>603</v>
      </c>
      <c r="C151" s="23" t="s">
        <v>57</v>
      </c>
      <c r="D151" s="23">
        <v>149</v>
      </c>
      <c r="E151" s="23">
        <v>1</v>
      </c>
      <c r="F151" s="23" t="s">
        <v>782</v>
      </c>
      <c r="G151" s="23" t="s">
        <v>471</v>
      </c>
      <c r="J151" s="23" t="s">
        <v>31</v>
      </c>
      <c r="N151" s="73"/>
      <c r="AB151" s="42"/>
      <c r="AD151" s="23" t="s">
        <v>472</v>
      </c>
      <c r="AE151" s="23"/>
      <c r="AI151" s="23" t="s">
        <v>471</v>
      </c>
      <c r="AL151" s="23" t="s">
        <v>31</v>
      </c>
      <c r="AP151" s="73"/>
      <c r="AY151" s="71">
        <v>2</v>
      </c>
      <c r="AZ151" s="66">
        <v>0</v>
      </c>
      <c r="BE151" s="23" t="s">
        <v>472</v>
      </c>
      <c r="BF151" s="23"/>
      <c r="BG151" s="23" t="s">
        <v>804</v>
      </c>
    </row>
    <row r="152" spans="1:59" ht="15" customHeight="1">
      <c r="A152" s="23" t="s">
        <v>183</v>
      </c>
      <c r="B152" s="23" t="s">
        <v>878</v>
      </c>
      <c r="C152" s="23" t="s">
        <v>57</v>
      </c>
      <c r="D152" s="23">
        <v>150</v>
      </c>
      <c r="E152" s="23">
        <v>1</v>
      </c>
      <c r="F152" s="23" t="s">
        <v>782</v>
      </c>
      <c r="G152" s="23" t="s">
        <v>805</v>
      </c>
      <c r="J152" s="23" t="s">
        <v>31</v>
      </c>
      <c r="N152" s="73"/>
      <c r="AB152" s="42"/>
      <c r="AD152" s="23" t="s">
        <v>472</v>
      </c>
      <c r="AE152" s="23"/>
      <c r="AI152" s="23" t="s">
        <v>805</v>
      </c>
      <c r="AJ152" s="23" t="s">
        <v>806</v>
      </c>
      <c r="AL152" s="23" t="s">
        <v>31</v>
      </c>
      <c r="AP152" s="73"/>
      <c r="AY152" s="71">
        <v>4</v>
      </c>
      <c r="AZ152" s="66" t="s">
        <v>1073</v>
      </c>
      <c r="BE152" s="23" t="s">
        <v>472</v>
      </c>
      <c r="BF152" s="23"/>
      <c r="BG152" s="23" t="s">
        <v>807</v>
      </c>
    </row>
    <row r="153" spans="1:59" ht="15" customHeight="1">
      <c r="A153" s="23" t="s">
        <v>183</v>
      </c>
      <c r="B153" s="23" t="s">
        <v>879</v>
      </c>
      <c r="C153" s="23" t="s">
        <v>57</v>
      </c>
      <c r="D153" s="23">
        <v>151</v>
      </c>
      <c r="E153" s="23">
        <v>1</v>
      </c>
      <c r="F153" s="23" t="s">
        <v>782</v>
      </c>
      <c r="G153" s="23" t="s">
        <v>805</v>
      </c>
      <c r="J153" s="23" t="s">
        <v>31</v>
      </c>
      <c r="N153" s="73"/>
      <c r="AB153" s="42"/>
      <c r="AD153" s="23" t="s">
        <v>472</v>
      </c>
      <c r="AE153" s="23"/>
      <c r="AI153" s="23" t="s">
        <v>805</v>
      </c>
      <c r="AJ153" s="23" t="s">
        <v>808</v>
      </c>
      <c r="AL153" s="23" t="s">
        <v>31</v>
      </c>
      <c r="AP153" s="73"/>
      <c r="AY153" s="71">
        <v>3</v>
      </c>
      <c r="AZ153" s="66" t="s">
        <v>1073</v>
      </c>
      <c r="BE153" s="23" t="s">
        <v>472</v>
      </c>
      <c r="BF153" s="23"/>
      <c r="BG153" s="23" t="s">
        <v>809</v>
      </c>
    </row>
    <row r="154" spans="1:59" ht="15" customHeight="1">
      <c r="A154" s="23" t="s">
        <v>183</v>
      </c>
      <c r="B154" s="23" t="s">
        <v>880</v>
      </c>
      <c r="C154" s="23" t="s">
        <v>57</v>
      </c>
      <c r="D154" s="23">
        <v>152</v>
      </c>
      <c r="E154" s="23">
        <v>1</v>
      </c>
      <c r="F154" s="23" t="s">
        <v>782</v>
      </c>
      <c r="G154" s="23" t="s">
        <v>805</v>
      </c>
      <c r="J154" s="23" t="s">
        <v>31</v>
      </c>
      <c r="N154" s="73"/>
      <c r="AB154" s="42"/>
      <c r="AD154" s="23" t="s">
        <v>472</v>
      </c>
      <c r="AE154" s="23"/>
      <c r="AI154" s="23" t="s">
        <v>805</v>
      </c>
      <c r="AJ154" s="23" t="s">
        <v>810</v>
      </c>
      <c r="AL154" s="23" t="s">
        <v>31</v>
      </c>
      <c r="AP154" s="73"/>
      <c r="AY154" s="71">
        <v>2</v>
      </c>
      <c r="AZ154" s="66" t="s">
        <v>1073</v>
      </c>
      <c r="BE154" s="23" t="s">
        <v>472</v>
      </c>
      <c r="BF154" s="23"/>
      <c r="BG154" s="23" t="s">
        <v>811</v>
      </c>
    </row>
    <row r="155" spans="1:59" ht="15" customHeight="1">
      <c r="A155" s="23" t="s">
        <v>183</v>
      </c>
      <c r="B155" s="23" t="s">
        <v>881</v>
      </c>
      <c r="C155" s="23" t="s">
        <v>57</v>
      </c>
      <c r="D155" s="23">
        <v>153</v>
      </c>
      <c r="E155" s="23">
        <v>1</v>
      </c>
      <c r="F155" s="23" t="s">
        <v>782</v>
      </c>
      <c r="G155" s="23" t="s">
        <v>805</v>
      </c>
      <c r="J155" s="23" t="s">
        <v>31</v>
      </c>
      <c r="N155" s="73"/>
      <c r="AB155" s="42"/>
      <c r="AD155" s="23" t="s">
        <v>472</v>
      </c>
      <c r="AE155" s="23"/>
      <c r="AI155" s="23" t="s">
        <v>805</v>
      </c>
      <c r="AJ155" s="23" t="s">
        <v>812</v>
      </c>
      <c r="AL155" s="23" t="s">
        <v>31</v>
      </c>
      <c r="AP155" s="73"/>
      <c r="AY155" s="71">
        <v>2</v>
      </c>
      <c r="AZ155" s="66" t="s">
        <v>1073</v>
      </c>
      <c r="BE155" s="23" t="s">
        <v>472</v>
      </c>
      <c r="BF155" s="23"/>
      <c r="BG155" s="23" t="s">
        <v>813</v>
      </c>
    </row>
    <row r="156" spans="1:59" ht="15" customHeight="1">
      <c r="A156" s="23" t="s">
        <v>183</v>
      </c>
      <c r="B156" s="23" t="s">
        <v>882</v>
      </c>
      <c r="C156" s="23" t="s">
        <v>57</v>
      </c>
      <c r="D156" s="23">
        <v>154</v>
      </c>
      <c r="E156" s="23">
        <v>1</v>
      </c>
      <c r="F156" s="23" t="s">
        <v>782</v>
      </c>
      <c r="G156" s="23" t="s">
        <v>805</v>
      </c>
      <c r="J156" s="23" t="s">
        <v>31</v>
      </c>
      <c r="N156" s="73"/>
      <c r="AB156" s="42"/>
      <c r="AD156" s="23" t="s">
        <v>472</v>
      </c>
      <c r="AE156" s="23"/>
      <c r="AI156" s="23" t="s">
        <v>805</v>
      </c>
      <c r="AJ156" s="23" t="s">
        <v>814</v>
      </c>
      <c r="AL156" s="23" t="s">
        <v>31</v>
      </c>
      <c r="AP156" s="73"/>
      <c r="AY156" s="71">
        <v>2</v>
      </c>
      <c r="AZ156" s="66" t="s">
        <v>1073</v>
      </c>
      <c r="BE156" s="23" t="s">
        <v>472</v>
      </c>
      <c r="BF156" s="23"/>
      <c r="BG156" s="23" t="s">
        <v>815</v>
      </c>
    </row>
    <row r="157" spans="1:59" ht="15" customHeight="1">
      <c r="A157" s="23" t="s">
        <v>183</v>
      </c>
      <c r="B157" s="23" t="s">
        <v>883</v>
      </c>
      <c r="C157" s="23" t="s">
        <v>57</v>
      </c>
      <c r="D157" s="23">
        <v>155</v>
      </c>
      <c r="E157" s="23">
        <v>1</v>
      </c>
      <c r="F157" s="23" t="s">
        <v>782</v>
      </c>
      <c r="G157" s="23" t="s">
        <v>805</v>
      </c>
      <c r="J157" s="23" t="s">
        <v>31</v>
      </c>
      <c r="N157" s="73"/>
      <c r="AB157" s="42"/>
      <c r="AD157" s="23" t="s">
        <v>472</v>
      </c>
      <c r="AE157" s="23"/>
      <c r="AI157" s="23" t="s">
        <v>805</v>
      </c>
      <c r="AJ157" s="23" t="s">
        <v>816</v>
      </c>
      <c r="AL157" s="23" t="s">
        <v>31</v>
      </c>
      <c r="AP157" s="73"/>
      <c r="AY157" s="71">
        <v>1</v>
      </c>
      <c r="AZ157" s="66">
        <v>0</v>
      </c>
      <c r="BE157" s="23" t="s">
        <v>472</v>
      </c>
      <c r="BF157" s="23"/>
      <c r="BG157" s="23" t="s">
        <v>817</v>
      </c>
    </row>
    <row r="158" spans="1:59" ht="15" customHeight="1">
      <c r="A158" s="23" t="s">
        <v>183</v>
      </c>
      <c r="B158" s="23" t="s">
        <v>884</v>
      </c>
      <c r="C158" s="23" t="s">
        <v>57</v>
      </c>
      <c r="D158" s="23">
        <v>156</v>
      </c>
      <c r="E158" s="23">
        <v>1</v>
      </c>
      <c r="F158" s="23" t="s">
        <v>782</v>
      </c>
      <c r="G158" s="23" t="s">
        <v>818</v>
      </c>
      <c r="J158" s="23" t="s">
        <v>31</v>
      </c>
      <c r="N158" s="73"/>
      <c r="AB158" s="42"/>
      <c r="AD158" s="23" t="s">
        <v>819</v>
      </c>
      <c r="AE158" s="23"/>
      <c r="AI158" s="23" t="s">
        <v>818</v>
      </c>
      <c r="AL158" s="23" t="s">
        <v>31</v>
      </c>
      <c r="AP158" s="73"/>
      <c r="AY158" s="71">
        <v>3</v>
      </c>
      <c r="AZ158" s="66" t="s">
        <v>1111</v>
      </c>
      <c r="BE158" s="23" t="s">
        <v>819</v>
      </c>
      <c r="BF158" s="23"/>
      <c r="BG158" s="23" t="s">
        <v>820</v>
      </c>
    </row>
    <row r="159" spans="1:59" ht="15" customHeight="1">
      <c r="A159" s="23" t="s">
        <v>183</v>
      </c>
      <c r="B159" s="23" t="s">
        <v>885</v>
      </c>
      <c r="C159" s="23" t="s">
        <v>57</v>
      </c>
      <c r="D159" s="23">
        <v>157</v>
      </c>
      <c r="E159" s="23">
        <v>1</v>
      </c>
      <c r="F159" s="23" t="s">
        <v>782</v>
      </c>
      <c r="G159" s="23" t="s">
        <v>821</v>
      </c>
      <c r="H159" s="23" t="s">
        <v>782</v>
      </c>
      <c r="J159" s="23" t="s">
        <v>29</v>
      </c>
      <c r="N159" s="73"/>
      <c r="Q159" s="65">
        <v>5</v>
      </c>
      <c r="R159" s="66">
        <v>6</v>
      </c>
      <c r="T159" s="68">
        <v>6</v>
      </c>
      <c r="V159" s="69">
        <v>3</v>
      </c>
      <c r="W159" s="70">
        <v>3</v>
      </c>
      <c r="AB159" s="42"/>
      <c r="AD159" s="23" t="s">
        <v>822</v>
      </c>
      <c r="AE159" s="23" t="s">
        <v>823</v>
      </c>
      <c r="AF159" s="23" t="s">
        <v>824</v>
      </c>
      <c r="AP159" s="73"/>
      <c r="BF159" s="23"/>
    </row>
    <row r="160" spans="1:59" ht="15" customHeight="1">
      <c r="A160" s="23" t="s">
        <v>183</v>
      </c>
      <c r="B160" s="23" t="s">
        <v>604</v>
      </c>
      <c r="C160" s="23" t="s">
        <v>57</v>
      </c>
      <c r="D160" s="23">
        <v>158</v>
      </c>
      <c r="E160" s="23">
        <v>2</v>
      </c>
      <c r="F160" s="23" t="s">
        <v>782</v>
      </c>
      <c r="G160" s="23" t="s">
        <v>473</v>
      </c>
      <c r="J160" s="23" t="s">
        <v>28</v>
      </c>
      <c r="N160" s="73"/>
      <c r="AB160" s="42"/>
      <c r="AD160" s="23" t="s">
        <v>439</v>
      </c>
      <c r="AE160" s="23"/>
      <c r="AF160" s="23" t="s">
        <v>632</v>
      </c>
      <c r="AO160" s="24"/>
      <c r="AP160" s="73"/>
      <c r="AQ160" s="75"/>
      <c r="AR160" s="76"/>
      <c r="AS160" s="77"/>
      <c r="AV160" s="75"/>
      <c r="AW160" s="83"/>
      <c r="AX160" s="84"/>
      <c r="AY160" s="80"/>
      <c r="BB160" s="81"/>
      <c r="BE160" s="24"/>
      <c r="BF160" s="23"/>
    </row>
    <row r="161" spans="1:58" ht="15" customHeight="1">
      <c r="A161" s="23" t="s">
        <v>183</v>
      </c>
      <c r="B161" s="23" t="s">
        <v>605</v>
      </c>
      <c r="C161" s="23" t="s">
        <v>57</v>
      </c>
      <c r="D161" s="23">
        <v>159</v>
      </c>
      <c r="E161" s="23">
        <v>3</v>
      </c>
      <c r="F161" s="23" t="s">
        <v>911</v>
      </c>
      <c r="G161" s="23" t="s">
        <v>474</v>
      </c>
      <c r="J161" s="23" t="s">
        <v>29</v>
      </c>
      <c r="N161" s="73"/>
      <c r="Q161" s="65">
        <v>1</v>
      </c>
      <c r="R161" s="66">
        <v>3</v>
      </c>
      <c r="T161" s="68">
        <v>1</v>
      </c>
      <c r="V161" s="69">
        <v>1</v>
      </c>
      <c r="W161" s="70">
        <v>0</v>
      </c>
      <c r="AB161" s="42"/>
      <c r="AD161" s="23" t="s">
        <v>30</v>
      </c>
      <c r="AE161" s="23"/>
      <c r="AF161" s="23" t="s">
        <v>475</v>
      </c>
      <c r="AO161" s="24"/>
      <c r="AP161" s="73"/>
      <c r="AQ161" s="75"/>
      <c r="AR161" s="76"/>
      <c r="AS161" s="77"/>
      <c r="AV161" s="75"/>
      <c r="AW161" s="83"/>
      <c r="AX161" s="84"/>
      <c r="AY161" s="80"/>
      <c r="BB161" s="81"/>
      <c r="BE161" s="24"/>
      <c r="BF161" s="23"/>
    </row>
    <row r="162" spans="1:58" ht="15" customHeight="1">
      <c r="A162" s="23" t="s">
        <v>183</v>
      </c>
      <c r="B162" s="23" t="s">
        <v>606</v>
      </c>
      <c r="C162" s="23" t="s">
        <v>57</v>
      </c>
      <c r="D162" s="23">
        <v>160</v>
      </c>
      <c r="E162" s="23">
        <v>3</v>
      </c>
      <c r="F162" s="23" t="s">
        <v>912</v>
      </c>
      <c r="G162" s="23" t="s">
        <v>476</v>
      </c>
      <c r="J162" s="23" t="s">
        <v>29</v>
      </c>
      <c r="N162" s="73"/>
      <c r="Q162" s="65">
        <v>2</v>
      </c>
      <c r="R162" s="66">
        <v>2</v>
      </c>
      <c r="T162" s="68">
        <v>2</v>
      </c>
      <c r="V162" s="69">
        <v>1</v>
      </c>
      <c r="W162" s="70">
        <v>1</v>
      </c>
      <c r="AB162" s="42"/>
      <c r="AD162" s="23" t="s">
        <v>460</v>
      </c>
      <c r="AE162" s="23"/>
      <c r="AO162" s="24"/>
      <c r="AP162" s="73"/>
      <c r="AQ162" s="75"/>
      <c r="AR162" s="76"/>
      <c r="AS162" s="77"/>
      <c r="AV162" s="75"/>
      <c r="AW162" s="83"/>
      <c r="AX162" s="84"/>
      <c r="AY162" s="80"/>
      <c r="BB162" s="81"/>
      <c r="BE162" s="24"/>
      <c r="BF162" s="23"/>
    </row>
    <row r="163" spans="1:58" ht="15" customHeight="1">
      <c r="A163" s="23" t="s">
        <v>183</v>
      </c>
      <c r="B163" s="23" t="s">
        <v>607</v>
      </c>
      <c r="C163" s="23" t="s">
        <v>57</v>
      </c>
      <c r="D163" s="23">
        <v>161</v>
      </c>
      <c r="E163" s="23">
        <v>1</v>
      </c>
      <c r="F163" s="23" t="s">
        <v>912</v>
      </c>
      <c r="G163" s="23" t="s">
        <v>477</v>
      </c>
      <c r="J163" s="23" t="s">
        <v>29</v>
      </c>
      <c r="N163" s="73"/>
      <c r="Q163" s="65">
        <v>3</v>
      </c>
      <c r="R163" s="66">
        <v>3</v>
      </c>
      <c r="T163" s="68">
        <v>3</v>
      </c>
      <c r="V163" s="69">
        <v>1</v>
      </c>
      <c r="W163" s="70">
        <v>1</v>
      </c>
      <c r="AB163" s="42"/>
      <c r="AD163" s="23" t="s">
        <v>460</v>
      </c>
      <c r="AE163" s="23"/>
      <c r="AF163" s="23" t="s">
        <v>633</v>
      </c>
      <c r="AO163" s="24"/>
      <c r="AP163" s="73"/>
      <c r="AQ163" s="75"/>
      <c r="AR163" s="76"/>
      <c r="AS163" s="77"/>
      <c r="AV163" s="75"/>
      <c r="AW163" s="83"/>
      <c r="AX163" s="84"/>
      <c r="AY163" s="80"/>
      <c r="BB163" s="81"/>
      <c r="BE163" s="24"/>
      <c r="BF163" s="23"/>
    </row>
    <row r="164" spans="1:58" ht="15" customHeight="1">
      <c r="A164" s="23" t="s">
        <v>183</v>
      </c>
      <c r="B164" s="23" t="s">
        <v>608</v>
      </c>
      <c r="C164" s="23" t="s">
        <v>57</v>
      </c>
      <c r="D164" s="23">
        <v>162</v>
      </c>
      <c r="E164" s="23">
        <v>3</v>
      </c>
      <c r="F164" s="23" t="s">
        <v>912</v>
      </c>
      <c r="G164" s="23" t="s">
        <v>478</v>
      </c>
      <c r="J164" s="23" t="s">
        <v>28</v>
      </c>
      <c r="N164" s="73"/>
      <c r="AB164" s="42"/>
      <c r="AD164" s="23" t="s">
        <v>479</v>
      </c>
      <c r="AE164" s="23"/>
      <c r="AF164" s="23" t="s">
        <v>634</v>
      </c>
      <c r="AO164" s="24"/>
      <c r="AP164" s="73"/>
      <c r="AQ164" s="75"/>
      <c r="AR164" s="76"/>
      <c r="AS164" s="77"/>
      <c r="AV164" s="75"/>
      <c r="AW164" s="83"/>
      <c r="AX164" s="84"/>
      <c r="AY164" s="80"/>
      <c r="BB164" s="81"/>
      <c r="BE164" s="24"/>
      <c r="BF164" s="23"/>
    </row>
    <row r="165" spans="1:58" ht="15" customHeight="1">
      <c r="A165" s="23" t="s">
        <v>183</v>
      </c>
      <c r="B165" s="23" t="s">
        <v>609</v>
      </c>
      <c r="C165" s="23" t="s">
        <v>57</v>
      </c>
      <c r="D165" s="23">
        <v>163</v>
      </c>
      <c r="E165" s="23">
        <v>3</v>
      </c>
      <c r="F165" s="23" t="s">
        <v>913</v>
      </c>
      <c r="G165" s="23" t="s">
        <v>480</v>
      </c>
      <c r="J165" s="23" t="s">
        <v>28</v>
      </c>
      <c r="N165" s="73"/>
      <c r="AB165" s="42"/>
      <c r="AD165" s="23" t="s">
        <v>481</v>
      </c>
      <c r="AE165" s="23"/>
      <c r="AF165" s="23" t="s">
        <v>635</v>
      </c>
      <c r="AO165" s="24"/>
      <c r="AP165" s="73"/>
      <c r="AQ165" s="75"/>
      <c r="AR165" s="76"/>
      <c r="AS165" s="77"/>
      <c r="AV165" s="75"/>
      <c r="AW165" s="83"/>
      <c r="AX165" s="84"/>
      <c r="AY165" s="80"/>
      <c r="BB165" s="81"/>
      <c r="BE165" s="24"/>
      <c r="BF165" s="23"/>
    </row>
    <row r="166" spans="1:58" ht="15" customHeight="1">
      <c r="A166" s="23" t="s">
        <v>183</v>
      </c>
      <c r="B166" s="23" t="s">
        <v>610</v>
      </c>
      <c r="C166" s="23" t="s">
        <v>57</v>
      </c>
      <c r="D166" s="23">
        <v>164</v>
      </c>
      <c r="E166" s="23">
        <v>2</v>
      </c>
      <c r="F166" s="23" t="s">
        <v>913</v>
      </c>
      <c r="G166" s="23" t="s">
        <v>482</v>
      </c>
      <c r="J166" s="23" t="s">
        <v>28</v>
      </c>
      <c r="N166" s="73"/>
      <c r="AB166" s="42"/>
      <c r="AD166" s="23" t="s">
        <v>481</v>
      </c>
      <c r="AE166" s="23"/>
      <c r="AF166" s="23" t="s">
        <v>636</v>
      </c>
      <c r="AO166" s="24"/>
      <c r="AP166" s="73"/>
      <c r="AQ166" s="75"/>
      <c r="AR166" s="76"/>
      <c r="AS166" s="77"/>
      <c r="AV166" s="75"/>
      <c r="AW166" s="83"/>
      <c r="AX166" s="84"/>
      <c r="AY166" s="80"/>
      <c r="BB166" s="81"/>
      <c r="BE166" s="24"/>
      <c r="BF166" s="23"/>
    </row>
    <row r="167" spans="1:58" ht="15" customHeight="1">
      <c r="A167" s="23" t="s">
        <v>183</v>
      </c>
      <c r="B167" s="23" t="s">
        <v>611</v>
      </c>
      <c r="C167" s="23" t="s">
        <v>57</v>
      </c>
      <c r="D167" s="23">
        <v>165</v>
      </c>
      <c r="E167" s="23">
        <v>2</v>
      </c>
      <c r="F167" s="23" t="s">
        <v>913</v>
      </c>
      <c r="G167" s="23" t="s">
        <v>483</v>
      </c>
      <c r="J167" s="23" t="s">
        <v>28</v>
      </c>
      <c r="N167" s="73"/>
      <c r="AB167" s="42"/>
      <c r="AD167" s="23" t="s">
        <v>481</v>
      </c>
      <c r="AE167" s="23"/>
      <c r="AF167" s="23" t="s">
        <v>637</v>
      </c>
      <c r="AO167" s="24"/>
      <c r="AP167" s="73"/>
      <c r="AQ167" s="75"/>
      <c r="AR167" s="76"/>
      <c r="AS167" s="77"/>
      <c r="AV167" s="75"/>
      <c r="AW167" s="83"/>
      <c r="AX167" s="84"/>
      <c r="AY167" s="80"/>
      <c r="BB167" s="81"/>
      <c r="BE167" s="24"/>
      <c r="BF167" s="23"/>
    </row>
    <row r="168" spans="1:58" ht="15" customHeight="1">
      <c r="A168" s="23" t="s">
        <v>183</v>
      </c>
      <c r="B168" s="23" t="s">
        <v>616</v>
      </c>
      <c r="C168" s="23" t="s">
        <v>57</v>
      </c>
      <c r="D168" s="23">
        <v>166</v>
      </c>
      <c r="E168" s="23">
        <v>3</v>
      </c>
      <c r="F168" s="23" t="s">
        <v>491</v>
      </c>
      <c r="G168" s="23" t="s">
        <v>491</v>
      </c>
      <c r="J168" s="23" t="s">
        <v>28</v>
      </c>
      <c r="N168" s="73"/>
      <c r="AB168" s="42"/>
      <c r="AD168" s="23" t="s">
        <v>492</v>
      </c>
      <c r="AE168" s="23"/>
      <c r="AF168" s="23" t="s">
        <v>640</v>
      </c>
      <c r="AO168" s="24"/>
      <c r="AP168" s="73"/>
      <c r="AQ168" s="75"/>
      <c r="AR168" s="76"/>
      <c r="AS168" s="77"/>
      <c r="AV168" s="75"/>
      <c r="AW168" s="83"/>
      <c r="AX168" s="84"/>
      <c r="AY168" s="80"/>
      <c r="BB168" s="81"/>
      <c r="BE168" s="24"/>
      <c r="BF168" s="23"/>
    </row>
    <row r="169" spans="1:58" ht="15" customHeight="1">
      <c r="A169" s="23" t="s">
        <v>183</v>
      </c>
      <c r="B169" s="23" t="s">
        <v>876</v>
      </c>
      <c r="C169" s="23" t="s">
        <v>57</v>
      </c>
      <c r="D169" s="23">
        <v>167</v>
      </c>
      <c r="E169" s="23">
        <v>2</v>
      </c>
      <c r="F169" s="23" t="s">
        <v>914</v>
      </c>
      <c r="G169" s="23" t="s">
        <v>825</v>
      </c>
      <c r="J169" s="23" t="s">
        <v>28</v>
      </c>
      <c r="N169" s="73"/>
      <c r="AB169" s="42"/>
      <c r="AD169" s="23" t="s">
        <v>479</v>
      </c>
      <c r="AE169" s="23"/>
      <c r="AF169" s="23" t="s">
        <v>826</v>
      </c>
      <c r="AO169" s="24"/>
      <c r="AP169" s="73"/>
      <c r="AQ169" s="75"/>
      <c r="AR169" s="76"/>
      <c r="AS169" s="77"/>
      <c r="AV169" s="75"/>
      <c r="AW169" s="83"/>
      <c r="AX169" s="84"/>
      <c r="AY169" s="80"/>
      <c r="BB169" s="81"/>
      <c r="BE169" s="24"/>
      <c r="BF169" s="23"/>
    </row>
    <row r="170" spans="1:58" ht="15" customHeight="1">
      <c r="A170" s="23" t="s">
        <v>183</v>
      </c>
      <c r="B170" s="23" t="s">
        <v>617</v>
      </c>
      <c r="C170" s="23" t="s">
        <v>57</v>
      </c>
      <c r="D170" s="23">
        <v>168</v>
      </c>
      <c r="E170" s="23">
        <v>2</v>
      </c>
      <c r="F170" s="23" t="s">
        <v>914</v>
      </c>
      <c r="G170" s="23" t="s">
        <v>493</v>
      </c>
      <c r="J170" s="23" t="s">
        <v>28</v>
      </c>
      <c r="N170" s="73"/>
      <c r="O170" s="75"/>
      <c r="P170" s="76"/>
      <c r="Q170" s="77"/>
      <c r="U170" s="75"/>
      <c r="V170" s="78"/>
      <c r="W170" s="79"/>
      <c r="X170" s="80"/>
      <c r="AA170" s="81"/>
      <c r="AB170" s="42"/>
      <c r="AD170" s="23" t="s">
        <v>479</v>
      </c>
      <c r="AE170" s="23"/>
      <c r="AF170" s="23" t="s">
        <v>641</v>
      </c>
      <c r="AO170" s="24"/>
      <c r="AP170" s="73"/>
      <c r="AQ170" s="75"/>
      <c r="AR170" s="76"/>
      <c r="AS170" s="77"/>
      <c r="AV170" s="75"/>
      <c r="AW170" s="83"/>
      <c r="AX170" s="84"/>
      <c r="AY170" s="80"/>
      <c r="BB170" s="81"/>
      <c r="BE170" s="24"/>
      <c r="BF170" s="23"/>
    </row>
    <row r="171" spans="1:58" ht="15" customHeight="1">
      <c r="A171" s="23" t="s">
        <v>183</v>
      </c>
      <c r="B171" s="23" t="s">
        <v>612</v>
      </c>
      <c r="C171" s="23" t="s">
        <v>57</v>
      </c>
      <c r="D171" s="23">
        <v>169</v>
      </c>
      <c r="E171" s="23">
        <v>3</v>
      </c>
      <c r="F171" s="23" t="s">
        <v>915</v>
      </c>
      <c r="G171" s="23" t="s">
        <v>484</v>
      </c>
      <c r="J171" s="23" t="s">
        <v>29</v>
      </c>
      <c r="N171" s="73"/>
      <c r="Q171" s="65">
        <v>3</v>
      </c>
      <c r="R171" s="66">
        <v>2</v>
      </c>
      <c r="T171" s="68">
        <v>1</v>
      </c>
      <c r="V171" s="69">
        <v>1</v>
      </c>
      <c r="W171" s="70">
        <v>0</v>
      </c>
      <c r="AB171" s="42"/>
      <c r="AD171" s="23" t="s">
        <v>467</v>
      </c>
      <c r="AE171" s="23"/>
      <c r="AF171" s="23" t="s">
        <v>638</v>
      </c>
      <c r="AO171" s="24"/>
      <c r="AP171" s="73"/>
      <c r="AQ171" s="75"/>
      <c r="AR171" s="76"/>
      <c r="AS171" s="77"/>
      <c r="AV171" s="75"/>
      <c r="AW171" s="83"/>
      <c r="AX171" s="84"/>
      <c r="AY171" s="80"/>
      <c r="BB171" s="81"/>
      <c r="BE171" s="24"/>
      <c r="BF171" s="23"/>
    </row>
    <row r="172" spans="1:58" ht="15" customHeight="1">
      <c r="A172" s="23" t="s">
        <v>183</v>
      </c>
      <c r="B172" s="23" t="s">
        <v>877</v>
      </c>
      <c r="C172" s="23" t="s">
        <v>57</v>
      </c>
      <c r="D172" s="23">
        <v>170</v>
      </c>
      <c r="E172" s="23">
        <v>1</v>
      </c>
      <c r="F172" s="23" t="s">
        <v>915</v>
      </c>
      <c r="G172" s="23" t="s">
        <v>827</v>
      </c>
      <c r="J172" s="23" t="s">
        <v>29</v>
      </c>
      <c r="N172" s="73"/>
      <c r="Q172" s="65">
        <v>4</v>
      </c>
      <c r="R172" s="66">
        <v>2</v>
      </c>
      <c r="T172" s="68">
        <v>2</v>
      </c>
      <c r="V172" s="69">
        <v>1</v>
      </c>
      <c r="W172" s="70">
        <v>0</v>
      </c>
      <c r="AB172" s="42"/>
      <c r="AD172" s="23" t="s">
        <v>467</v>
      </c>
      <c r="AE172" s="23" t="s">
        <v>828</v>
      </c>
      <c r="AF172" s="23" t="s">
        <v>829</v>
      </c>
      <c r="AO172" s="24"/>
      <c r="AP172" s="73"/>
      <c r="AQ172" s="75"/>
      <c r="AR172" s="76"/>
      <c r="AS172" s="77"/>
      <c r="AV172" s="75"/>
      <c r="AW172" s="83"/>
      <c r="AX172" s="84"/>
      <c r="AY172" s="80"/>
      <c r="BB172" s="81"/>
      <c r="BE172" s="24"/>
      <c r="BF172" s="23"/>
    </row>
    <row r="173" spans="1:58" ht="15" customHeight="1">
      <c r="A173" s="23" t="s">
        <v>183</v>
      </c>
      <c r="B173" s="23" t="s">
        <v>613</v>
      </c>
      <c r="C173" s="23" t="s">
        <v>57</v>
      </c>
      <c r="D173" s="23">
        <v>171</v>
      </c>
      <c r="E173" s="23">
        <v>2</v>
      </c>
      <c r="F173" s="23" t="s">
        <v>915</v>
      </c>
      <c r="G173" s="23" t="s">
        <v>485</v>
      </c>
      <c r="J173" s="23" t="s">
        <v>28</v>
      </c>
      <c r="N173" s="73"/>
      <c r="AB173" s="42"/>
      <c r="AD173" s="23" t="s">
        <v>486</v>
      </c>
      <c r="AE173" s="23"/>
      <c r="AF173" s="23" t="s">
        <v>639</v>
      </c>
      <c r="AO173" s="24"/>
      <c r="AP173" s="73"/>
      <c r="AQ173" s="75"/>
      <c r="AR173" s="76"/>
      <c r="AS173" s="77"/>
      <c r="AV173" s="75"/>
      <c r="AW173" s="83"/>
      <c r="AX173" s="84"/>
      <c r="AY173" s="80"/>
      <c r="BB173" s="81"/>
      <c r="BE173" s="24"/>
      <c r="BF173" s="23"/>
    </row>
    <row r="174" spans="1:58" ht="15" customHeight="1">
      <c r="A174" s="23" t="s">
        <v>183</v>
      </c>
      <c r="B174" s="23" t="s">
        <v>614</v>
      </c>
      <c r="C174" s="23" t="s">
        <v>57</v>
      </c>
      <c r="D174" s="23">
        <v>172</v>
      </c>
      <c r="E174" s="23">
        <v>2</v>
      </c>
      <c r="F174" s="23" t="s">
        <v>916</v>
      </c>
      <c r="G174" s="23" t="s">
        <v>487</v>
      </c>
      <c r="J174" s="23" t="s">
        <v>29</v>
      </c>
      <c r="N174" s="73"/>
      <c r="Q174" s="65">
        <v>3</v>
      </c>
      <c r="R174" s="66">
        <v>1</v>
      </c>
      <c r="T174" s="68">
        <v>4</v>
      </c>
      <c r="V174" s="69">
        <v>1</v>
      </c>
      <c r="W174" s="70">
        <v>1</v>
      </c>
      <c r="AB174" s="42"/>
      <c r="AD174" s="23" t="s">
        <v>488</v>
      </c>
      <c r="AE174" s="23" t="s">
        <v>475</v>
      </c>
      <c r="AF174" s="23" t="s">
        <v>830</v>
      </c>
      <c r="AO174" s="24"/>
      <c r="AP174" s="73"/>
      <c r="AQ174" s="75"/>
      <c r="AR174" s="76"/>
      <c r="AS174" s="77"/>
      <c r="AV174" s="75"/>
      <c r="AW174" s="83"/>
      <c r="AX174" s="84"/>
      <c r="AY174" s="80"/>
      <c r="BB174" s="81"/>
      <c r="BE174" s="24"/>
      <c r="BF174" s="23"/>
    </row>
    <row r="175" spans="1:58" ht="15" customHeight="1">
      <c r="A175" s="23" t="s">
        <v>183</v>
      </c>
      <c r="B175" s="23" t="s">
        <v>872</v>
      </c>
      <c r="C175" s="23" t="s">
        <v>57</v>
      </c>
      <c r="D175" s="23">
        <v>173</v>
      </c>
      <c r="E175" s="23">
        <v>2</v>
      </c>
      <c r="F175" s="23" t="s">
        <v>916</v>
      </c>
      <c r="G175" s="23" t="s">
        <v>831</v>
      </c>
      <c r="J175" s="23" t="s">
        <v>28</v>
      </c>
      <c r="N175" s="73"/>
      <c r="AB175" s="42"/>
      <c r="AE175" s="23"/>
      <c r="AF175" s="23" t="s">
        <v>832</v>
      </c>
      <c r="AO175" s="24"/>
      <c r="AP175" s="73"/>
      <c r="AQ175" s="75"/>
      <c r="AR175" s="76"/>
      <c r="AS175" s="77"/>
      <c r="AV175" s="75"/>
      <c r="AW175" s="83"/>
      <c r="AX175" s="84"/>
      <c r="AY175" s="80"/>
      <c r="BB175" s="81"/>
      <c r="BE175" s="24"/>
      <c r="BF175" s="23"/>
    </row>
    <row r="176" spans="1:58" ht="15" customHeight="1">
      <c r="A176" s="23" t="s">
        <v>183</v>
      </c>
      <c r="B176" s="23" t="s">
        <v>873</v>
      </c>
      <c r="C176" s="23" t="s">
        <v>57</v>
      </c>
      <c r="D176" s="23">
        <v>174</v>
      </c>
      <c r="E176" s="23">
        <v>2</v>
      </c>
      <c r="F176" s="23" t="s">
        <v>917</v>
      </c>
      <c r="G176" s="23" t="s">
        <v>833</v>
      </c>
      <c r="J176" s="23" t="s">
        <v>28</v>
      </c>
      <c r="N176" s="73"/>
      <c r="AB176" s="42"/>
      <c r="AD176" s="23" t="s">
        <v>834</v>
      </c>
      <c r="AE176" s="23"/>
      <c r="AF176" s="23" t="s">
        <v>835</v>
      </c>
      <c r="AO176" s="24"/>
      <c r="AP176" s="73"/>
      <c r="AQ176" s="75"/>
      <c r="AR176" s="76"/>
      <c r="AS176" s="77"/>
      <c r="AV176" s="75"/>
      <c r="AW176" s="83"/>
      <c r="AX176" s="84"/>
      <c r="AY176" s="80"/>
      <c r="BB176" s="81"/>
      <c r="BE176" s="24"/>
      <c r="BF176" s="23"/>
    </row>
    <row r="177" spans="1:59" ht="15" customHeight="1">
      <c r="A177" s="23" t="s">
        <v>183</v>
      </c>
      <c r="B177" s="23" t="s">
        <v>874</v>
      </c>
      <c r="C177" s="23" t="s">
        <v>57</v>
      </c>
      <c r="D177" s="23">
        <v>175</v>
      </c>
      <c r="E177" s="23">
        <v>2</v>
      </c>
      <c r="F177" s="23" t="s">
        <v>918</v>
      </c>
      <c r="G177" s="23" t="s">
        <v>839</v>
      </c>
      <c r="J177" s="23" t="s">
        <v>29</v>
      </c>
      <c r="N177" s="73"/>
      <c r="Q177" s="65">
        <v>3</v>
      </c>
      <c r="R177" s="66">
        <v>3</v>
      </c>
      <c r="T177" s="68">
        <v>4</v>
      </c>
      <c r="V177" s="69">
        <v>1</v>
      </c>
      <c r="W177" s="70">
        <v>2</v>
      </c>
      <c r="AA177" s="72">
        <v>1</v>
      </c>
      <c r="AB177" s="42"/>
      <c r="AD177" s="23" t="s">
        <v>836</v>
      </c>
      <c r="AE177" s="23" t="s">
        <v>837</v>
      </c>
      <c r="AF177" s="23" t="s">
        <v>838</v>
      </c>
      <c r="AO177" s="24"/>
      <c r="AP177" s="73"/>
      <c r="AQ177" s="75"/>
      <c r="AR177" s="76"/>
      <c r="AS177" s="77"/>
      <c r="AV177" s="75"/>
      <c r="AW177" s="83"/>
      <c r="AX177" s="84"/>
      <c r="AY177" s="80"/>
      <c r="BB177" s="81"/>
      <c r="BE177" s="24"/>
      <c r="BF177" s="23"/>
    </row>
    <row r="178" spans="1:59" ht="15" customHeight="1">
      <c r="A178" s="23" t="s">
        <v>183</v>
      </c>
      <c r="B178" s="23" t="s">
        <v>875</v>
      </c>
      <c r="C178" s="23" t="s">
        <v>57</v>
      </c>
      <c r="D178" s="23">
        <v>176</v>
      </c>
      <c r="E178" s="23">
        <v>2</v>
      </c>
      <c r="F178" s="23" t="s">
        <v>918</v>
      </c>
      <c r="G178" s="23" t="s">
        <v>840</v>
      </c>
      <c r="J178" s="23" t="s">
        <v>28</v>
      </c>
      <c r="N178" s="73"/>
      <c r="AB178" s="42"/>
      <c r="AD178" s="23" t="s">
        <v>492</v>
      </c>
      <c r="AE178" s="23"/>
      <c r="AF178" s="23" t="s">
        <v>841</v>
      </c>
      <c r="AO178" s="24"/>
      <c r="AP178" s="73"/>
      <c r="AQ178" s="75"/>
      <c r="AR178" s="76"/>
      <c r="AS178" s="77"/>
      <c r="AV178" s="75"/>
      <c r="AW178" s="83"/>
      <c r="AX178" s="84"/>
      <c r="AY178" s="80"/>
      <c r="BB178" s="81"/>
      <c r="BE178" s="24"/>
      <c r="BF178" s="23"/>
    </row>
    <row r="179" spans="1:59" ht="15" customHeight="1">
      <c r="A179" s="23" t="s">
        <v>183</v>
      </c>
      <c r="B179" s="23" t="s">
        <v>615</v>
      </c>
      <c r="C179" s="23" t="s">
        <v>57</v>
      </c>
      <c r="D179" s="23">
        <v>177</v>
      </c>
      <c r="E179" s="23">
        <v>2</v>
      </c>
      <c r="F179" s="23" t="s">
        <v>919</v>
      </c>
      <c r="G179" s="23" t="s">
        <v>489</v>
      </c>
      <c r="J179" s="23" t="s">
        <v>29</v>
      </c>
      <c r="N179" s="73"/>
      <c r="Q179" s="65">
        <v>4</v>
      </c>
      <c r="R179" s="66">
        <v>3</v>
      </c>
      <c r="T179" s="68">
        <v>4</v>
      </c>
      <c r="V179" s="69">
        <v>1</v>
      </c>
      <c r="W179" s="70">
        <v>1</v>
      </c>
      <c r="AA179" s="72">
        <v>1</v>
      </c>
      <c r="AB179" s="42"/>
      <c r="AD179" s="23" t="s">
        <v>490</v>
      </c>
      <c r="AE179" s="23" t="s">
        <v>842</v>
      </c>
      <c r="AF179" s="23" t="s">
        <v>843</v>
      </c>
      <c r="AO179" s="24"/>
      <c r="AP179" s="73"/>
      <c r="AQ179" s="75"/>
      <c r="AR179" s="76"/>
      <c r="AS179" s="77"/>
      <c r="AV179" s="75"/>
      <c r="AW179" s="83"/>
      <c r="AX179" s="84"/>
      <c r="AY179" s="80"/>
      <c r="BB179" s="81"/>
      <c r="BE179" s="24"/>
      <c r="BF179" s="23"/>
    </row>
    <row r="180" spans="1:59" ht="15" customHeight="1">
      <c r="A180" s="23" t="s">
        <v>183</v>
      </c>
      <c r="B180" s="23" t="s">
        <v>862</v>
      </c>
      <c r="C180" s="23" t="s">
        <v>57</v>
      </c>
      <c r="D180" s="23">
        <v>178</v>
      </c>
      <c r="E180" s="23">
        <v>2</v>
      </c>
      <c r="F180" s="23" t="s">
        <v>919</v>
      </c>
      <c r="G180" s="23" t="s">
        <v>844</v>
      </c>
      <c r="J180" s="23" t="s">
        <v>28</v>
      </c>
      <c r="N180" s="73"/>
      <c r="AB180" s="42"/>
      <c r="AD180" s="23" t="s">
        <v>845</v>
      </c>
      <c r="AE180" s="23" t="s">
        <v>761</v>
      </c>
      <c r="AF180" s="23" t="s">
        <v>846</v>
      </c>
      <c r="AO180" s="24"/>
      <c r="AP180" s="73"/>
      <c r="AQ180" s="75"/>
      <c r="AR180" s="76"/>
      <c r="AS180" s="77"/>
      <c r="AV180" s="75"/>
      <c r="AW180" s="83"/>
      <c r="AX180" s="84"/>
      <c r="AY180" s="80"/>
      <c r="BB180" s="81"/>
      <c r="BE180" s="24"/>
      <c r="BF180" s="23"/>
    </row>
    <row r="181" spans="1:59" ht="15" customHeight="1">
      <c r="A181" s="23" t="s">
        <v>183</v>
      </c>
      <c r="B181" s="23" t="s">
        <v>863</v>
      </c>
      <c r="C181" s="23" t="s">
        <v>57</v>
      </c>
      <c r="D181" s="23">
        <v>179</v>
      </c>
      <c r="E181" s="23">
        <v>2</v>
      </c>
      <c r="F181" s="23" t="s">
        <v>920</v>
      </c>
      <c r="G181" s="23" t="s">
        <v>847</v>
      </c>
      <c r="J181" s="23" t="s">
        <v>29</v>
      </c>
      <c r="N181" s="73"/>
      <c r="O181" s="75"/>
      <c r="P181" s="76"/>
      <c r="Q181" s="77">
        <v>4</v>
      </c>
      <c r="R181" s="66">
        <v>2</v>
      </c>
      <c r="T181" s="68">
        <v>5</v>
      </c>
      <c r="U181" s="75"/>
      <c r="V181" s="83">
        <v>2</v>
      </c>
      <c r="W181" s="84">
        <v>1</v>
      </c>
      <c r="X181" s="80"/>
      <c r="AA181" s="81">
        <v>1</v>
      </c>
      <c r="AB181" s="42"/>
      <c r="AD181" s="23" t="s">
        <v>848</v>
      </c>
      <c r="AE181" s="23" t="s">
        <v>849</v>
      </c>
      <c r="AF181" s="23" t="s">
        <v>850</v>
      </c>
      <c r="AO181" s="24"/>
      <c r="AP181" s="73"/>
      <c r="AQ181" s="75"/>
      <c r="AR181" s="76"/>
      <c r="AS181" s="77"/>
      <c r="AV181" s="75"/>
      <c r="AW181" s="83"/>
      <c r="AX181" s="84"/>
      <c r="AY181" s="80"/>
      <c r="BB181" s="81"/>
      <c r="BE181" s="24"/>
      <c r="BF181" s="23"/>
    </row>
    <row r="182" spans="1:59" ht="15" customHeight="1">
      <c r="A182" s="23" t="s">
        <v>183</v>
      </c>
      <c r="B182" s="23" t="s">
        <v>864</v>
      </c>
      <c r="C182" s="23" t="s">
        <v>57</v>
      </c>
      <c r="D182" s="23">
        <v>180</v>
      </c>
      <c r="E182" s="23">
        <v>2</v>
      </c>
      <c r="F182" s="23" t="s">
        <v>920</v>
      </c>
      <c r="G182" s="23" t="s">
        <v>851</v>
      </c>
      <c r="J182" s="23" t="s">
        <v>29</v>
      </c>
      <c r="N182" s="73"/>
      <c r="O182" s="75"/>
      <c r="P182" s="76"/>
      <c r="Q182" s="77">
        <v>3</v>
      </c>
      <c r="R182" s="66">
        <v>2</v>
      </c>
      <c r="T182" s="68">
        <v>3</v>
      </c>
      <c r="U182" s="75"/>
      <c r="V182" s="83">
        <v>1</v>
      </c>
      <c r="W182" s="84">
        <v>0</v>
      </c>
      <c r="X182" s="80"/>
      <c r="AA182" s="81"/>
      <c r="AB182" s="42"/>
      <c r="AD182" s="23" t="s">
        <v>852</v>
      </c>
      <c r="AE182" s="23" t="s">
        <v>853</v>
      </c>
      <c r="AF182" s="23" t="s">
        <v>854</v>
      </c>
      <c r="AO182" s="24"/>
      <c r="AP182" s="73"/>
      <c r="AQ182" s="75"/>
      <c r="AR182" s="76"/>
      <c r="AS182" s="77"/>
      <c r="AV182" s="75"/>
      <c r="AW182" s="83"/>
      <c r="AX182" s="84"/>
      <c r="AY182" s="80"/>
      <c r="BB182" s="81"/>
      <c r="BE182" s="24"/>
      <c r="BF182" s="23"/>
    </row>
    <row r="183" spans="1:59" ht="15" customHeight="1">
      <c r="A183" s="23" t="s">
        <v>183</v>
      </c>
      <c r="B183" s="23" t="s">
        <v>865</v>
      </c>
      <c r="C183" s="23" t="s">
        <v>57</v>
      </c>
      <c r="D183" s="23">
        <v>181</v>
      </c>
      <c r="E183" s="23">
        <v>2</v>
      </c>
      <c r="F183" s="23" t="s">
        <v>921</v>
      </c>
      <c r="G183" s="23" t="s">
        <v>855</v>
      </c>
      <c r="J183" s="23" t="s">
        <v>29</v>
      </c>
      <c r="N183" s="73"/>
      <c r="O183" s="75"/>
      <c r="P183" s="76"/>
      <c r="Q183" s="77">
        <v>3</v>
      </c>
      <c r="R183" s="66">
        <v>3</v>
      </c>
      <c r="T183" s="68">
        <v>3</v>
      </c>
      <c r="U183" s="75"/>
      <c r="V183" s="83">
        <v>1</v>
      </c>
      <c r="W183" s="84">
        <v>1</v>
      </c>
      <c r="X183" s="80"/>
      <c r="AA183" s="81"/>
      <c r="AB183" s="42"/>
      <c r="AD183" s="23" t="s">
        <v>856</v>
      </c>
      <c r="AE183" s="23" t="s">
        <v>857</v>
      </c>
      <c r="AF183" s="23" t="s">
        <v>858</v>
      </c>
      <c r="AO183" s="24"/>
      <c r="AP183" s="73"/>
      <c r="AQ183" s="75"/>
      <c r="AR183" s="76"/>
      <c r="AS183" s="77"/>
      <c r="AV183" s="75"/>
      <c r="AW183" s="83"/>
      <c r="AX183" s="84"/>
      <c r="AY183" s="80"/>
      <c r="BB183" s="81"/>
      <c r="BE183" s="24"/>
      <c r="BF183" s="23"/>
    </row>
    <row r="184" spans="1:59" ht="15" customHeight="1">
      <c r="A184" s="23" t="s">
        <v>183</v>
      </c>
      <c r="B184" s="23" t="s">
        <v>866</v>
      </c>
      <c r="C184" s="23" t="s">
        <v>57</v>
      </c>
      <c r="D184" s="23">
        <v>182</v>
      </c>
      <c r="E184" s="23">
        <v>2</v>
      </c>
      <c r="F184" s="23" t="s">
        <v>921</v>
      </c>
      <c r="G184" s="23" t="s">
        <v>859</v>
      </c>
      <c r="J184" s="23" t="s">
        <v>28</v>
      </c>
      <c r="N184" s="73"/>
      <c r="O184" s="75"/>
      <c r="P184" s="76"/>
      <c r="Q184" s="77"/>
      <c r="U184" s="75"/>
      <c r="V184" s="83"/>
      <c r="W184" s="84"/>
      <c r="X184" s="80"/>
      <c r="AA184" s="81"/>
      <c r="AB184" s="42"/>
      <c r="AD184" s="23" t="s">
        <v>492</v>
      </c>
      <c r="AE184" s="23"/>
      <c r="AF184" s="23" t="s">
        <v>860</v>
      </c>
      <c r="AP184" s="73"/>
      <c r="AQ184" s="75"/>
      <c r="AR184" s="76"/>
      <c r="AS184" s="77"/>
      <c r="AV184" s="75"/>
      <c r="AW184" s="83"/>
      <c r="AX184" s="84"/>
      <c r="AY184" s="80"/>
      <c r="BB184" s="81"/>
    </row>
    <row r="185" spans="1:59" ht="15" customHeight="1">
      <c r="A185" s="28" t="s">
        <v>183</v>
      </c>
      <c r="B185" s="28" t="s">
        <v>867</v>
      </c>
      <c r="C185" s="28" t="s">
        <v>57</v>
      </c>
      <c r="D185" s="31">
        <v>995</v>
      </c>
      <c r="E185" s="28">
        <v>1</v>
      </c>
      <c r="F185" s="28"/>
      <c r="G185" s="28" t="s">
        <v>184</v>
      </c>
      <c r="J185" s="23" t="s">
        <v>861</v>
      </c>
      <c r="K185" s="23" t="s">
        <v>198</v>
      </c>
      <c r="N185" s="73"/>
      <c r="O185" s="75"/>
      <c r="P185" s="76"/>
      <c r="Q185" s="77"/>
      <c r="U185" s="75"/>
      <c r="V185" s="83"/>
      <c r="W185" s="84"/>
      <c r="X185" s="80"/>
      <c r="AA185" s="81"/>
      <c r="AB185" s="42"/>
      <c r="AE185" s="23"/>
      <c r="AI185" s="28" t="s">
        <v>184</v>
      </c>
      <c r="AL185" s="23" t="s">
        <v>861</v>
      </c>
      <c r="AP185" s="73"/>
      <c r="AQ185" s="75"/>
      <c r="AR185" s="76"/>
      <c r="AS185" s="77"/>
      <c r="AV185" s="75"/>
      <c r="AW185" s="83"/>
      <c r="AX185" s="84"/>
      <c r="AY185" s="80"/>
      <c r="BB185" s="81"/>
    </row>
    <row r="186" spans="1:59" ht="15" customHeight="1">
      <c r="A186" s="23" t="s">
        <v>183</v>
      </c>
      <c r="B186" s="23" t="s">
        <v>868</v>
      </c>
      <c r="C186" s="23" t="s">
        <v>57</v>
      </c>
      <c r="D186" s="24">
        <v>996</v>
      </c>
      <c r="E186" s="23">
        <v>1</v>
      </c>
      <c r="G186" s="23" t="s">
        <v>240</v>
      </c>
      <c r="J186" s="23" t="s">
        <v>861</v>
      </c>
      <c r="K186" s="23" t="s">
        <v>199</v>
      </c>
      <c r="N186" s="73"/>
      <c r="O186" s="75"/>
      <c r="P186" s="76"/>
      <c r="Q186" s="77"/>
      <c r="U186" s="75"/>
      <c r="V186" s="83"/>
      <c r="W186" s="84"/>
      <c r="X186" s="80"/>
      <c r="AA186" s="81"/>
      <c r="AB186" s="42"/>
      <c r="AE186" s="23"/>
      <c r="AI186" s="23" t="s">
        <v>240</v>
      </c>
      <c r="AL186" s="23" t="s">
        <v>861</v>
      </c>
      <c r="AP186" s="73"/>
      <c r="AQ186" s="75"/>
      <c r="AR186" s="76"/>
      <c r="AS186" s="77"/>
      <c r="AV186" s="75"/>
      <c r="AW186" s="83"/>
      <c r="AX186" s="84"/>
      <c r="AY186" s="80"/>
      <c r="BB186" s="81"/>
    </row>
    <row r="187" spans="1:59" ht="15" customHeight="1">
      <c r="A187" s="23" t="s">
        <v>183</v>
      </c>
      <c r="B187" s="23" t="s">
        <v>869</v>
      </c>
      <c r="C187" s="23" t="s">
        <v>57</v>
      </c>
      <c r="D187" s="24">
        <v>997</v>
      </c>
      <c r="E187" s="23">
        <v>1</v>
      </c>
      <c r="G187" s="23" t="s">
        <v>244</v>
      </c>
      <c r="J187" s="23" t="s">
        <v>861</v>
      </c>
      <c r="K187" s="23" t="s">
        <v>201</v>
      </c>
      <c r="N187" s="73"/>
      <c r="O187" s="75"/>
      <c r="P187" s="76"/>
      <c r="Q187" s="77"/>
      <c r="U187" s="75"/>
      <c r="V187" s="83"/>
      <c r="W187" s="84"/>
      <c r="X187" s="80"/>
      <c r="AA187" s="81"/>
      <c r="AB187" s="42"/>
      <c r="AE187" s="23"/>
      <c r="AI187" s="23" t="s">
        <v>244</v>
      </c>
      <c r="AL187" s="23" t="s">
        <v>861</v>
      </c>
      <c r="AP187" s="73"/>
      <c r="AQ187" s="75"/>
      <c r="AR187" s="76"/>
      <c r="AS187" s="77"/>
      <c r="AV187" s="75"/>
      <c r="AW187" s="83"/>
      <c r="AX187" s="84"/>
      <c r="AY187" s="80"/>
      <c r="BB187" s="81"/>
    </row>
    <row r="188" spans="1:59" ht="15" customHeight="1">
      <c r="A188" s="23" t="s">
        <v>183</v>
      </c>
      <c r="B188" s="23" t="s">
        <v>870</v>
      </c>
      <c r="C188" s="23" t="s">
        <v>57</v>
      </c>
      <c r="D188" s="24">
        <v>998</v>
      </c>
      <c r="E188" s="23">
        <v>1</v>
      </c>
      <c r="G188" s="23" t="s">
        <v>248</v>
      </c>
      <c r="J188" s="23" t="s">
        <v>861</v>
      </c>
      <c r="K188" s="23" t="s">
        <v>200</v>
      </c>
      <c r="N188" s="73"/>
      <c r="O188" s="75"/>
      <c r="P188" s="76"/>
      <c r="Q188" s="77"/>
      <c r="U188" s="75"/>
      <c r="V188" s="83"/>
      <c r="W188" s="84"/>
      <c r="X188" s="80"/>
      <c r="AA188" s="81"/>
      <c r="AB188" s="42"/>
      <c r="AE188" s="23"/>
      <c r="AI188" s="23" t="s">
        <v>248</v>
      </c>
      <c r="AL188" s="23" t="s">
        <v>861</v>
      </c>
      <c r="AP188" s="73"/>
      <c r="AQ188" s="75"/>
      <c r="AR188" s="76"/>
      <c r="AS188" s="77"/>
      <c r="AV188" s="75"/>
      <c r="AW188" s="83"/>
      <c r="AX188" s="84"/>
      <c r="AY188" s="80"/>
      <c r="BB188" s="81"/>
    </row>
    <row r="189" spans="1:59" s="32" customFormat="1" ht="15" customHeight="1">
      <c r="A189" s="32" t="s">
        <v>183</v>
      </c>
      <c r="B189" s="32" t="s">
        <v>871</v>
      </c>
      <c r="C189" s="32" t="s">
        <v>57</v>
      </c>
      <c r="D189" s="32">
        <v>999</v>
      </c>
      <c r="E189" s="32">
        <v>1</v>
      </c>
      <c r="G189" s="32" t="s">
        <v>252</v>
      </c>
      <c r="J189" s="32" t="s">
        <v>861</v>
      </c>
      <c r="K189" s="32" t="s">
        <v>202</v>
      </c>
      <c r="N189" s="85"/>
      <c r="O189" s="86"/>
      <c r="P189" s="87"/>
      <c r="Q189" s="88"/>
      <c r="R189" s="89"/>
      <c r="S189" s="113"/>
      <c r="T189" s="90"/>
      <c r="U189" s="86"/>
      <c r="V189" s="91"/>
      <c r="W189" s="92"/>
      <c r="X189" s="93"/>
      <c r="Y189" s="89"/>
      <c r="Z189" s="90"/>
      <c r="AA189" s="94"/>
      <c r="AI189" s="32" t="s">
        <v>252</v>
      </c>
      <c r="AL189" s="32" t="s">
        <v>861</v>
      </c>
      <c r="AP189" s="85"/>
      <c r="AQ189" s="86"/>
      <c r="AR189" s="87"/>
      <c r="AS189" s="88"/>
      <c r="AT189" s="89"/>
      <c r="AU189" s="90"/>
      <c r="AV189" s="86"/>
      <c r="AW189" s="91"/>
      <c r="AX189" s="92"/>
      <c r="AY189" s="93"/>
      <c r="AZ189" s="89"/>
      <c r="BA189" s="90"/>
      <c r="BB189" s="94"/>
      <c r="BF189" s="25"/>
    </row>
    <row r="190" spans="1:59" ht="15" customHeight="1">
      <c r="A190" s="23" t="s">
        <v>933</v>
      </c>
      <c r="B190" s="23" t="s">
        <v>935</v>
      </c>
      <c r="C190" s="23" t="s">
        <v>971</v>
      </c>
      <c r="D190" s="23">
        <v>1</v>
      </c>
      <c r="E190" s="23">
        <v>1</v>
      </c>
      <c r="F190" s="23" t="s">
        <v>1058</v>
      </c>
      <c r="G190" s="23" t="s">
        <v>934</v>
      </c>
      <c r="H190" s="23" t="s">
        <v>709</v>
      </c>
      <c r="J190" s="23" t="s">
        <v>618</v>
      </c>
      <c r="N190" s="73"/>
      <c r="O190" s="95"/>
      <c r="P190" s="96"/>
      <c r="Q190" s="97"/>
      <c r="R190" s="98"/>
      <c r="T190" s="99"/>
      <c r="U190" s="95"/>
      <c r="V190" s="100"/>
      <c r="W190" s="101"/>
      <c r="X190" s="102"/>
      <c r="Y190" s="98"/>
      <c r="Z190" s="99"/>
      <c r="AA190" s="103"/>
      <c r="AE190" s="23"/>
      <c r="AF190" s="23" t="s">
        <v>972</v>
      </c>
      <c r="AI190" s="23" t="s">
        <v>934</v>
      </c>
      <c r="AJ190" s="23" t="s">
        <v>710</v>
      </c>
      <c r="AL190" s="23" t="s">
        <v>618</v>
      </c>
      <c r="AP190" s="73"/>
      <c r="AQ190" s="95"/>
      <c r="AR190" s="96"/>
      <c r="AS190" s="97"/>
      <c r="AT190" s="98"/>
      <c r="AU190" s="99"/>
      <c r="AV190" s="95"/>
      <c r="AW190" s="100"/>
      <c r="AX190" s="101"/>
      <c r="AY190" s="102"/>
      <c r="AZ190" s="98"/>
      <c r="BA190" s="99"/>
      <c r="BB190" s="103"/>
      <c r="BG190" s="23" t="s">
        <v>973</v>
      </c>
    </row>
    <row r="191" spans="1:59" ht="15" customHeight="1">
      <c r="A191" s="23" t="s">
        <v>933</v>
      </c>
      <c r="B191" s="23" t="s">
        <v>936</v>
      </c>
      <c r="C191" s="23" t="s">
        <v>971</v>
      </c>
      <c r="D191" s="23">
        <v>2</v>
      </c>
      <c r="E191" s="23">
        <v>1</v>
      </c>
      <c r="F191" s="23" t="s">
        <v>1058</v>
      </c>
      <c r="G191" s="23" t="s">
        <v>974</v>
      </c>
      <c r="J191" s="23" t="s">
        <v>619</v>
      </c>
      <c r="L191" s="23">
        <v>1</v>
      </c>
      <c r="N191" s="73"/>
      <c r="O191" s="75"/>
      <c r="P191" s="76"/>
      <c r="Q191" s="77"/>
      <c r="U191" s="75"/>
      <c r="V191" s="83"/>
      <c r="W191" s="84"/>
      <c r="X191" s="80"/>
      <c r="Z191" s="68">
        <v>5</v>
      </c>
      <c r="AA191" s="81"/>
      <c r="AE191" s="23"/>
      <c r="AI191" s="23" t="s">
        <v>975</v>
      </c>
      <c r="AL191" s="23" t="s">
        <v>619</v>
      </c>
      <c r="AN191" s="23">
        <v>1</v>
      </c>
      <c r="AP191" s="73"/>
      <c r="AQ191" s="75"/>
      <c r="AR191" s="76"/>
      <c r="AS191" s="77"/>
      <c r="AV191" s="75"/>
      <c r="AW191" s="83"/>
      <c r="AX191" s="84"/>
      <c r="AY191" s="80"/>
      <c r="BB191" s="81"/>
      <c r="BG191" s="23" t="s">
        <v>976</v>
      </c>
    </row>
    <row r="192" spans="1:59" ht="15" customHeight="1">
      <c r="A192" s="23" t="s">
        <v>933</v>
      </c>
      <c r="B192" s="23" t="s">
        <v>937</v>
      </c>
      <c r="C192" s="23" t="s">
        <v>971</v>
      </c>
      <c r="D192" s="23">
        <v>3</v>
      </c>
      <c r="E192" s="23">
        <v>1</v>
      </c>
      <c r="F192" s="23" t="s">
        <v>1058</v>
      </c>
      <c r="G192" s="23" t="s">
        <v>977</v>
      </c>
      <c r="J192" s="23" t="s">
        <v>619</v>
      </c>
      <c r="L192" s="23">
        <v>2</v>
      </c>
      <c r="N192" s="73"/>
      <c r="O192" s="75"/>
      <c r="P192" s="76"/>
      <c r="Q192" s="77"/>
      <c r="U192" s="75"/>
      <c r="V192" s="83"/>
      <c r="W192" s="84"/>
      <c r="X192" s="80"/>
      <c r="Z192" s="68">
        <v>6</v>
      </c>
      <c r="AA192" s="81"/>
      <c r="AE192" s="23"/>
      <c r="AI192" s="23" t="s">
        <v>978</v>
      </c>
      <c r="AL192" s="23" t="s">
        <v>619</v>
      </c>
      <c r="AN192" s="23">
        <v>2</v>
      </c>
      <c r="AP192" s="73"/>
      <c r="AQ192" s="75"/>
      <c r="AR192" s="76"/>
      <c r="AS192" s="77"/>
      <c r="AV192" s="75"/>
      <c r="AW192" s="83"/>
      <c r="AX192" s="84"/>
      <c r="AY192" s="80"/>
      <c r="BB192" s="81"/>
      <c r="BG192" s="23" t="s">
        <v>979</v>
      </c>
    </row>
    <row r="193" spans="1:59" ht="15" customHeight="1">
      <c r="A193" s="23" t="s">
        <v>933</v>
      </c>
      <c r="B193" s="23" t="s">
        <v>938</v>
      </c>
      <c r="C193" s="23" t="s">
        <v>971</v>
      </c>
      <c r="D193" s="23">
        <v>4</v>
      </c>
      <c r="E193" s="23">
        <v>1</v>
      </c>
      <c r="F193" s="23" t="s">
        <v>1058</v>
      </c>
      <c r="G193" s="23" t="s">
        <v>980</v>
      </c>
      <c r="J193" s="23" t="s">
        <v>619</v>
      </c>
      <c r="L193" s="23">
        <v>3</v>
      </c>
      <c r="N193" s="73"/>
      <c r="O193" s="75"/>
      <c r="P193" s="76"/>
      <c r="Q193" s="77"/>
      <c r="U193" s="75"/>
      <c r="V193" s="83"/>
      <c r="W193" s="84"/>
      <c r="X193" s="80"/>
      <c r="Z193" s="68">
        <v>8</v>
      </c>
      <c r="AA193" s="81"/>
      <c r="AE193" s="23"/>
      <c r="AF193" s="23" t="s">
        <v>984</v>
      </c>
      <c r="AI193" s="23" t="s">
        <v>981</v>
      </c>
      <c r="AL193" s="23" t="s">
        <v>619</v>
      </c>
      <c r="AN193" s="23">
        <v>3</v>
      </c>
      <c r="AP193" s="73"/>
      <c r="AQ193" s="75"/>
      <c r="AR193" s="76"/>
      <c r="AS193" s="77"/>
      <c r="AV193" s="75"/>
      <c r="AW193" s="83"/>
      <c r="AX193" s="84"/>
      <c r="AY193" s="80"/>
      <c r="BB193" s="81"/>
      <c r="BG193" s="23" t="s">
        <v>983</v>
      </c>
    </row>
    <row r="194" spans="1:59" ht="15" customHeight="1">
      <c r="A194" s="23" t="s">
        <v>933</v>
      </c>
      <c r="B194" s="23" t="s">
        <v>939</v>
      </c>
      <c r="C194" s="23" t="s">
        <v>971</v>
      </c>
      <c r="D194" s="23">
        <v>5</v>
      </c>
      <c r="E194" s="23">
        <v>1</v>
      </c>
      <c r="F194" s="23" t="s">
        <v>1058</v>
      </c>
      <c r="G194" s="23" t="s">
        <v>982</v>
      </c>
      <c r="J194" s="23" t="s">
        <v>621</v>
      </c>
      <c r="L194" s="23">
        <v>1</v>
      </c>
      <c r="N194" s="73"/>
      <c r="O194" s="75"/>
      <c r="P194" s="76"/>
      <c r="Q194" s="77"/>
      <c r="U194" s="75"/>
      <c r="V194" s="78"/>
      <c r="W194" s="79"/>
      <c r="X194" s="80"/>
      <c r="Y194" s="66" t="s">
        <v>1071</v>
      </c>
      <c r="AA194" s="81"/>
      <c r="AE194" s="23"/>
      <c r="AF194" s="23" t="s">
        <v>985</v>
      </c>
      <c r="AI194" s="23" t="s">
        <v>1075</v>
      </c>
      <c r="AL194" s="23" t="s">
        <v>621</v>
      </c>
      <c r="AN194" s="23">
        <v>1</v>
      </c>
      <c r="AP194" s="73"/>
      <c r="AQ194" s="75"/>
      <c r="AR194" s="76"/>
      <c r="AS194" s="77"/>
      <c r="AV194" s="75"/>
      <c r="AW194" s="83"/>
      <c r="AX194" s="84"/>
      <c r="AY194" s="80"/>
      <c r="BB194" s="81"/>
      <c r="BG194" s="23" t="s">
        <v>986</v>
      </c>
    </row>
    <row r="195" spans="1:59" ht="15" customHeight="1">
      <c r="A195" s="23" t="s">
        <v>933</v>
      </c>
      <c r="B195" s="23" t="s">
        <v>940</v>
      </c>
      <c r="C195" s="23" t="s">
        <v>971</v>
      </c>
      <c r="D195" s="23">
        <v>6</v>
      </c>
      <c r="E195" s="23">
        <v>1</v>
      </c>
      <c r="F195" s="23" t="s">
        <v>1058</v>
      </c>
      <c r="G195" s="23" t="s">
        <v>987</v>
      </c>
      <c r="J195" s="23" t="s">
        <v>621</v>
      </c>
      <c r="L195" s="23">
        <v>2</v>
      </c>
      <c r="N195" s="73"/>
      <c r="O195" s="75"/>
      <c r="P195" s="76"/>
      <c r="Q195" s="77"/>
      <c r="U195" s="75"/>
      <c r="V195" s="78"/>
      <c r="W195" s="79"/>
      <c r="X195" s="80"/>
      <c r="Y195" s="66" t="s">
        <v>38</v>
      </c>
      <c r="AA195" s="81"/>
      <c r="AE195" s="23"/>
      <c r="AF195" s="23" t="s">
        <v>988</v>
      </c>
      <c r="AI195" s="42" t="s">
        <v>1076</v>
      </c>
      <c r="AL195" s="23" t="s">
        <v>621</v>
      </c>
      <c r="AN195" s="23">
        <v>2</v>
      </c>
      <c r="AP195" s="73"/>
      <c r="AQ195" s="75"/>
      <c r="AR195" s="76"/>
      <c r="AS195" s="77"/>
      <c r="AV195" s="75"/>
      <c r="AW195" s="83"/>
      <c r="AX195" s="84"/>
      <c r="AY195" s="80"/>
      <c r="BB195" s="81"/>
      <c r="BG195" s="23" t="s">
        <v>1072</v>
      </c>
    </row>
    <row r="196" spans="1:59" ht="15" customHeight="1">
      <c r="A196" s="23" t="s">
        <v>933</v>
      </c>
      <c r="B196" s="23" t="s">
        <v>941</v>
      </c>
      <c r="C196" s="23" t="s">
        <v>971</v>
      </c>
      <c r="D196" s="23">
        <v>7</v>
      </c>
      <c r="E196" s="23">
        <v>1</v>
      </c>
      <c r="F196" s="23" t="s">
        <v>1058</v>
      </c>
      <c r="G196" s="43" t="s">
        <v>989</v>
      </c>
      <c r="J196" s="23" t="s">
        <v>31</v>
      </c>
      <c r="N196" s="73"/>
      <c r="O196" s="75"/>
      <c r="P196" s="76"/>
      <c r="Q196" s="77"/>
      <c r="U196" s="75"/>
      <c r="V196" s="78"/>
      <c r="W196" s="79"/>
      <c r="X196" s="80"/>
      <c r="AA196" s="81"/>
      <c r="AD196" s="43" t="s">
        <v>990</v>
      </c>
      <c r="AE196" s="23"/>
      <c r="AI196" s="43" t="s">
        <v>989</v>
      </c>
      <c r="AL196" s="23" t="s">
        <v>31</v>
      </c>
      <c r="AP196" s="73"/>
      <c r="AQ196" s="75"/>
      <c r="AR196" s="76"/>
      <c r="AS196" s="77"/>
      <c r="AV196" s="75"/>
      <c r="AW196" s="83"/>
      <c r="AX196" s="84"/>
      <c r="AY196" s="80">
        <v>1</v>
      </c>
      <c r="AZ196" s="66">
        <v>0</v>
      </c>
      <c r="BB196" s="81"/>
      <c r="BE196" s="43" t="s">
        <v>990</v>
      </c>
      <c r="BG196" s="23" t="s">
        <v>991</v>
      </c>
    </row>
    <row r="197" spans="1:59" ht="15" customHeight="1">
      <c r="A197" s="23" t="s">
        <v>933</v>
      </c>
      <c r="B197" s="23" t="s">
        <v>942</v>
      </c>
      <c r="C197" s="23" t="s">
        <v>971</v>
      </c>
      <c r="D197" s="23">
        <v>8</v>
      </c>
      <c r="E197" s="23">
        <v>1</v>
      </c>
      <c r="F197" s="23" t="s">
        <v>1058</v>
      </c>
      <c r="G197" s="43" t="s">
        <v>992</v>
      </c>
      <c r="J197" s="23" t="s">
        <v>31</v>
      </c>
      <c r="N197" s="73"/>
      <c r="O197" s="75"/>
      <c r="P197" s="76"/>
      <c r="Q197" s="77"/>
      <c r="U197" s="75"/>
      <c r="V197" s="78"/>
      <c r="W197" s="79"/>
      <c r="X197" s="80"/>
      <c r="AA197" s="81"/>
      <c r="AD197" s="43" t="s">
        <v>992</v>
      </c>
      <c r="AE197" s="23"/>
      <c r="AI197" s="43" t="s">
        <v>992</v>
      </c>
      <c r="AJ197" s="43" t="s">
        <v>993</v>
      </c>
      <c r="AL197" s="23" t="s">
        <v>31</v>
      </c>
      <c r="AP197" s="73"/>
      <c r="AQ197" s="75"/>
      <c r="AR197" s="76"/>
      <c r="AS197" s="77"/>
      <c r="AV197" s="75"/>
      <c r="AW197" s="83"/>
      <c r="AX197" s="84"/>
      <c r="AY197" s="80">
        <v>1</v>
      </c>
      <c r="AZ197" s="66">
        <v>0</v>
      </c>
      <c r="BB197" s="81"/>
      <c r="BE197" s="43" t="s">
        <v>992</v>
      </c>
      <c r="BG197" s="23" t="s">
        <v>995</v>
      </c>
    </row>
    <row r="198" spans="1:59" ht="15" customHeight="1">
      <c r="A198" s="23" t="s">
        <v>933</v>
      </c>
      <c r="B198" s="23" t="s">
        <v>943</v>
      </c>
      <c r="C198" s="23" t="s">
        <v>971</v>
      </c>
      <c r="D198" s="23">
        <v>9</v>
      </c>
      <c r="E198" s="23">
        <v>1</v>
      </c>
      <c r="F198" s="23" t="s">
        <v>1058</v>
      </c>
      <c r="G198" s="43" t="s">
        <v>992</v>
      </c>
      <c r="J198" s="23" t="s">
        <v>31</v>
      </c>
      <c r="N198" s="73"/>
      <c r="O198" s="75"/>
      <c r="P198" s="76"/>
      <c r="Q198" s="77"/>
      <c r="U198" s="75"/>
      <c r="V198" s="78"/>
      <c r="W198" s="79"/>
      <c r="X198" s="80"/>
      <c r="AA198" s="81"/>
      <c r="AD198" s="43" t="s">
        <v>992</v>
      </c>
      <c r="AE198" s="23"/>
      <c r="AI198" s="43" t="s">
        <v>992</v>
      </c>
      <c r="AJ198" s="43" t="s">
        <v>994</v>
      </c>
      <c r="AL198" s="23" t="s">
        <v>31</v>
      </c>
      <c r="AP198" s="73"/>
      <c r="AQ198" s="75"/>
      <c r="AR198" s="76"/>
      <c r="AS198" s="77"/>
      <c r="AV198" s="75"/>
      <c r="AW198" s="83"/>
      <c r="AX198" s="84"/>
      <c r="AY198" s="80">
        <v>3</v>
      </c>
      <c r="AZ198" s="66" t="s">
        <v>1073</v>
      </c>
      <c r="BB198" s="81"/>
      <c r="BE198" s="43" t="s">
        <v>992</v>
      </c>
      <c r="BG198" s="23" t="s">
        <v>996</v>
      </c>
    </row>
    <row r="199" spans="1:59" ht="15" customHeight="1">
      <c r="A199" s="23" t="s">
        <v>933</v>
      </c>
      <c r="B199" s="23" t="s">
        <v>944</v>
      </c>
      <c r="C199" s="23" t="s">
        <v>971</v>
      </c>
      <c r="D199" s="23">
        <v>10</v>
      </c>
      <c r="E199" s="23">
        <v>1</v>
      </c>
      <c r="F199" s="23" t="s">
        <v>1058</v>
      </c>
      <c r="G199" s="23" t="s">
        <v>997</v>
      </c>
      <c r="J199" s="23" t="s">
        <v>31</v>
      </c>
      <c r="N199" s="73"/>
      <c r="O199" s="75"/>
      <c r="P199" s="76"/>
      <c r="Q199" s="77"/>
      <c r="U199" s="75"/>
      <c r="V199" s="78"/>
      <c r="W199" s="79"/>
      <c r="X199" s="80"/>
      <c r="AA199" s="81"/>
      <c r="AD199" s="43" t="s">
        <v>998</v>
      </c>
      <c r="AE199" s="23"/>
      <c r="AI199" s="23" t="s">
        <v>997</v>
      </c>
      <c r="AL199" s="23" t="s">
        <v>31</v>
      </c>
      <c r="AP199" s="73"/>
      <c r="AQ199" s="75"/>
      <c r="AR199" s="76"/>
      <c r="AS199" s="77"/>
      <c r="AV199" s="75"/>
      <c r="AW199" s="83"/>
      <c r="AX199" s="84"/>
      <c r="AY199" s="80">
        <v>1</v>
      </c>
      <c r="AZ199" s="66">
        <v>0</v>
      </c>
      <c r="BB199" s="81"/>
      <c r="BE199" s="43" t="s">
        <v>998</v>
      </c>
      <c r="BG199" s="23" t="s">
        <v>999</v>
      </c>
    </row>
    <row r="200" spans="1:59" ht="15" customHeight="1">
      <c r="A200" s="23" t="s">
        <v>933</v>
      </c>
      <c r="B200" s="23" t="s">
        <v>945</v>
      </c>
      <c r="C200" s="23" t="s">
        <v>971</v>
      </c>
      <c r="D200" s="23">
        <v>11</v>
      </c>
      <c r="E200" s="23">
        <v>1</v>
      </c>
      <c r="F200" s="23" t="s">
        <v>1058</v>
      </c>
      <c r="G200" s="23" t="s">
        <v>1000</v>
      </c>
      <c r="J200" s="23" t="s">
        <v>31</v>
      </c>
      <c r="N200" s="73"/>
      <c r="O200" s="75"/>
      <c r="P200" s="76"/>
      <c r="Q200" s="77"/>
      <c r="U200" s="75"/>
      <c r="V200" s="78"/>
      <c r="W200" s="79"/>
      <c r="X200" s="80"/>
      <c r="AA200" s="81"/>
      <c r="AD200" s="23" t="s">
        <v>1000</v>
      </c>
      <c r="AE200" s="23"/>
      <c r="AI200" s="23" t="s">
        <v>1000</v>
      </c>
      <c r="AJ200" s="23" t="s">
        <v>1001</v>
      </c>
      <c r="AL200" s="23" t="s">
        <v>31</v>
      </c>
      <c r="AP200" s="73"/>
      <c r="AQ200" s="75"/>
      <c r="AR200" s="76"/>
      <c r="AS200" s="77"/>
      <c r="AV200" s="75"/>
      <c r="AW200" s="83"/>
      <c r="AX200" s="84"/>
      <c r="AY200" s="80">
        <v>3</v>
      </c>
      <c r="AZ200" s="66" t="s">
        <v>1073</v>
      </c>
      <c r="BB200" s="81">
        <v>1</v>
      </c>
      <c r="BE200" s="23" t="s">
        <v>1000</v>
      </c>
      <c r="BG200" s="23" t="s">
        <v>1002</v>
      </c>
    </row>
    <row r="201" spans="1:59" ht="15" customHeight="1">
      <c r="A201" s="23" t="s">
        <v>933</v>
      </c>
      <c r="B201" s="23" t="s">
        <v>946</v>
      </c>
      <c r="C201" s="23" t="s">
        <v>971</v>
      </c>
      <c r="D201" s="23">
        <v>12</v>
      </c>
      <c r="E201" s="23">
        <v>1</v>
      </c>
      <c r="F201" s="23" t="s">
        <v>1058</v>
      </c>
      <c r="G201" s="23" t="s">
        <v>1000</v>
      </c>
      <c r="J201" s="23" t="s">
        <v>31</v>
      </c>
      <c r="N201" s="73"/>
      <c r="O201" s="75"/>
      <c r="P201" s="76"/>
      <c r="Q201" s="77"/>
      <c r="U201" s="75"/>
      <c r="V201" s="78"/>
      <c r="W201" s="79"/>
      <c r="X201" s="80"/>
      <c r="AA201" s="81"/>
      <c r="AD201" s="23" t="s">
        <v>1000</v>
      </c>
      <c r="AE201" s="23"/>
      <c r="AI201" s="23" t="s">
        <v>1000</v>
      </c>
      <c r="AJ201" s="23" t="s">
        <v>1003</v>
      </c>
      <c r="AL201" s="23" t="s">
        <v>31</v>
      </c>
      <c r="AP201" s="73"/>
      <c r="AQ201" s="75"/>
      <c r="AR201" s="76"/>
      <c r="AS201" s="77"/>
      <c r="AV201" s="75"/>
      <c r="AW201" s="83"/>
      <c r="AX201" s="84"/>
      <c r="AY201" s="80">
        <v>4</v>
      </c>
      <c r="AZ201" s="66">
        <v>0</v>
      </c>
      <c r="BB201" s="81"/>
      <c r="BE201" s="23" t="s">
        <v>1000</v>
      </c>
      <c r="BG201" s="23" t="s">
        <v>1004</v>
      </c>
    </row>
    <row r="202" spans="1:59" ht="15" customHeight="1">
      <c r="A202" s="23" t="s">
        <v>933</v>
      </c>
      <c r="B202" s="23" t="s">
        <v>947</v>
      </c>
      <c r="C202" s="23" t="s">
        <v>971</v>
      </c>
      <c r="D202" s="23">
        <v>13</v>
      </c>
      <c r="E202" s="23">
        <v>1</v>
      </c>
      <c r="F202" s="23" t="s">
        <v>1058</v>
      </c>
      <c r="G202" s="43" t="s">
        <v>1005</v>
      </c>
      <c r="J202" s="23" t="s">
        <v>31</v>
      </c>
      <c r="N202" s="73"/>
      <c r="O202" s="75"/>
      <c r="P202" s="76"/>
      <c r="Q202" s="77"/>
      <c r="U202" s="75"/>
      <c r="V202" s="78"/>
      <c r="W202" s="79"/>
      <c r="X202" s="80"/>
      <c r="AA202" s="81"/>
      <c r="AD202" s="43" t="s">
        <v>1006</v>
      </c>
      <c r="AE202" s="23"/>
      <c r="AI202" s="43" t="s">
        <v>1005</v>
      </c>
      <c r="AL202" s="23" t="s">
        <v>31</v>
      </c>
      <c r="AP202" s="73"/>
      <c r="AQ202" s="75"/>
      <c r="AR202" s="76"/>
      <c r="AS202" s="77"/>
      <c r="AV202" s="75"/>
      <c r="AW202" s="83"/>
      <c r="AX202" s="84"/>
      <c r="AY202" s="80">
        <v>2</v>
      </c>
      <c r="AZ202" s="66">
        <v>0</v>
      </c>
      <c r="BB202" s="81"/>
      <c r="BE202" s="43" t="s">
        <v>1006</v>
      </c>
      <c r="BG202" s="23" t="s">
        <v>1007</v>
      </c>
    </row>
    <row r="203" spans="1:59" ht="15" customHeight="1">
      <c r="A203" s="23" t="s">
        <v>933</v>
      </c>
      <c r="B203" s="23" t="s">
        <v>948</v>
      </c>
      <c r="C203" s="23" t="s">
        <v>971</v>
      </c>
      <c r="D203" s="23">
        <v>14</v>
      </c>
      <c r="E203" s="23">
        <v>1</v>
      </c>
      <c r="F203" s="23" t="s">
        <v>1058</v>
      </c>
      <c r="G203" s="43" t="s">
        <v>1008</v>
      </c>
      <c r="J203" s="23" t="s">
        <v>31</v>
      </c>
      <c r="N203" s="73"/>
      <c r="O203" s="75"/>
      <c r="P203" s="76"/>
      <c r="Q203" s="77"/>
      <c r="U203" s="75"/>
      <c r="V203" s="78"/>
      <c r="W203" s="79"/>
      <c r="X203" s="80"/>
      <c r="AA203" s="81"/>
      <c r="AD203" s="43" t="s">
        <v>1009</v>
      </c>
      <c r="AE203" s="23"/>
      <c r="AI203" s="43" t="s">
        <v>1008</v>
      </c>
      <c r="AJ203" s="23" t="s">
        <v>1010</v>
      </c>
      <c r="AL203" s="23" t="s">
        <v>31</v>
      </c>
      <c r="AP203" s="73"/>
      <c r="AQ203" s="75"/>
      <c r="AR203" s="76"/>
      <c r="AS203" s="77"/>
      <c r="AV203" s="75"/>
      <c r="AW203" s="83"/>
      <c r="AX203" s="84"/>
      <c r="AY203" s="80">
        <v>3</v>
      </c>
      <c r="AZ203" s="66">
        <v>0</v>
      </c>
      <c r="BB203" s="81"/>
      <c r="BE203" s="43" t="s">
        <v>1009</v>
      </c>
      <c r="BG203" s="23" t="s">
        <v>1011</v>
      </c>
    </row>
    <row r="204" spans="1:59" ht="15" customHeight="1">
      <c r="A204" s="23" t="s">
        <v>933</v>
      </c>
      <c r="B204" s="23" t="s">
        <v>949</v>
      </c>
      <c r="C204" s="23" t="s">
        <v>971</v>
      </c>
      <c r="D204" s="23">
        <v>15</v>
      </c>
      <c r="E204" s="23">
        <v>1</v>
      </c>
      <c r="F204" s="23" t="s">
        <v>1058</v>
      </c>
      <c r="G204" s="43" t="s">
        <v>1008</v>
      </c>
      <c r="J204" s="23" t="s">
        <v>31</v>
      </c>
      <c r="N204" s="73"/>
      <c r="O204" s="75"/>
      <c r="P204" s="76"/>
      <c r="Q204" s="77"/>
      <c r="U204" s="75"/>
      <c r="V204" s="78"/>
      <c r="W204" s="79"/>
      <c r="X204" s="80"/>
      <c r="AA204" s="81"/>
      <c r="AD204" s="43" t="s">
        <v>1009</v>
      </c>
      <c r="AE204" s="23"/>
      <c r="AI204" s="43" t="s">
        <v>1008</v>
      </c>
      <c r="AJ204" s="23" t="s">
        <v>1012</v>
      </c>
      <c r="AL204" s="23" t="s">
        <v>31</v>
      </c>
      <c r="AP204" s="73"/>
      <c r="AQ204" s="75"/>
      <c r="AR204" s="76"/>
      <c r="AS204" s="77"/>
      <c r="AV204" s="75"/>
      <c r="AW204" s="83"/>
      <c r="AX204" s="84"/>
      <c r="AY204" s="80">
        <v>3</v>
      </c>
      <c r="AZ204" s="66" t="s">
        <v>1073</v>
      </c>
      <c r="BB204" s="81">
        <v>1</v>
      </c>
      <c r="BE204" s="43" t="s">
        <v>1009</v>
      </c>
      <c r="BG204" s="23" t="s">
        <v>1013</v>
      </c>
    </row>
    <row r="205" spans="1:59" ht="15" customHeight="1">
      <c r="A205" s="23" t="s">
        <v>933</v>
      </c>
      <c r="B205" s="23" t="s">
        <v>950</v>
      </c>
      <c r="C205" s="23" t="s">
        <v>971</v>
      </c>
      <c r="D205" s="23">
        <v>16</v>
      </c>
      <c r="E205" s="23">
        <v>1</v>
      </c>
      <c r="F205" s="23" t="s">
        <v>1058</v>
      </c>
      <c r="G205" s="23" t="s">
        <v>1014</v>
      </c>
      <c r="J205" s="23" t="s">
        <v>31</v>
      </c>
      <c r="N205" s="73"/>
      <c r="O205" s="75"/>
      <c r="P205" s="76"/>
      <c r="Q205" s="77"/>
      <c r="U205" s="75"/>
      <c r="V205" s="78"/>
      <c r="W205" s="79"/>
      <c r="X205" s="80"/>
      <c r="AA205" s="81"/>
      <c r="AD205" s="23" t="s">
        <v>1015</v>
      </c>
      <c r="AE205" s="23"/>
      <c r="AI205" s="23" t="s">
        <v>1014</v>
      </c>
      <c r="AL205" s="23" t="s">
        <v>31</v>
      </c>
      <c r="AP205" s="73"/>
      <c r="AQ205" s="75"/>
      <c r="AR205" s="76"/>
      <c r="AS205" s="77"/>
      <c r="AV205" s="75"/>
      <c r="AW205" s="83"/>
      <c r="AX205" s="84"/>
      <c r="AY205" s="80">
        <v>2</v>
      </c>
      <c r="AZ205" s="66">
        <v>0</v>
      </c>
      <c r="BB205" s="81"/>
      <c r="BE205" s="23" t="s">
        <v>1015</v>
      </c>
      <c r="BG205" s="23" t="s">
        <v>1016</v>
      </c>
    </row>
    <row r="206" spans="1:59" ht="15" customHeight="1">
      <c r="A206" s="23" t="s">
        <v>933</v>
      </c>
      <c r="B206" s="23" t="s">
        <v>951</v>
      </c>
      <c r="C206" s="23" t="s">
        <v>971</v>
      </c>
      <c r="D206" s="23">
        <v>17</v>
      </c>
      <c r="E206" s="23">
        <v>1</v>
      </c>
      <c r="F206" s="23" t="s">
        <v>1058</v>
      </c>
      <c r="G206" s="23" t="s">
        <v>1017</v>
      </c>
      <c r="J206" s="23" t="s">
        <v>31</v>
      </c>
      <c r="N206" s="73"/>
      <c r="O206" s="75"/>
      <c r="P206" s="76"/>
      <c r="Q206" s="77"/>
      <c r="U206" s="75"/>
      <c r="V206" s="78"/>
      <c r="W206" s="79"/>
      <c r="X206" s="80"/>
      <c r="AA206" s="81"/>
      <c r="AD206" s="23" t="s">
        <v>1019</v>
      </c>
      <c r="AE206" s="23"/>
      <c r="AI206" s="23" t="s">
        <v>1017</v>
      </c>
      <c r="AJ206" s="23" t="s">
        <v>1018</v>
      </c>
      <c r="AL206" s="23" t="s">
        <v>31</v>
      </c>
      <c r="AP206" s="73"/>
      <c r="AQ206" s="75"/>
      <c r="AR206" s="76"/>
      <c r="AS206" s="77"/>
      <c r="AV206" s="75"/>
      <c r="AW206" s="83"/>
      <c r="AX206" s="84"/>
      <c r="AY206" s="80">
        <v>2</v>
      </c>
      <c r="AZ206" s="66" t="s">
        <v>1073</v>
      </c>
      <c r="BB206" s="81">
        <v>1</v>
      </c>
      <c r="BE206" s="23" t="s">
        <v>1019</v>
      </c>
      <c r="BG206" s="23" t="s">
        <v>1020</v>
      </c>
    </row>
    <row r="207" spans="1:59" ht="15" customHeight="1">
      <c r="A207" s="23" t="s">
        <v>933</v>
      </c>
      <c r="B207" s="23" t="s">
        <v>952</v>
      </c>
      <c r="C207" s="23" t="s">
        <v>971</v>
      </c>
      <c r="D207" s="23">
        <v>18</v>
      </c>
      <c r="E207" s="23">
        <v>1</v>
      </c>
      <c r="F207" s="23" t="s">
        <v>1058</v>
      </c>
      <c r="G207" s="23" t="s">
        <v>1017</v>
      </c>
      <c r="J207" s="23" t="s">
        <v>31</v>
      </c>
      <c r="N207" s="73"/>
      <c r="O207" s="75"/>
      <c r="P207" s="76"/>
      <c r="Q207" s="77"/>
      <c r="U207" s="75"/>
      <c r="V207" s="78"/>
      <c r="W207" s="79"/>
      <c r="X207" s="80"/>
      <c r="AA207" s="81"/>
      <c r="AD207" s="23" t="s">
        <v>1019</v>
      </c>
      <c r="AE207" s="23"/>
      <c r="AI207" s="23" t="s">
        <v>1017</v>
      </c>
      <c r="AJ207" s="23" t="s">
        <v>1021</v>
      </c>
      <c r="AL207" s="23" t="s">
        <v>31</v>
      </c>
      <c r="AP207" s="73"/>
      <c r="AQ207" s="75"/>
      <c r="AR207" s="76"/>
      <c r="AS207" s="77"/>
      <c r="AV207" s="75"/>
      <c r="AW207" s="83"/>
      <c r="AX207" s="84"/>
      <c r="AY207" s="80">
        <v>4</v>
      </c>
      <c r="AZ207" s="66">
        <v>0</v>
      </c>
      <c r="BB207" s="81">
        <v>1</v>
      </c>
      <c r="BE207" s="23" t="s">
        <v>1019</v>
      </c>
      <c r="BG207" s="23" t="s">
        <v>1060</v>
      </c>
    </row>
    <row r="208" spans="1:59" ht="15" customHeight="1">
      <c r="A208" s="23" t="s">
        <v>933</v>
      </c>
      <c r="B208" s="23" t="s">
        <v>953</v>
      </c>
      <c r="C208" s="23" t="s">
        <v>971</v>
      </c>
      <c r="D208" s="23">
        <v>19</v>
      </c>
      <c r="E208" s="23">
        <v>1</v>
      </c>
      <c r="F208" s="23" t="s">
        <v>1058</v>
      </c>
      <c r="G208" s="23" t="s">
        <v>1022</v>
      </c>
      <c r="I208" s="23" t="s">
        <v>223</v>
      </c>
      <c r="J208" s="23" t="s">
        <v>257</v>
      </c>
      <c r="N208" s="73">
        <v>4</v>
      </c>
      <c r="O208" s="75"/>
      <c r="P208" s="76"/>
      <c r="Q208" s="77"/>
      <c r="U208" s="75">
        <v>4</v>
      </c>
      <c r="V208" s="78">
        <v>2</v>
      </c>
      <c r="W208" s="79"/>
      <c r="X208" s="80"/>
      <c r="AA208" s="81"/>
      <c r="AB208" s="23" t="s">
        <v>1061</v>
      </c>
      <c r="AC208" s="23" t="s">
        <v>25</v>
      </c>
      <c r="AD208" s="23" t="s">
        <v>1023</v>
      </c>
      <c r="AE208" s="23"/>
      <c r="AF208" s="23" t="s">
        <v>1059</v>
      </c>
      <c r="AJ208" s="23" t="s">
        <v>1074</v>
      </c>
      <c r="AP208" s="73"/>
      <c r="AQ208" s="75"/>
      <c r="AR208" s="76"/>
      <c r="AS208" s="77"/>
      <c r="AV208" s="75"/>
      <c r="AW208" s="83"/>
      <c r="AX208" s="84"/>
      <c r="AY208" s="80"/>
      <c r="BB208" s="81"/>
    </row>
    <row r="209" spans="1:54" ht="15" customHeight="1">
      <c r="A209" s="23" t="s">
        <v>933</v>
      </c>
      <c r="B209" s="23" t="s">
        <v>954</v>
      </c>
      <c r="C209" s="23" t="s">
        <v>971</v>
      </c>
      <c r="D209" s="23">
        <v>20</v>
      </c>
      <c r="E209" s="23">
        <v>1</v>
      </c>
      <c r="F209" s="23" t="s">
        <v>1058</v>
      </c>
      <c r="G209" s="23" t="s">
        <v>1024</v>
      </c>
      <c r="J209" s="23" t="s">
        <v>257</v>
      </c>
      <c r="N209" s="73"/>
      <c r="O209" s="75"/>
      <c r="P209" s="76"/>
      <c r="Q209" s="77"/>
      <c r="U209" s="75"/>
      <c r="V209" s="78"/>
      <c r="W209" s="79"/>
      <c r="X209" s="80"/>
      <c r="AA209" s="81"/>
      <c r="AD209" s="23" t="s">
        <v>1025</v>
      </c>
      <c r="AE209" s="23"/>
      <c r="AF209" s="23" t="s">
        <v>1062</v>
      </c>
      <c r="AP209" s="73"/>
      <c r="AQ209" s="75"/>
      <c r="AR209" s="76"/>
      <c r="AS209" s="77"/>
      <c r="AV209" s="75"/>
      <c r="AW209" s="83"/>
      <c r="AX209" s="84"/>
      <c r="AY209" s="80"/>
      <c r="BB209" s="81"/>
    </row>
    <row r="210" spans="1:54" ht="15" customHeight="1">
      <c r="A210" s="23" t="s">
        <v>933</v>
      </c>
      <c r="B210" s="23" t="s">
        <v>955</v>
      </c>
      <c r="C210" s="23" t="s">
        <v>971</v>
      </c>
      <c r="D210" s="23">
        <v>21</v>
      </c>
      <c r="E210" s="23">
        <v>1</v>
      </c>
      <c r="F210" s="23" t="s">
        <v>1058</v>
      </c>
      <c r="G210" s="23" t="s">
        <v>1026</v>
      </c>
      <c r="J210" s="23" t="s">
        <v>257</v>
      </c>
      <c r="N210" s="73"/>
      <c r="O210" s="75"/>
      <c r="P210" s="76"/>
      <c r="Q210" s="77"/>
      <c r="U210" s="75"/>
      <c r="V210" s="78"/>
      <c r="W210" s="79"/>
      <c r="X210" s="80"/>
      <c r="AA210" s="81"/>
      <c r="AD210" s="23" t="s">
        <v>1025</v>
      </c>
      <c r="AE210" s="23"/>
      <c r="AF210" s="23" t="s">
        <v>1063</v>
      </c>
      <c r="AP210" s="73"/>
      <c r="AQ210" s="75"/>
      <c r="AR210" s="76"/>
      <c r="AS210" s="77"/>
      <c r="AV210" s="75"/>
      <c r="AW210" s="83"/>
      <c r="AX210" s="84"/>
      <c r="AY210" s="80"/>
      <c r="BB210" s="81"/>
    </row>
    <row r="211" spans="1:54" ht="15" customHeight="1">
      <c r="A211" s="23" t="s">
        <v>933</v>
      </c>
      <c r="B211" s="23" t="s">
        <v>956</v>
      </c>
      <c r="C211" s="23" t="s">
        <v>971</v>
      </c>
      <c r="D211" s="23">
        <v>22</v>
      </c>
      <c r="E211" s="23">
        <v>2</v>
      </c>
      <c r="F211" s="23" t="s">
        <v>1058</v>
      </c>
      <c r="G211" s="23" t="s">
        <v>1027</v>
      </c>
      <c r="J211" s="23" t="s">
        <v>29</v>
      </c>
      <c r="N211" s="73"/>
      <c r="O211" s="75"/>
      <c r="P211" s="76"/>
      <c r="Q211" s="77">
        <v>2</v>
      </c>
      <c r="R211" s="66">
        <v>2</v>
      </c>
      <c r="T211" s="68">
        <v>2</v>
      </c>
      <c r="U211" s="75"/>
      <c r="V211" s="78">
        <v>1</v>
      </c>
      <c r="W211" s="79">
        <v>1</v>
      </c>
      <c r="X211" s="80"/>
      <c r="AA211" s="81"/>
      <c r="AD211" s="23" t="s">
        <v>30</v>
      </c>
      <c r="AE211" s="23" t="s">
        <v>1064</v>
      </c>
      <c r="AF211" s="23" t="s">
        <v>1050</v>
      </c>
      <c r="AP211" s="73"/>
      <c r="AQ211" s="75"/>
      <c r="AR211" s="76"/>
      <c r="AS211" s="77"/>
      <c r="AV211" s="75"/>
      <c r="AW211" s="83"/>
      <c r="AX211" s="84"/>
      <c r="AY211" s="80"/>
      <c r="BB211" s="81"/>
    </row>
    <row r="212" spans="1:54" ht="15" customHeight="1">
      <c r="A212" s="23" t="s">
        <v>933</v>
      </c>
      <c r="B212" s="23" t="s">
        <v>957</v>
      </c>
      <c r="C212" s="23" t="s">
        <v>971</v>
      </c>
      <c r="D212" s="23">
        <v>23</v>
      </c>
      <c r="E212" s="23">
        <v>3</v>
      </c>
      <c r="F212" s="23" t="s">
        <v>1058</v>
      </c>
      <c r="G212" s="23" t="s">
        <v>1028</v>
      </c>
      <c r="J212" s="23" t="s">
        <v>29</v>
      </c>
      <c r="N212" s="73"/>
      <c r="O212" s="75"/>
      <c r="P212" s="76"/>
      <c r="Q212" s="77">
        <v>4</v>
      </c>
      <c r="R212" s="66">
        <v>0</v>
      </c>
      <c r="T212" s="68">
        <v>1</v>
      </c>
      <c r="U212" s="75"/>
      <c r="V212" s="78">
        <v>1</v>
      </c>
      <c r="W212" s="79"/>
      <c r="X212" s="80"/>
      <c r="AA212" s="81"/>
      <c r="AD212" s="23" t="s">
        <v>30</v>
      </c>
      <c r="AE212" s="23" t="s">
        <v>1046</v>
      </c>
      <c r="AF212" s="23" t="s">
        <v>1051</v>
      </c>
      <c r="AP212" s="73"/>
      <c r="AQ212" s="75"/>
      <c r="AR212" s="76"/>
      <c r="AS212" s="77"/>
      <c r="AV212" s="75"/>
      <c r="AW212" s="83"/>
      <c r="AX212" s="84"/>
      <c r="AY212" s="80"/>
      <c r="BB212" s="81"/>
    </row>
    <row r="213" spans="1:54" ht="15" customHeight="1">
      <c r="A213" s="23" t="s">
        <v>933</v>
      </c>
      <c r="B213" s="23" t="s">
        <v>958</v>
      </c>
      <c r="C213" s="23" t="s">
        <v>971</v>
      </c>
      <c r="D213" s="23">
        <v>24</v>
      </c>
      <c r="E213" s="23">
        <v>3</v>
      </c>
      <c r="F213" s="23" t="s">
        <v>1058</v>
      </c>
      <c r="G213" s="23" t="s">
        <v>1029</v>
      </c>
      <c r="J213" s="23" t="s">
        <v>28</v>
      </c>
      <c r="N213" s="73"/>
      <c r="O213" s="75"/>
      <c r="P213" s="76"/>
      <c r="Q213" s="77"/>
      <c r="U213" s="75"/>
      <c r="V213" s="78"/>
      <c r="W213" s="79"/>
      <c r="X213" s="80"/>
      <c r="AA213" s="81"/>
      <c r="AD213" s="23" t="s">
        <v>479</v>
      </c>
      <c r="AE213" s="23"/>
      <c r="AF213" s="23" t="s">
        <v>1066</v>
      </c>
      <c r="AP213" s="73"/>
      <c r="AQ213" s="75"/>
      <c r="AR213" s="76"/>
      <c r="AS213" s="77"/>
      <c r="AV213" s="75"/>
      <c r="AW213" s="83"/>
      <c r="AX213" s="84"/>
      <c r="AY213" s="80"/>
      <c r="BB213" s="81"/>
    </row>
    <row r="214" spans="1:54" ht="15" customHeight="1">
      <c r="A214" s="23" t="s">
        <v>933</v>
      </c>
      <c r="B214" s="23" t="s">
        <v>959</v>
      </c>
      <c r="C214" s="23" t="s">
        <v>971</v>
      </c>
      <c r="D214" s="23">
        <v>25</v>
      </c>
      <c r="E214" s="23">
        <v>3</v>
      </c>
      <c r="F214" s="23" t="s">
        <v>1058</v>
      </c>
      <c r="G214" s="23" t="s">
        <v>1030</v>
      </c>
      <c r="J214" s="23" t="s">
        <v>28</v>
      </c>
      <c r="N214" s="73"/>
      <c r="O214" s="75"/>
      <c r="P214" s="76"/>
      <c r="Q214" s="77"/>
      <c r="U214" s="75"/>
      <c r="V214" s="78"/>
      <c r="W214" s="79"/>
      <c r="X214" s="80"/>
      <c r="AA214" s="81"/>
      <c r="AD214" s="23" t="s">
        <v>479</v>
      </c>
      <c r="AE214" s="23"/>
      <c r="AF214" s="23" t="s">
        <v>1068</v>
      </c>
      <c r="AP214" s="73"/>
      <c r="AQ214" s="75"/>
      <c r="AR214" s="76"/>
      <c r="AS214" s="77"/>
      <c r="AV214" s="75"/>
      <c r="AW214" s="83"/>
      <c r="AX214" s="84"/>
      <c r="AY214" s="80"/>
      <c r="BB214" s="81"/>
    </row>
    <row r="215" spans="1:54" ht="15" customHeight="1">
      <c r="A215" s="23" t="s">
        <v>933</v>
      </c>
      <c r="B215" s="23" t="s">
        <v>960</v>
      </c>
      <c r="C215" s="23" t="s">
        <v>971</v>
      </c>
      <c r="D215" s="23">
        <v>26</v>
      </c>
      <c r="E215" s="23">
        <v>4</v>
      </c>
      <c r="F215" s="23" t="s">
        <v>1058</v>
      </c>
      <c r="G215" s="23" t="s">
        <v>1031</v>
      </c>
      <c r="J215" s="23" t="s">
        <v>28</v>
      </c>
      <c r="N215" s="73"/>
      <c r="O215" s="75"/>
      <c r="P215" s="76"/>
      <c r="Q215" s="77"/>
      <c r="U215" s="75"/>
      <c r="V215" s="78"/>
      <c r="W215" s="79"/>
      <c r="X215" s="80"/>
      <c r="AA215" s="81"/>
      <c r="AD215" s="23" t="s">
        <v>479</v>
      </c>
      <c r="AE215" s="23"/>
      <c r="AF215" s="23" t="s">
        <v>1065</v>
      </c>
      <c r="AP215" s="73"/>
      <c r="AQ215" s="75"/>
      <c r="AR215" s="76"/>
      <c r="AS215" s="77"/>
      <c r="AV215" s="75"/>
      <c r="AW215" s="83"/>
      <c r="AX215" s="84"/>
      <c r="AY215" s="80"/>
      <c r="BB215" s="81"/>
    </row>
    <row r="216" spans="1:54" ht="15" customHeight="1">
      <c r="A216" s="23" t="s">
        <v>933</v>
      </c>
      <c r="B216" s="23" t="s">
        <v>961</v>
      </c>
      <c r="C216" s="23" t="s">
        <v>971</v>
      </c>
      <c r="D216" s="23">
        <v>27</v>
      </c>
      <c r="E216" s="23">
        <v>3</v>
      </c>
      <c r="F216" s="23" t="s">
        <v>1058</v>
      </c>
      <c r="G216" s="23" t="s">
        <v>1032</v>
      </c>
      <c r="J216" s="23" t="s">
        <v>28</v>
      </c>
      <c r="N216" s="73"/>
      <c r="O216" s="75"/>
      <c r="P216" s="76"/>
      <c r="Q216" s="77"/>
      <c r="U216" s="75"/>
      <c r="V216" s="78"/>
      <c r="W216" s="79"/>
      <c r="X216" s="80"/>
      <c r="AA216" s="81"/>
      <c r="AD216" s="23" t="s">
        <v>481</v>
      </c>
      <c r="AE216" s="23"/>
      <c r="AF216" s="23" t="s">
        <v>1067</v>
      </c>
      <c r="AP216" s="73"/>
      <c r="AQ216" s="75"/>
      <c r="AR216" s="76"/>
      <c r="AS216" s="77"/>
      <c r="AV216" s="75"/>
      <c r="AW216" s="83"/>
      <c r="AX216" s="84"/>
      <c r="AY216" s="80"/>
      <c r="BB216" s="81"/>
    </row>
    <row r="217" spans="1:54" ht="15" customHeight="1">
      <c r="A217" s="23" t="s">
        <v>933</v>
      </c>
      <c r="B217" s="23" t="s">
        <v>962</v>
      </c>
      <c r="C217" s="23" t="s">
        <v>971</v>
      </c>
      <c r="D217" s="23">
        <v>28</v>
      </c>
      <c r="E217" s="23">
        <v>1</v>
      </c>
      <c r="F217" s="23" t="s">
        <v>934</v>
      </c>
      <c r="G217" s="23" t="s">
        <v>1033</v>
      </c>
      <c r="I217" s="23" t="s">
        <v>223</v>
      </c>
      <c r="J217" s="23" t="s">
        <v>29</v>
      </c>
      <c r="N217" s="73"/>
      <c r="O217" s="75"/>
      <c r="P217" s="76"/>
      <c r="Q217" s="77">
        <v>3</v>
      </c>
      <c r="R217" s="66">
        <v>3</v>
      </c>
      <c r="T217" s="68" t="s">
        <v>1077</v>
      </c>
      <c r="U217" s="75">
        <v>2</v>
      </c>
      <c r="V217" s="78">
        <v>2</v>
      </c>
      <c r="W217" s="79"/>
      <c r="X217" s="80"/>
      <c r="AA217" s="81"/>
      <c r="AD217" s="23" t="s">
        <v>1034</v>
      </c>
      <c r="AE217" s="23" t="s">
        <v>1035</v>
      </c>
      <c r="AF217" s="23" t="s">
        <v>1070</v>
      </c>
      <c r="AP217" s="73"/>
      <c r="AQ217" s="75"/>
      <c r="AR217" s="76"/>
      <c r="AS217" s="77"/>
      <c r="AV217" s="75"/>
      <c r="AW217" s="83"/>
      <c r="AX217" s="84"/>
      <c r="AY217" s="80"/>
      <c r="BB217" s="81"/>
    </row>
    <row r="218" spans="1:54" ht="15" customHeight="1">
      <c r="A218" s="23" t="s">
        <v>933</v>
      </c>
      <c r="B218" s="23" t="s">
        <v>963</v>
      </c>
      <c r="C218" s="23" t="s">
        <v>971</v>
      </c>
      <c r="D218" s="23">
        <v>29</v>
      </c>
      <c r="E218" s="23">
        <v>1</v>
      </c>
      <c r="F218" s="23" t="s">
        <v>934</v>
      </c>
      <c r="G218" s="23" t="s">
        <v>934</v>
      </c>
      <c r="J218" s="23" t="s">
        <v>28</v>
      </c>
      <c r="M218" s="23" t="s">
        <v>648</v>
      </c>
      <c r="N218" s="73"/>
      <c r="O218" s="75"/>
      <c r="P218" s="76"/>
      <c r="Q218" s="77"/>
      <c r="U218" s="75"/>
      <c r="V218" s="78"/>
      <c r="W218" s="79"/>
      <c r="X218" s="80"/>
      <c r="AA218" s="81"/>
      <c r="AD218" s="23" t="s">
        <v>439</v>
      </c>
      <c r="AE218" s="23"/>
      <c r="AF218" s="23" t="s">
        <v>1036</v>
      </c>
      <c r="AP218" s="73"/>
      <c r="AQ218" s="75"/>
      <c r="AR218" s="76"/>
      <c r="AS218" s="77"/>
      <c r="AV218" s="75"/>
      <c r="AW218" s="83"/>
      <c r="AX218" s="84"/>
      <c r="AY218" s="80"/>
      <c r="BB218" s="81"/>
    </row>
    <row r="219" spans="1:54" ht="15" customHeight="1">
      <c r="A219" s="23" t="s">
        <v>933</v>
      </c>
      <c r="B219" s="23" t="s">
        <v>964</v>
      </c>
      <c r="C219" s="23" t="s">
        <v>971</v>
      </c>
      <c r="D219" s="23">
        <v>30</v>
      </c>
      <c r="E219" s="23">
        <v>1</v>
      </c>
      <c r="F219" s="23" t="s">
        <v>934</v>
      </c>
      <c r="G219" s="23" t="s">
        <v>1037</v>
      </c>
      <c r="J219" s="23" t="s">
        <v>257</v>
      </c>
      <c r="N219" s="73">
        <v>0</v>
      </c>
      <c r="O219" s="75"/>
      <c r="P219" s="76"/>
      <c r="Q219" s="77"/>
      <c r="U219" s="75"/>
      <c r="V219" s="78"/>
      <c r="W219" s="79"/>
      <c r="X219" s="80"/>
      <c r="AA219" s="81"/>
      <c r="AD219" s="23" t="s">
        <v>289</v>
      </c>
      <c r="AE219" s="23" t="s">
        <v>1038</v>
      </c>
      <c r="AF219" s="23" t="s">
        <v>1069</v>
      </c>
      <c r="AP219" s="73"/>
      <c r="AQ219" s="75"/>
      <c r="AR219" s="76"/>
      <c r="AS219" s="77"/>
      <c r="AV219" s="75"/>
      <c r="AW219" s="83"/>
      <c r="AX219" s="84"/>
      <c r="AY219" s="80"/>
      <c r="BB219" s="81"/>
    </row>
    <row r="220" spans="1:54" ht="15" customHeight="1">
      <c r="A220" s="23" t="s">
        <v>933</v>
      </c>
      <c r="B220" s="23" t="s">
        <v>965</v>
      </c>
      <c r="C220" s="23" t="s">
        <v>971</v>
      </c>
      <c r="D220" s="23">
        <v>31</v>
      </c>
      <c r="E220" s="23">
        <v>2</v>
      </c>
      <c r="F220" s="23" t="s">
        <v>934</v>
      </c>
      <c r="G220" s="23" t="s">
        <v>1039</v>
      </c>
      <c r="J220" s="23" t="s">
        <v>29</v>
      </c>
      <c r="N220" s="73"/>
      <c r="O220" s="75"/>
      <c r="P220" s="76"/>
      <c r="Q220" s="77">
        <v>2</v>
      </c>
      <c r="R220" s="66">
        <v>3</v>
      </c>
      <c r="T220" s="68">
        <v>3</v>
      </c>
      <c r="U220" s="75">
        <v>1</v>
      </c>
      <c r="V220" s="78">
        <v>1</v>
      </c>
      <c r="W220" s="79"/>
      <c r="X220" s="80"/>
      <c r="AA220" s="81"/>
      <c r="AD220" s="23" t="s">
        <v>1040</v>
      </c>
      <c r="AE220" s="23" t="s">
        <v>1048</v>
      </c>
      <c r="AF220" s="23" t="s">
        <v>1047</v>
      </c>
      <c r="AP220" s="73"/>
      <c r="AQ220" s="75"/>
      <c r="AR220" s="76"/>
      <c r="AS220" s="77"/>
      <c r="AV220" s="75"/>
      <c r="AW220" s="83"/>
      <c r="AX220" s="84"/>
      <c r="AY220" s="80"/>
      <c r="BB220" s="81"/>
    </row>
    <row r="221" spans="1:54" ht="15" customHeight="1">
      <c r="A221" s="23" t="s">
        <v>933</v>
      </c>
      <c r="B221" s="23" t="s">
        <v>966</v>
      </c>
      <c r="C221" s="23" t="s">
        <v>971</v>
      </c>
      <c r="D221" s="23">
        <v>32</v>
      </c>
      <c r="E221" s="23">
        <v>2</v>
      </c>
      <c r="F221" s="23" t="s">
        <v>934</v>
      </c>
      <c r="G221" s="23" t="s">
        <v>1041</v>
      </c>
      <c r="J221" s="23" t="s">
        <v>29</v>
      </c>
      <c r="N221" s="73"/>
      <c r="O221" s="75"/>
      <c r="P221" s="76"/>
      <c r="Q221" s="77">
        <v>3</v>
      </c>
      <c r="R221" s="66">
        <v>3</v>
      </c>
      <c r="T221" s="68">
        <v>4</v>
      </c>
      <c r="U221" s="75">
        <v>1</v>
      </c>
      <c r="V221" s="78">
        <v>2</v>
      </c>
      <c r="W221" s="79"/>
      <c r="X221" s="80"/>
      <c r="AA221" s="81"/>
      <c r="AD221" s="23" t="s">
        <v>1042</v>
      </c>
      <c r="AE221" s="23" t="s">
        <v>1049</v>
      </c>
      <c r="AP221" s="73"/>
      <c r="AQ221" s="75"/>
      <c r="AR221" s="76"/>
      <c r="AS221" s="77"/>
      <c r="AV221" s="75"/>
      <c r="AW221" s="83"/>
      <c r="AX221" s="84"/>
      <c r="AY221" s="80"/>
      <c r="BB221" s="81"/>
    </row>
    <row r="222" spans="1:54" ht="15" customHeight="1">
      <c r="A222" s="23" t="s">
        <v>933</v>
      </c>
      <c r="B222" s="23" t="s">
        <v>967</v>
      </c>
      <c r="C222" s="23" t="s">
        <v>971</v>
      </c>
      <c r="D222" s="23">
        <v>33</v>
      </c>
      <c r="E222" s="23">
        <v>1</v>
      </c>
      <c r="F222" s="23" t="s">
        <v>934</v>
      </c>
      <c r="G222" s="23" t="s">
        <v>1043</v>
      </c>
      <c r="J222" s="23" t="s">
        <v>29</v>
      </c>
      <c r="N222" s="73"/>
      <c r="O222" s="75"/>
      <c r="P222" s="76"/>
      <c r="Q222" s="77">
        <v>4</v>
      </c>
      <c r="R222" s="66">
        <v>2</v>
      </c>
      <c r="T222" s="68">
        <v>5</v>
      </c>
      <c r="U222" s="75">
        <v>2</v>
      </c>
      <c r="V222" s="78">
        <v>2</v>
      </c>
      <c r="W222" s="79"/>
      <c r="X222" s="80"/>
      <c r="AA222" s="81">
        <v>1</v>
      </c>
      <c r="AD222" s="23" t="s">
        <v>1044</v>
      </c>
      <c r="AE222" s="23" t="s">
        <v>1046</v>
      </c>
      <c r="AF222" s="23" t="s">
        <v>1045</v>
      </c>
      <c r="AP222" s="73"/>
      <c r="AQ222" s="75"/>
      <c r="AR222" s="76"/>
      <c r="AS222" s="77"/>
      <c r="AV222" s="75"/>
      <c r="AW222" s="83"/>
      <c r="AX222" s="84"/>
      <c r="AY222" s="80"/>
      <c r="BB222" s="81"/>
    </row>
    <row r="223" spans="1:54" ht="15" customHeight="1">
      <c r="A223" s="23" t="s">
        <v>933</v>
      </c>
      <c r="B223" s="23" t="s">
        <v>968</v>
      </c>
      <c r="C223" s="23" t="s">
        <v>971</v>
      </c>
      <c r="D223" s="23">
        <v>34</v>
      </c>
      <c r="E223" s="23">
        <v>5</v>
      </c>
      <c r="F223" s="23" t="s">
        <v>934</v>
      </c>
      <c r="G223" s="23" t="s">
        <v>1052</v>
      </c>
      <c r="J223" s="23" t="s">
        <v>28</v>
      </c>
      <c r="N223" s="73"/>
      <c r="O223" s="75"/>
      <c r="P223" s="76"/>
      <c r="Q223" s="77"/>
      <c r="U223" s="75"/>
      <c r="V223" s="78"/>
      <c r="W223" s="79"/>
      <c r="X223" s="80"/>
      <c r="AA223" s="81"/>
      <c r="AE223" s="23" t="s">
        <v>34</v>
      </c>
      <c r="AF223" s="23" t="s">
        <v>1053</v>
      </c>
      <c r="AP223" s="73"/>
      <c r="AQ223" s="75"/>
      <c r="AR223" s="76"/>
      <c r="AS223" s="77"/>
      <c r="AV223" s="75"/>
      <c r="AW223" s="83"/>
      <c r="AX223" s="84"/>
      <c r="AY223" s="80"/>
      <c r="BB223" s="81"/>
    </row>
    <row r="224" spans="1:54" ht="15" customHeight="1">
      <c r="A224" s="23" t="s">
        <v>933</v>
      </c>
      <c r="B224" s="23" t="s">
        <v>969</v>
      </c>
      <c r="C224" s="23" t="s">
        <v>971</v>
      </c>
      <c r="D224" s="23">
        <v>35</v>
      </c>
      <c r="E224" s="23">
        <v>2</v>
      </c>
      <c r="F224" s="23" t="s">
        <v>934</v>
      </c>
      <c r="G224" s="23" t="s">
        <v>1054</v>
      </c>
      <c r="J224" s="23" t="s">
        <v>28</v>
      </c>
      <c r="N224" s="73"/>
      <c r="O224" s="75"/>
      <c r="P224" s="76"/>
      <c r="Q224" s="77"/>
      <c r="U224" s="75"/>
      <c r="V224" s="78"/>
      <c r="W224" s="79"/>
      <c r="X224" s="80"/>
      <c r="AA224" s="81"/>
      <c r="AE224" s="23"/>
      <c r="AF224" s="23" t="s">
        <v>1055</v>
      </c>
      <c r="AP224" s="73"/>
      <c r="AQ224" s="75"/>
      <c r="AR224" s="76"/>
      <c r="AS224" s="77"/>
      <c r="AV224" s="75"/>
      <c r="AW224" s="83"/>
      <c r="AX224" s="84"/>
      <c r="AY224" s="80"/>
      <c r="BB224" s="81"/>
    </row>
    <row r="225" spans="1:60" ht="15" customHeight="1">
      <c r="A225" s="23" t="s">
        <v>933</v>
      </c>
      <c r="B225" s="30" t="s">
        <v>970</v>
      </c>
      <c r="C225" s="23" t="s">
        <v>971</v>
      </c>
      <c r="D225" s="23">
        <v>36</v>
      </c>
      <c r="E225" s="23">
        <v>3</v>
      </c>
      <c r="F225" s="23" t="s">
        <v>934</v>
      </c>
      <c r="G225" s="23" t="s">
        <v>1056</v>
      </c>
      <c r="J225" s="23" t="s">
        <v>28</v>
      </c>
      <c r="N225" s="73"/>
      <c r="O225" s="75"/>
      <c r="P225" s="76"/>
      <c r="Q225" s="77"/>
      <c r="U225" s="75"/>
      <c r="V225" s="78"/>
      <c r="W225" s="79"/>
      <c r="X225" s="80"/>
      <c r="AA225" s="81"/>
      <c r="AE225" s="23"/>
      <c r="AF225" s="23" t="s">
        <v>1057</v>
      </c>
      <c r="AP225" s="73"/>
      <c r="AQ225" s="75"/>
      <c r="AR225" s="76"/>
      <c r="AS225" s="77"/>
      <c r="AV225" s="75"/>
      <c r="AW225" s="83"/>
      <c r="AX225" s="84"/>
      <c r="AY225" s="80"/>
      <c r="BB225" s="81"/>
    </row>
    <row r="226" spans="1:60" ht="15" customHeight="1">
      <c r="A226" s="23" t="s">
        <v>933</v>
      </c>
      <c r="B226" s="23" t="s">
        <v>1107</v>
      </c>
      <c r="C226" s="23" t="s">
        <v>971</v>
      </c>
      <c r="D226" s="23">
        <v>37</v>
      </c>
      <c r="E226" s="23">
        <v>1</v>
      </c>
      <c r="F226" s="23" t="s">
        <v>934</v>
      </c>
      <c r="G226" s="23" t="s">
        <v>1098</v>
      </c>
      <c r="J226" s="23" t="s">
        <v>1102</v>
      </c>
      <c r="N226" s="73"/>
      <c r="O226" s="75"/>
      <c r="P226" s="76"/>
      <c r="Q226" s="77"/>
      <c r="U226" s="75"/>
      <c r="V226" s="78"/>
      <c r="W226" s="79"/>
      <c r="X226" s="80"/>
      <c r="AA226" s="81"/>
      <c r="AE226" s="23"/>
      <c r="AI226" s="23" t="s">
        <v>1103</v>
      </c>
      <c r="AL226" s="33" t="s">
        <v>1102</v>
      </c>
      <c r="AP226" s="73"/>
      <c r="AQ226" s="75"/>
      <c r="AR226" s="76"/>
      <c r="AS226" s="77"/>
      <c r="AV226" s="75"/>
      <c r="AW226" s="83"/>
      <c r="AX226" s="84"/>
      <c r="AY226" s="80"/>
      <c r="BB226" s="81"/>
    </row>
    <row r="227" spans="1:60" ht="15" customHeight="1">
      <c r="A227" s="23" t="s">
        <v>933</v>
      </c>
      <c r="B227" s="23" t="s">
        <v>1108</v>
      </c>
      <c r="C227" s="23" t="s">
        <v>971</v>
      </c>
      <c r="D227" s="23">
        <v>38</v>
      </c>
      <c r="E227" s="23">
        <v>1</v>
      </c>
      <c r="F227" s="23" t="s">
        <v>934</v>
      </c>
      <c r="G227" s="23" t="s">
        <v>1099</v>
      </c>
      <c r="J227" s="23" t="s">
        <v>1102</v>
      </c>
      <c r="N227" s="73"/>
      <c r="O227" s="75"/>
      <c r="P227" s="76"/>
      <c r="Q227" s="77"/>
      <c r="U227" s="75"/>
      <c r="V227" s="78"/>
      <c r="W227" s="79"/>
      <c r="X227" s="80"/>
      <c r="AA227" s="81"/>
      <c r="AE227" s="23"/>
      <c r="AI227" s="23" t="s">
        <v>1104</v>
      </c>
      <c r="AL227" s="33" t="s">
        <v>1102</v>
      </c>
      <c r="AP227" s="73"/>
      <c r="AQ227" s="75"/>
      <c r="AR227" s="76"/>
      <c r="AS227" s="77"/>
      <c r="AV227" s="75"/>
      <c r="AW227" s="83"/>
      <c r="AX227" s="84"/>
      <c r="AY227" s="80"/>
      <c r="BB227" s="81"/>
    </row>
    <row r="228" spans="1:60" ht="15" customHeight="1">
      <c r="A228" s="23" t="s">
        <v>933</v>
      </c>
      <c r="B228" s="23" t="s">
        <v>1109</v>
      </c>
      <c r="C228" s="23" t="s">
        <v>971</v>
      </c>
      <c r="D228" s="23">
        <v>39</v>
      </c>
      <c r="E228" s="23">
        <v>1</v>
      </c>
      <c r="F228" s="23" t="s">
        <v>934</v>
      </c>
      <c r="G228" s="23" t="s">
        <v>1100</v>
      </c>
      <c r="J228" s="23" t="s">
        <v>1102</v>
      </c>
      <c r="N228" s="73"/>
      <c r="O228" s="75"/>
      <c r="P228" s="76"/>
      <c r="Q228" s="77"/>
      <c r="U228" s="75"/>
      <c r="V228" s="78"/>
      <c r="W228" s="79"/>
      <c r="X228" s="80"/>
      <c r="AA228" s="81"/>
      <c r="AE228" s="23"/>
      <c r="AI228" s="23" t="s">
        <v>1105</v>
      </c>
      <c r="AL228" s="33" t="s">
        <v>1102</v>
      </c>
      <c r="AP228" s="73"/>
      <c r="AQ228" s="75"/>
      <c r="AR228" s="76"/>
      <c r="AS228" s="77"/>
      <c r="AV228" s="75"/>
      <c r="AW228" s="83"/>
      <c r="AX228" s="84"/>
      <c r="AY228" s="80"/>
      <c r="BB228" s="81"/>
    </row>
    <row r="229" spans="1:60" ht="15" customHeight="1">
      <c r="A229" s="23" t="s">
        <v>933</v>
      </c>
      <c r="B229" s="23" t="s">
        <v>1110</v>
      </c>
      <c r="C229" s="23" t="s">
        <v>971</v>
      </c>
      <c r="D229" s="23">
        <v>40</v>
      </c>
      <c r="E229" s="23">
        <v>1</v>
      </c>
      <c r="F229" s="23" t="s">
        <v>934</v>
      </c>
      <c r="G229" s="23" t="s">
        <v>1101</v>
      </c>
      <c r="J229" s="23" t="s">
        <v>1102</v>
      </c>
      <c r="N229" s="73"/>
      <c r="O229" s="75"/>
      <c r="P229" s="76"/>
      <c r="Q229" s="77"/>
      <c r="U229" s="75"/>
      <c r="V229" s="78"/>
      <c r="W229" s="79"/>
      <c r="X229" s="80"/>
      <c r="AA229" s="81"/>
      <c r="AE229" s="23"/>
      <c r="AI229" s="23" t="s">
        <v>1106</v>
      </c>
      <c r="AL229" s="33" t="s">
        <v>1102</v>
      </c>
      <c r="AP229" s="73"/>
      <c r="AQ229" s="75"/>
      <c r="AR229" s="76"/>
      <c r="AS229" s="77"/>
      <c r="AV229" s="75"/>
      <c r="AW229" s="83"/>
      <c r="AX229" s="84"/>
      <c r="AY229" s="80"/>
      <c r="BB229" s="81"/>
    </row>
    <row r="230" spans="1:60" ht="15" customHeight="1">
      <c r="A230" s="23" t="s">
        <v>1125</v>
      </c>
      <c r="B230" s="23" t="s">
        <v>1127</v>
      </c>
      <c r="C230" s="23" t="s">
        <v>1130</v>
      </c>
      <c r="D230" s="23">
        <v>1</v>
      </c>
      <c r="E230" s="23">
        <v>1</v>
      </c>
      <c r="F230" s="23" t="s">
        <v>1126</v>
      </c>
      <c r="G230" s="23" t="s">
        <v>1114</v>
      </c>
      <c r="H230" s="23" t="s">
        <v>1115</v>
      </c>
      <c r="I230" s="23" t="s">
        <v>223</v>
      </c>
      <c r="J230" s="23" t="s">
        <v>203</v>
      </c>
      <c r="K230" s="23" t="s">
        <v>200</v>
      </c>
      <c r="N230" s="73"/>
      <c r="O230" s="75">
        <v>4</v>
      </c>
      <c r="P230" s="76">
        <v>4</v>
      </c>
      <c r="Q230" s="77">
        <v>1</v>
      </c>
      <c r="R230" s="66">
        <v>3</v>
      </c>
      <c r="T230" s="68">
        <v>6</v>
      </c>
      <c r="U230" s="75">
        <v>8</v>
      </c>
      <c r="V230" s="78"/>
      <c r="W230" s="79"/>
      <c r="X230" s="80"/>
      <c r="AA230" s="81"/>
      <c r="AD230" s="23" t="s">
        <v>1116</v>
      </c>
      <c r="AE230" s="23"/>
      <c r="AF230" s="23" t="s">
        <v>1117</v>
      </c>
      <c r="AI230" s="23" t="s">
        <v>1114</v>
      </c>
      <c r="AJ230" s="23" t="s">
        <v>1115</v>
      </c>
      <c r="AK230" s="23" t="s">
        <v>223</v>
      </c>
      <c r="AL230" s="23" t="s">
        <v>203</v>
      </c>
      <c r="AM230" s="23" t="s">
        <v>1251</v>
      </c>
      <c r="AP230" s="73"/>
      <c r="AQ230" s="75"/>
      <c r="AR230" s="76"/>
      <c r="AS230" s="77"/>
      <c r="AV230" s="75"/>
      <c r="AW230" s="83"/>
      <c r="AX230" s="84"/>
      <c r="AY230" s="80"/>
      <c r="BB230" s="81"/>
    </row>
    <row r="231" spans="1:60" ht="15" customHeight="1">
      <c r="A231" s="23" t="s">
        <v>1125</v>
      </c>
      <c r="B231" s="23" t="s">
        <v>1128</v>
      </c>
      <c r="C231" s="23" t="s">
        <v>1130</v>
      </c>
      <c r="D231" s="23">
        <v>2</v>
      </c>
      <c r="E231" s="23">
        <v>1</v>
      </c>
      <c r="F231" s="23" t="s">
        <v>1126</v>
      </c>
      <c r="G231" s="23" t="s">
        <v>1118</v>
      </c>
      <c r="J231" s="23" t="s">
        <v>27</v>
      </c>
      <c r="K231" s="23" t="s">
        <v>26</v>
      </c>
      <c r="N231" s="73">
        <v>3</v>
      </c>
      <c r="O231" s="75"/>
      <c r="P231" s="76"/>
      <c r="Q231" s="77"/>
      <c r="S231" s="113">
        <v>2</v>
      </c>
      <c r="U231" s="75"/>
      <c r="V231" s="78"/>
      <c r="W231" s="79"/>
      <c r="X231" s="80"/>
      <c r="AA231" s="81"/>
      <c r="AB231" s="23" t="s">
        <v>1082</v>
      </c>
      <c r="AD231" s="23" t="s">
        <v>1119</v>
      </c>
      <c r="AE231" s="23"/>
      <c r="AF231" s="23" t="s">
        <v>1120</v>
      </c>
      <c r="AP231" s="73"/>
      <c r="AQ231" s="75"/>
      <c r="AR231" s="76"/>
      <c r="AS231" s="77"/>
      <c r="AV231" s="75"/>
      <c r="AW231" s="83"/>
      <c r="AX231" s="84"/>
      <c r="AY231" s="80"/>
      <c r="BB231" s="81"/>
    </row>
    <row r="232" spans="1:60" ht="15" customHeight="1">
      <c r="A232" s="23" t="s">
        <v>1125</v>
      </c>
      <c r="B232" s="23" t="s">
        <v>1129</v>
      </c>
      <c r="C232" s="23" t="s">
        <v>1130</v>
      </c>
      <c r="D232" s="23">
        <v>3</v>
      </c>
      <c r="E232" s="23">
        <v>1</v>
      </c>
      <c r="F232" s="23" t="s">
        <v>1126</v>
      </c>
      <c r="G232" s="23" t="s">
        <v>1121</v>
      </c>
      <c r="H232" s="23" t="s">
        <v>1122</v>
      </c>
      <c r="I232" s="23" t="s">
        <v>223</v>
      </c>
      <c r="J232" s="23" t="s">
        <v>257</v>
      </c>
      <c r="K232" s="23" t="s">
        <v>26</v>
      </c>
      <c r="M232" s="23" t="s">
        <v>648</v>
      </c>
      <c r="N232" s="73"/>
      <c r="O232" s="75"/>
      <c r="P232" s="76"/>
      <c r="Q232" s="77"/>
      <c r="U232" s="75"/>
      <c r="V232" s="78"/>
      <c r="W232" s="79"/>
      <c r="X232" s="80"/>
      <c r="AA232" s="81"/>
      <c r="AC232" s="23" t="s">
        <v>25</v>
      </c>
      <c r="AD232" s="23" t="s">
        <v>1123</v>
      </c>
      <c r="AE232" s="23"/>
      <c r="AF232" s="23" t="s">
        <v>1124</v>
      </c>
      <c r="AP232" s="73"/>
      <c r="AQ232" s="75"/>
      <c r="AR232" s="76"/>
      <c r="AS232" s="77"/>
      <c r="AV232" s="75"/>
      <c r="AW232" s="83"/>
      <c r="AX232" s="84"/>
      <c r="AY232" s="80"/>
      <c r="BB232" s="81"/>
    </row>
    <row r="233" spans="1:60" ht="15" customHeight="1">
      <c r="A233" s="23" t="s">
        <v>1125</v>
      </c>
      <c r="B233" s="30" t="s">
        <v>1713</v>
      </c>
      <c r="C233" s="23" t="s">
        <v>1130</v>
      </c>
      <c r="D233" s="24">
        <v>999</v>
      </c>
      <c r="E233" s="23">
        <v>1</v>
      </c>
      <c r="G233" s="23" t="s">
        <v>1114</v>
      </c>
      <c r="J233" s="23" t="s">
        <v>861</v>
      </c>
      <c r="K233" s="23" t="s">
        <v>200</v>
      </c>
      <c r="N233" s="73"/>
      <c r="O233" s="75"/>
      <c r="P233" s="76"/>
      <c r="Q233" s="77"/>
      <c r="U233" s="75"/>
      <c r="V233" s="83"/>
      <c r="W233" s="84"/>
      <c r="X233" s="80"/>
      <c r="AA233" s="81"/>
      <c r="AB233" s="42"/>
      <c r="AE233" s="23"/>
      <c r="AI233" s="23" t="s">
        <v>1114</v>
      </c>
      <c r="AL233" s="23" t="s">
        <v>861</v>
      </c>
      <c r="AP233" s="73"/>
      <c r="AQ233" s="75"/>
      <c r="AR233" s="76"/>
      <c r="AS233" s="77"/>
      <c r="AV233" s="75"/>
      <c r="AW233" s="83"/>
      <c r="AX233" s="84"/>
      <c r="AY233" s="80"/>
      <c r="BB233" s="81"/>
    </row>
    <row r="234" spans="1:60" ht="15" customHeight="1">
      <c r="A234" s="23" t="s">
        <v>1199</v>
      </c>
      <c r="B234" s="30" t="s">
        <v>1201</v>
      </c>
      <c r="C234" s="23" t="s">
        <v>1198</v>
      </c>
      <c r="D234" s="23">
        <v>1</v>
      </c>
      <c r="E234" s="23">
        <v>1</v>
      </c>
      <c r="F234" s="23" t="s">
        <v>1131</v>
      </c>
      <c r="G234" s="23" t="s">
        <v>1131</v>
      </c>
      <c r="J234" s="23" t="s">
        <v>618</v>
      </c>
      <c r="N234" s="73"/>
      <c r="O234" s="75"/>
      <c r="P234" s="76"/>
      <c r="Q234" s="77"/>
      <c r="U234" s="75"/>
      <c r="V234" s="78"/>
      <c r="W234" s="79"/>
      <c r="X234" s="80"/>
      <c r="AA234" s="81"/>
      <c r="AE234" s="23"/>
      <c r="AF234" s="23" t="s">
        <v>1264</v>
      </c>
      <c r="AI234" s="23" t="s">
        <v>1131</v>
      </c>
      <c r="AL234" s="23" t="s">
        <v>618</v>
      </c>
      <c r="AP234" s="73"/>
      <c r="AQ234" s="75"/>
      <c r="AR234" s="76"/>
      <c r="AS234" s="77"/>
      <c r="AV234" s="75"/>
      <c r="AW234" s="83"/>
      <c r="AX234" s="84"/>
      <c r="AY234" s="80"/>
      <c r="BB234" s="81"/>
      <c r="BG234" s="23" t="s">
        <v>1265</v>
      </c>
    </row>
    <row r="235" spans="1:60" ht="15" customHeight="1">
      <c r="A235" s="23" t="s">
        <v>1199</v>
      </c>
      <c r="B235" s="23" t="s">
        <v>1202</v>
      </c>
      <c r="C235" s="23" t="s">
        <v>1198</v>
      </c>
      <c r="D235" s="23">
        <v>2</v>
      </c>
      <c r="E235" s="23">
        <v>1</v>
      </c>
      <c r="F235" s="23" t="s">
        <v>1131</v>
      </c>
      <c r="G235" s="23" t="s">
        <v>1132</v>
      </c>
      <c r="J235" s="23" t="s">
        <v>619</v>
      </c>
      <c r="L235" s="23">
        <v>1</v>
      </c>
      <c r="N235" s="73"/>
      <c r="O235" s="75"/>
      <c r="P235" s="76"/>
      <c r="Q235" s="77"/>
      <c r="U235" s="75"/>
      <c r="V235" s="78"/>
      <c r="W235" s="79"/>
      <c r="X235" s="80"/>
      <c r="Z235" s="68">
        <v>8</v>
      </c>
      <c r="AA235" s="81"/>
      <c r="AE235" s="23"/>
      <c r="AI235" s="23" t="s">
        <v>1133</v>
      </c>
      <c r="AJ235" s="23" t="s">
        <v>1134</v>
      </c>
      <c r="AK235" s="23" t="s">
        <v>223</v>
      </c>
      <c r="AL235" s="23" t="s">
        <v>29</v>
      </c>
      <c r="AP235" s="73"/>
      <c r="AQ235" s="75"/>
      <c r="AR235" s="76"/>
      <c r="AS235" s="77">
        <v>4</v>
      </c>
      <c r="AT235" s="66">
        <v>3</v>
      </c>
      <c r="AU235" s="68">
        <v>5</v>
      </c>
      <c r="AV235" s="75"/>
      <c r="AW235" s="83">
        <v>2</v>
      </c>
      <c r="AX235" s="84">
        <v>2</v>
      </c>
      <c r="AY235" s="80"/>
      <c r="BB235" s="81">
        <v>2</v>
      </c>
      <c r="BE235" s="23" t="s">
        <v>1135</v>
      </c>
      <c r="BF235" s="24" t="s">
        <v>1298</v>
      </c>
      <c r="BG235" s="23" t="s">
        <v>1300</v>
      </c>
      <c r="BH235" s="23" t="s">
        <v>1299</v>
      </c>
    </row>
    <row r="236" spans="1:60" ht="15" customHeight="1">
      <c r="A236" s="23" t="s">
        <v>1199</v>
      </c>
      <c r="B236" s="23" t="s">
        <v>1203</v>
      </c>
      <c r="C236" s="23" t="s">
        <v>1198</v>
      </c>
      <c r="D236" s="23">
        <v>2</v>
      </c>
      <c r="E236" s="23">
        <v>1</v>
      </c>
      <c r="F236" s="23" t="s">
        <v>1131</v>
      </c>
      <c r="G236" s="23" t="s">
        <v>1133</v>
      </c>
      <c r="H236" s="23" t="s">
        <v>1134</v>
      </c>
      <c r="I236" s="23" t="s">
        <v>223</v>
      </c>
      <c r="J236" s="23" t="s">
        <v>29</v>
      </c>
      <c r="N236" s="73"/>
      <c r="O236" s="75"/>
      <c r="P236" s="76"/>
      <c r="Q236" s="77">
        <v>4</v>
      </c>
      <c r="R236" s="66">
        <v>3</v>
      </c>
      <c r="T236" s="68">
        <v>5</v>
      </c>
      <c r="U236" s="75"/>
      <c r="V236" s="78">
        <v>2</v>
      </c>
      <c r="W236" s="79">
        <v>2</v>
      </c>
      <c r="X236" s="80"/>
      <c r="AA236" s="81">
        <v>2</v>
      </c>
      <c r="AD236" s="23" t="s">
        <v>1135</v>
      </c>
      <c r="AE236" s="23" t="s">
        <v>1298</v>
      </c>
      <c r="AF236" s="23" t="s">
        <v>1300</v>
      </c>
      <c r="AP236" s="73"/>
      <c r="AQ236" s="75"/>
      <c r="AR236" s="76"/>
      <c r="AS236" s="77"/>
      <c r="AV236" s="75"/>
      <c r="AW236" s="83"/>
      <c r="AX236" s="84"/>
      <c r="AY236" s="80"/>
      <c r="BB236" s="81"/>
    </row>
    <row r="237" spans="1:60" ht="15" customHeight="1">
      <c r="A237" s="23" t="s">
        <v>1199</v>
      </c>
      <c r="B237" s="23" t="s">
        <v>1204</v>
      </c>
      <c r="C237" s="23" t="s">
        <v>1198</v>
      </c>
      <c r="D237" s="23">
        <v>3</v>
      </c>
      <c r="E237" s="23">
        <v>1</v>
      </c>
      <c r="F237" s="23" t="s">
        <v>1131</v>
      </c>
      <c r="G237" s="23" t="s">
        <v>1136</v>
      </c>
      <c r="J237" s="23" t="s">
        <v>619</v>
      </c>
      <c r="L237" s="23">
        <v>2</v>
      </c>
      <c r="N237" s="73"/>
      <c r="O237" s="75"/>
      <c r="P237" s="76"/>
      <c r="Q237" s="77"/>
      <c r="U237" s="75"/>
      <c r="V237" s="78"/>
      <c r="W237" s="79"/>
      <c r="X237" s="80"/>
      <c r="Z237" s="68">
        <v>3</v>
      </c>
      <c r="AA237" s="81"/>
      <c r="AE237" s="23"/>
      <c r="AI237" s="23" t="s">
        <v>1136</v>
      </c>
      <c r="AL237" s="23" t="s">
        <v>619</v>
      </c>
      <c r="AN237" s="23">
        <v>2</v>
      </c>
      <c r="AP237" s="73"/>
      <c r="AQ237" s="75"/>
      <c r="AR237" s="76"/>
      <c r="AS237" s="77"/>
      <c r="AV237" s="75"/>
      <c r="AW237" s="83"/>
      <c r="AX237" s="84"/>
      <c r="AY237" s="80"/>
      <c r="BB237" s="81"/>
      <c r="BG237" s="23" t="s">
        <v>1252</v>
      </c>
    </row>
    <row r="238" spans="1:60" ht="15" customHeight="1">
      <c r="A238" s="23" t="s">
        <v>1199</v>
      </c>
      <c r="B238" s="23" t="s">
        <v>1205</v>
      </c>
      <c r="C238" s="23" t="s">
        <v>1198</v>
      </c>
      <c r="D238" s="23">
        <v>4</v>
      </c>
      <c r="E238" s="23">
        <v>1</v>
      </c>
      <c r="F238" s="23" t="s">
        <v>1131</v>
      </c>
      <c r="G238" s="23" t="s">
        <v>1137</v>
      </c>
      <c r="J238" s="23" t="s">
        <v>619</v>
      </c>
      <c r="L238" s="23">
        <v>3</v>
      </c>
      <c r="N238" s="73"/>
      <c r="O238" s="75"/>
      <c r="P238" s="76"/>
      <c r="Q238" s="77"/>
      <c r="U238" s="75"/>
      <c r="V238" s="78"/>
      <c r="W238" s="79"/>
      <c r="X238" s="80"/>
      <c r="Z238" s="68">
        <v>3</v>
      </c>
      <c r="AA238" s="81"/>
      <c r="AE238" s="23"/>
      <c r="AF238" s="23" t="s">
        <v>1266</v>
      </c>
      <c r="AI238" s="23" t="s">
        <v>1137</v>
      </c>
      <c r="AL238" s="23" t="s">
        <v>619</v>
      </c>
      <c r="AN238" s="23">
        <v>3</v>
      </c>
      <c r="AP238" s="73"/>
      <c r="AQ238" s="75"/>
      <c r="AR238" s="76"/>
      <c r="AS238" s="77"/>
      <c r="AV238" s="75"/>
      <c r="AW238" s="83"/>
      <c r="AX238" s="84"/>
      <c r="AY238" s="80"/>
      <c r="BB238" s="81"/>
      <c r="BG238" s="23" t="s">
        <v>1253</v>
      </c>
    </row>
    <row r="239" spans="1:60" ht="15" customHeight="1">
      <c r="A239" s="23" t="s">
        <v>1199</v>
      </c>
      <c r="B239" s="23" t="s">
        <v>1206</v>
      </c>
      <c r="C239" s="23" t="s">
        <v>1198</v>
      </c>
      <c r="D239" s="23">
        <v>5</v>
      </c>
      <c r="E239" s="23">
        <v>1</v>
      </c>
      <c r="F239" s="23" t="s">
        <v>1131</v>
      </c>
      <c r="G239" s="23" t="s">
        <v>1138</v>
      </c>
      <c r="J239" s="23" t="s">
        <v>621</v>
      </c>
      <c r="L239" s="23">
        <v>1</v>
      </c>
      <c r="N239" s="73"/>
      <c r="O239" s="75"/>
      <c r="P239" s="76"/>
      <c r="Q239" s="77"/>
      <c r="U239" s="75"/>
      <c r="V239" s="78"/>
      <c r="W239" s="79"/>
      <c r="X239" s="80"/>
      <c r="Y239" s="66">
        <v>0</v>
      </c>
      <c r="AA239" s="81"/>
      <c r="AE239" s="23"/>
      <c r="AF239" s="23" t="s">
        <v>1301</v>
      </c>
      <c r="AI239" s="23" t="s">
        <v>1138</v>
      </c>
      <c r="AL239" s="23" t="s">
        <v>621</v>
      </c>
      <c r="AN239" s="23">
        <v>1</v>
      </c>
      <c r="AP239" s="73"/>
      <c r="AQ239" s="75"/>
      <c r="AR239" s="76"/>
      <c r="AS239" s="77"/>
      <c r="AV239" s="75"/>
      <c r="AW239" s="83"/>
      <c r="AX239" s="84"/>
      <c r="AY239" s="80"/>
      <c r="BB239" s="81"/>
      <c r="BG239" s="23" t="s">
        <v>1254</v>
      </c>
    </row>
    <row r="240" spans="1:60" ht="15" customHeight="1">
      <c r="A240" s="23" t="s">
        <v>1199</v>
      </c>
      <c r="B240" s="23" t="s">
        <v>1207</v>
      </c>
      <c r="C240" s="23" t="s">
        <v>1198</v>
      </c>
      <c r="D240" s="23">
        <v>6</v>
      </c>
      <c r="E240" s="23">
        <v>1</v>
      </c>
      <c r="F240" s="23" t="s">
        <v>1131</v>
      </c>
      <c r="G240" s="23" t="s">
        <v>1139</v>
      </c>
      <c r="J240" s="23" t="s">
        <v>621</v>
      </c>
      <c r="L240" s="23">
        <v>2</v>
      </c>
      <c r="N240" s="73"/>
      <c r="O240" s="75"/>
      <c r="P240" s="76"/>
      <c r="Q240" s="77"/>
      <c r="U240" s="75"/>
      <c r="V240" s="78"/>
      <c r="W240" s="79"/>
      <c r="X240" s="80"/>
      <c r="Y240" s="66">
        <v>0</v>
      </c>
      <c r="AA240" s="81"/>
      <c r="AE240" s="23"/>
      <c r="AF240" s="23" t="s">
        <v>1267</v>
      </c>
      <c r="AI240" s="23" t="s">
        <v>1140</v>
      </c>
      <c r="AL240" s="23" t="s">
        <v>31</v>
      </c>
      <c r="AP240" s="73"/>
      <c r="AQ240" s="75"/>
      <c r="AR240" s="76"/>
      <c r="AS240" s="77"/>
      <c r="AV240" s="75"/>
      <c r="AW240" s="83"/>
      <c r="AX240" s="84"/>
      <c r="AY240" s="80">
        <v>5</v>
      </c>
      <c r="AZ240" s="66">
        <v>0</v>
      </c>
      <c r="BB240" s="81"/>
      <c r="BE240" s="23" t="s">
        <v>1141</v>
      </c>
      <c r="BG240" s="23" t="s">
        <v>1268</v>
      </c>
    </row>
    <row r="241" spans="1:59" ht="15" customHeight="1">
      <c r="A241" s="23" t="s">
        <v>1199</v>
      </c>
      <c r="B241" s="23" t="s">
        <v>1208</v>
      </c>
      <c r="C241" s="23" t="s">
        <v>1198</v>
      </c>
      <c r="D241" s="23">
        <v>6</v>
      </c>
      <c r="E241" s="23">
        <v>1</v>
      </c>
      <c r="F241" s="23" t="s">
        <v>1131</v>
      </c>
      <c r="G241" s="23" t="s">
        <v>1140</v>
      </c>
      <c r="J241" s="23" t="s">
        <v>31</v>
      </c>
      <c r="N241" s="73"/>
      <c r="O241" s="75"/>
      <c r="P241" s="76"/>
      <c r="Q241" s="77"/>
      <c r="U241" s="75"/>
      <c r="V241" s="78"/>
      <c r="W241" s="79"/>
      <c r="X241" s="80">
        <v>5</v>
      </c>
      <c r="Y241" s="66">
        <v>0</v>
      </c>
      <c r="AA241" s="81"/>
      <c r="AD241" s="23" t="s">
        <v>1141</v>
      </c>
      <c r="AE241" s="23"/>
      <c r="AF241" s="23" t="s">
        <v>1268</v>
      </c>
      <c r="AP241" s="73"/>
      <c r="AQ241" s="75"/>
      <c r="AR241" s="76"/>
      <c r="AS241" s="77"/>
      <c r="AV241" s="75"/>
      <c r="AW241" s="83"/>
      <c r="AX241" s="84"/>
      <c r="AY241" s="80"/>
      <c r="BB241" s="81"/>
    </row>
    <row r="242" spans="1:59" ht="15" customHeight="1">
      <c r="A242" s="23" t="s">
        <v>1199</v>
      </c>
      <c r="B242" s="23" t="s">
        <v>1209</v>
      </c>
      <c r="C242" s="23" t="s">
        <v>1198</v>
      </c>
      <c r="D242" s="23">
        <v>7</v>
      </c>
      <c r="E242" s="23">
        <v>1</v>
      </c>
      <c r="F242" s="23" t="s">
        <v>1131</v>
      </c>
      <c r="G242" s="23" t="s">
        <v>1142</v>
      </c>
      <c r="J242" s="23" t="s">
        <v>621</v>
      </c>
      <c r="L242" s="23">
        <v>3</v>
      </c>
      <c r="N242" s="73"/>
      <c r="O242" s="75"/>
      <c r="P242" s="76"/>
      <c r="Q242" s="77"/>
      <c r="U242" s="75"/>
      <c r="V242" s="78"/>
      <c r="W242" s="79"/>
      <c r="X242" s="80"/>
      <c r="Y242" s="66">
        <v>0</v>
      </c>
      <c r="AA242" s="81"/>
      <c r="AE242" s="23"/>
      <c r="AF242" s="23" t="s">
        <v>1302</v>
      </c>
      <c r="AI242" s="23" t="s">
        <v>1142</v>
      </c>
      <c r="AL242" s="23" t="s">
        <v>621</v>
      </c>
      <c r="AN242" s="23">
        <v>3</v>
      </c>
      <c r="AP242" s="73"/>
      <c r="AQ242" s="75"/>
      <c r="AR242" s="76"/>
      <c r="AS242" s="77"/>
      <c r="AV242" s="75"/>
      <c r="AW242" s="83"/>
      <c r="AX242" s="84"/>
      <c r="AY242" s="80"/>
      <c r="BB242" s="81"/>
    </row>
    <row r="243" spans="1:59" ht="15" customHeight="1">
      <c r="A243" s="23" t="s">
        <v>1199</v>
      </c>
      <c r="B243" s="23" t="s">
        <v>1210</v>
      </c>
      <c r="C243" s="23" t="s">
        <v>1198</v>
      </c>
      <c r="D243" s="23">
        <v>8</v>
      </c>
      <c r="E243" s="23">
        <v>1</v>
      </c>
      <c r="F243" s="23" t="s">
        <v>1131</v>
      </c>
      <c r="G243" s="23" t="s">
        <v>1143</v>
      </c>
      <c r="J243" s="23" t="s">
        <v>31</v>
      </c>
      <c r="N243" s="73"/>
      <c r="O243" s="75"/>
      <c r="P243" s="76"/>
      <c r="Q243" s="77"/>
      <c r="U243" s="75"/>
      <c r="V243" s="78"/>
      <c r="W243" s="79"/>
      <c r="X243" s="80"/>
      <c r="AA243" s="81"/>
      <c r="AD243" s="23" t="s">
        <v>1144</v>
      </c>
      <c r="AE243" s="23"/>
      <c r="AF243" s="23" t="s">
        <v>1255</v>
      </c>
      <c r="AI243" s="23" t="s">
        <v>1143</v>
      </c>
      <c r="AL243" s="23" t="s">
        <v>31</v>
      </c>
      <c r="AP243" s="73"/>
      <c r="AQ243" s="75"/>
      <c r="AR243" s="76"/>
      <c r="AS243" s="77"/>
      <c r="AV243" s="75"/>
      <c r="AW243" s="83"/>
      <c r="AX243" s="84"/>
      <c r="AY243" s="80">
        <v>3</v>
      </c>
      <c r="AZ243" s="66">
        <v>0</v>
      </c>
      <c r="BB243" s="81"/>
      <c r="BE243" s="23" t="s">
        <v>1144</v>
      </c>
      <c r="BG243" s="23" t="s">
        <v>1269</v>
      </c>
    </row>
    <row r="244" spans="1:59" ht="15" customHeight="1">
      <c r="A244" s="23" t="s">
        <v>1199</v>
      </c>
      <c r="B244" s="23" t="s">
        <v>1211</v>
      </c>
      <c r="C244" s="23" t="s">
        <v>1198</v>
      </c>
      <c r="D244" s="23">
        <v>9</v>
      </c>
      <c r="E244" s="23">
        <v>1</v>
      </c>
      <c r="F244" s="23" t="s">
        <v>1131</v>
      </c>
      <c r="G244" s="23" t="s">
        <v>1145</v>
      </c>
      <c r="J244" s="23" t="s">
        <v>31</v>
      </c>
      <c r="N244" s="73"/>
      <c r="O244" s="75"/>
      <c r="P244" s="76"/>
      <c r="Q244" s="77"/>
      <c r="U244" s="75"/>
      <c r="V244" s="78"/>
      <c r="W244" s="79"/>
      <c r="X244" s="80"/>
      <c r="AA244" s="81"/>
      <c r="AD244" s="23" t="s">
        <v>1144</v>
      </c>
      <c r="AE244" s="23"/>
      <c r="AF244" s="23" t="s">
        <v>1256</v>
      </c>
      <c r="AI244" s="23" t="s">
        <v>1145</v>
      </c>
      <c r="AL244" s="23" t="s">
        <v>31</v>
      </c>
      <c r="AP244" s="73"/>
      <c r="AQ244" s="75"/>
      <c r="AR244" s="76"/>
      <c r="AS244" s="77"/>
      <c r="AV244" s="75"/>
      <c r="AW244" s="83"/>
      <c r="AX244" s="84"/>
      <c r="AY244" s="80">
        <v>2</v>
      </c>
      <c r="AZ244" s="66">
        <v>1</v>
      </c>
      <c r="BB244" s="81"/>
      <c r="BE244" s="23" t="s">
        <v>1144</v>
      </c>
      <c r="BG244" s="23" t="s">
        <v>1270</v>
      </c>
    </row>
    <row r="245" spans="1:59" ht="15" customHeight="1">
      <c r="A245" s="23" t="s">
        <v>1199</v>
      </c>
      <c r="B245" s="23" t="s">
        <v>1212</v>
      </c>
      <c r="C245" s="23" t="s">
        <v>1198</v>
      </c>
      <c r="D245" s="23">
        <v>10</v>
      </c>
      <c r="E245" s="23">
        <v>1</v>
      </c>
      <c r="F245" s="23" t="s">
        <v>1131</v>
      </c>
      <c r="G245" s="23" t="s">
        <v>1146</v>
      </c>
      <c r="J245" s="23" t="s">
        <v>31</v>
      </c>
      <c r="N245" s="73"/>
      <c r="O245" s="75"/>
      <c r="P245" s="76"/>
      <c r="Q245" s="77"/>
      <c r="U245" s="75"/>
      <c r="V245" s="78"/>
      <c r="W245" s="79"/>
      <c r="X245" s="80"/>
      <c r="AA245" s="81"/>
      <c r="AD245" s="23" t="s">
        <v>1144</v>
      </c>
      <c r="AE245" s="23"/>
      <c r="AF245" s="23" t="s">
        <v>1257</v>
      </c>
      <c r="AI245" s="23" t="s">
        <v>1146</v>
      </c>
      <c r="AL245" s="23" t="s">
        <v>31</v>
      </c>
      <c r="AP245" s="73"/>
      <c r="AQ245" s="75"/>
      <c r="AR245" s="76"/>
      <c r="AS245" s="77"/>
      <c r="AV245" s="75"/>
      <c r="AW245" s="83"/>
      <c r="AX245" s="84"/>
      <c r="AY245" s="80">
        <v>2</v>
      </c>
      <c r="AZ245" s="66">
        <v>2</v>
      </c>
      <c r="BB245" s="81"/>
      <c r="BE245" s="23" t="s">
        <v>1144</v>
      </c>
      <c r="BG245" s="23" t="s">
        <v>1271</v>
      </c>
    </row>
    <row r="246" spans="1:59" ht="15" customHeight="1">
      <c r="A246" s="23" t="s">
        <v>1199</v>
      </c>
      <c r="B246" s="23" t="s">
        <v>1213</v>
      </c>
      <c r="C246" s="23" t="s">
        <v>1198</v>
      </c>
      <c r="D246" s="23">
        <v>11</v>
      </c>
      <c r="E246" s="23">
        <v>1</v>
      </c>
      <c r="F246" s="23" t="s">
        <v>1131</v>
      </c>
      <c r="G246" s="23" t="s">
        <v>1147</v>
      </c>
      <c r="J246" s="23" t="s">
        <v>31</v>
      </c>
      <c r="N246" s="73"/>
      <c r="O246" s="75"/>
      <c r="P246" s="76"/>
      <c r="Q246" s="77"/>
      <c r="U246" s="75"/>
      <c r="V246" s="78"/>
      <c r="W246" s="79"/>
      <c r="X246" s="80"/>
      <c r="AA246" s="81"/>
      <c r="AD246" s="23" t="s">
        <v>1148</v>
      </c>
      <c r="AE246" s="23"/>
      <c r="AF246" s="23" t="s">
        <v>1258</v>
      </c>
      <c r="AI246" s="23" t="s">
        <v>1147</v>
      </c>
      <c r="AL246" s="23" t="s">
        <v>31</v>
      </c>
      <c r="AP246" s="73"/>
      <c r="AQ246" s="75"/>
      <c r="AR246" s="76"/>
      <c r="AS246" s="77"/>
      <c r="AV246" s="75"/>
      <c r="AW246" s="83"/>
      <c r="AX246" s="84"/>
      <c r="AY246" s="80">
        <v>2</v>
      </c>
      <c r="AZ246" s="66">
        <v>1</v>
      </c>
      <c r="BB246" s="81"/>
      <c r="BE246" s="23" t="s">
        <v>1148</v>
      </c>
      <c r="BG246" s="23" t="s">
        <v>1272</v>
      </c>
    </row>
    <row r="247" spans="1:59" ht="15" customHeight="1">
      <c r="A247" s="23" t="s">
        <v>1199</v>
      </c>
      <c r="B247" s="23" t="s">
        <v>1214</v>
      </c>
      <c r="C247" s="23" t="s">
        <v>1198</v>
      </c>
      <c r="D247" s="23">
        <v>12</v>
      </c>
      <c r="E247" s="23">
        <v>1</v>
      </c>
      <c r="F247" s="23" t="s">
        <v>1131</v>
      </c>
      <c r="G247" s="23" t="s">
        <v>1149</v>
      </c>
      <c r="J247" s="23" t="s">
        <v>31</v>
      </c>
      <c r="N247" s="73"/>
      <c r="O247" s="75"/>
      <c r="P247" s="76"/>
      <c r="Q247" s="77"/>
      <c r="U247" s="75"/>
      <c r="V247" s="78"/>
      <c r="W247" s="79"/>
      <c r="X247" s="80"/>
      <c r="AA247" s="81"/>
      <c r="AD247" s="23" t="s">
        <v>1144</v>
      </c>
      <c r="AE247" s="23"/>
      <c r="AF247" s="23" t="s">
        <v>1259</v>
      </c>
      <c r="AI247" s="23" t="s">
        <v>1149</v>
      </c>
      <c r="AL247" s="23" t="s">
        <v>31</v>
      </c>
      <c r="AP247" s="73"/>
      <c r="AQ247" s="75"/>
      <c r="AR247" s="76"/>
      <c r="AS247" s="77"/>
      <c r="AV247" s="75"/>
      <c r="AW247" s="83"/>
      <c r="AX247" s="84"/>
      <c r="AY247" s="80">
        <v>3</v>
      </c>
      <c r="AZ247" s="66">
        <v>1</v>
      </c>
      <c r="BB247" s="81"/>
      <c r="BE247" s="23" t="s">
        <v>1144</v>
      </c>
      <c r="BG247" s="23" t="s">
        <v>1273</v>
      </c>
    </row>
    <row r="248" spans="1:59" ht="15" customHeight="1">
      <c r="A248" s="23" t="s">
        <v>1199</v>
      </c>
      <c r="B248" s="23" t="s">
        <v>1215</v>
      </c>
      <c r="C248" s="23" t="s">
        <v>1198</v>
      </c>
      <c r="D248" s="23">
        <v>13</v>
      </c>
      <c r="E248" s="23">
        <v>1</v>
      </c>
      <c r="F248" s="23" t="s">
        <v>1131</v>
      </c>
      <c r="G248" s="23" t="s">
        <v>1150</v>
      </c>
      <c r="J248" s="23" t="s">
        <v>31</v>
      </c>
      <c r="N248" s="73"/>
      <c r="O248" s="75"/>
      <c r="P248" s="76"/>
      <c r="Q248" s="77"/>
      <c r="U248" s="75"/>
      <c r="V248" s="78"/>
      <c r="W248" s="79"/>
      <c r="X248" s="80"/>
      <c r="AA248" s="81"/>
      <c r="AD248" s="23" t="s">
        <v>1148</v>
      </c>
      <c r="AE248" s="23"/>
      <c r="AF248" s="23" t="s">
        <v>1260</v>
      </c>
      <c r="AI248" s="23" t="s">
        <v>1150</v>
      </c>
      <c r="AL248" s="23" t="s">
        <v>31</v>
      </c>
      <c r="AP248" s="73"/>
      <c r="AQ248" s="75"/>
      <c r="AR248" s="76"/>
      <c r="AS248" s="77"/>
      <c r="AV248" s="75"/>
      <c r="AW248" s="83"/>
      <c r="AX248" s="84"/>
      <c r="AY248" s="80">
        <v>1</v>
      </c>
      <c r="AZ248" s="66">
        <v>2</v>
      </c>
      <c r="BB248" s="81"/>
      <c r="BE248" s="23" t="s">
        <v>1148</v>
      </c>
      <c r="BG248" s="23" t="s">
        <v>1274</v>
      </c>
    </row>
    <row r="249" spans="1:59" ht="15" customHeight="1">
      <c r="A249" s="23" t="s">
        <v>1199</v>
      </c>
      <c r="B249" s="23" t="s">
        <v>1216</v>
      </c>
      <c r="C249" s="23" t="s">
        <v>1198</v>
      </c>
      <c r="D249" s="23">
        <v>14</v>
      </c>
      <c r="E249" s="23">
        <v>1</v>
      </c>
      <c r="F249" s="23" t="s">
        <v>1131</v>
      </c>
      <c r="G249" s="23" t="s">
        <v>1151</v>
      </c>
      <c r="J249" s="23" t="s">
        <v>31</v>
      </c>
      <c r="N249" s="73"/>
      <c r="O249" s="75"/>
      <c r="P249" s="76"/>
      <c r="Q249" s="77"/>
      <c r="U249" s="75"/>
      <c r="V249" s="78"/>
      <c r="W249" s="79"/>
      <c r="X249" s="80"/>
      <c r="AA249" s="81"/>
      <c r="AD249" s="23" t="s">
        <v>1144</v>
      </c>
      <c r="AE249" s="23"/>
      <c r="AF249" s="23" t="s">
        <v>1261</v>
      </c>
      <c r="AI249" s="23" t="s">
        <v>1151</v>
      </c>
      <c r="AL249" s="23" t="s">
        <v>31</v>
      </c>
      <c r="AP249" s="73"/>
      <c r="AQ249" s="75"/>
      <c r="AR249" s="76"/>
      <c r="AS249" s="77"/>
      <c r="AV249" s="75"/>
      <c r="AW249" s="83"/>
      <c r="AX249" s="84"/>
      <c r="AY249" s="80">
        <v>4</v>
      </c>
      <c r="AZ249" s="66">
        <v>1</v>
      </c>
      <c r="BB249" s="81"/>
      <c r="BE249" s="23" t="s">
        <v>1144</v>
      </c>
      <c r="BG249" s="23" t="s">
        <v>1275</v>
      </c>
    </row>
    <row r="250" spans="1:59" ht="15" customHeight="1">
      <c r="A250" s="23" t="s">
        <v>1199</v>
      </c>
      <c r="B250" s="23" t="s">
        <v>1217</v>
      </c>
      <c r="C250" s="23" t="s">
        <v>1198</v>
      </c>
      <c r="D250" s="23">
        <v>15</v>
      </c>
      <c r="E250" s="23">
        <v>1</v>
      </c>
      <c r="F250" s="23" t="s">
        <v>1131</v>
      </c>
      <c r="G250" s="23" t="s">
        <v>1152</v>
      </c>
      <c r="J250" s="23" t="s">
        <v>31</v>
      </c>
      <c r="N250" s="73"/>
      <c r="O250" s="75"/>
      <c r="P250" s="76"/>
      <c r="Q250" s="77"/>
      <c r="U250" s="75"/>
      <c r="V250" s="78"/>
      <c r="W250" s="79"/>
      <c r="X250" s="80"/>
      <c r="AA250" s="81"/>
      <c r="AD250" s="23" t="s">
        <v>1148</v>
      </c>
      <c r="AE250" s="23"/>
      <c r="AF250" s="23" t="s">
        <v>1262</v>
      </c>
      <c r="AI250" s="23" t="s">
        <v>1152</v>
      </c>
      <c r="AL250" s="23" t="s">
        <v>31</v>
      </c>
      <c r="AP250" s="73"/>
      <c r="AQ250" s="75"/>
      <c r="AR250" s="76"/>
      <c r="AS250" s="77"/>
      <c r="AV250" s="75"/>
      <c r="AW250" s="83"/>
      <c r="AX250" s="84"/>
      <c r="AY250" s="80">
        <v>2</v>
      </c>
      <c r="AZ250" s="66">
        <v>1</v>
      </c>
      <c r="BB250" s="81"/>
      <c r="BE250" s="23" t="s">
        <v>1148</v>
      </c>
      <c r="BG250" s="23" t="s">
        <v>1276</v>
      </c>
    </row>
    <row r="251" spans="1:59" ht="15" customHeight="1">
      <c r="A251" s="23" t="s">
        <v>1199</v>
      </c>
      <c r="B251" s="23" t="s">
        <v>1218</v>
      </c>
      <c r="C251" s="23" t="s">
        <v>1198</v>
      </c>
      <c r="D251" s="23">
        <v>16</v>
      </c>
      <c r="E251" s="23">
        <v>1</v>
      </c>
      <c r="F251" s="23" t="s">
        <v>1131</v>
      </c>
      <c r="G251" s="23" t="s">
        <v>1153</v>
      </c>
      <c r="J251" s="23" t="s">
        <v>31</v>
      </c>
      <c r="N251" s="73"/>
      <c r="O251" s="75"/>
      <c r="P251" s="76"/>
      <c r="Q251" s="77"/>
      <c r="U251" s="75"/>
      <c r="V251" s="78"/>
      <c r="W251" s="79"/>
      <c r="X251" s="80"/>
      <c r="AA251" s="81"/>
      <c r="AD251" s="23" t="s">
        <v>1144</v>
      </c>
      <c r="AE251" s="23"/>
      <c r="AF251" s="23" t="s">
        <v>1263</v>
      </c>
      <c r="AI251" s="23" t="s">
        <v>1153</v>
      </c>
      <c r="AL251" s="23" t="s">
        <v>31</v>
      </c>
      <c r="AP251" s="73"/>
      <c r="AQ251" s="75"/>
      <c r="AR251" s="76"/>
      <c r="AS251" s="77"/>
      <c r="AV251" s="75"/>
      <c r="AW251" s="83"/>
      <c r="AX251" s="84"/>
      <c r="AY251" s="80">
        <v>3</v>
      </c>
      <c r="AZ251" s="66">
        <v>2</v>
      </c>
      <c r="BB251" s="81"/>
      <c r="BE251" s="23" t="s">
        <v>1144</v>
      </c>
      <c r="BG251" s="23" t="s">
        <v>1277</v>
      </c>
    </row>
    <row r="252" spans="1:59" ht="15" customHeight="1">
      <c r="A252" s="23" t="s">
        <v>1199</v>
      </c>
      <c r="B252" s="23" t="s">
        <v>1219</v>
      </c>
      <c r="C252" s="23" t="s">
        <v>1198</v>
      </c>
      <c r="D252" s="23">
        <v>17</v>
      </c>
      <c r="E252" s="23">
        <v>1</v>
      </c>
      <c r="F252" s="23" t="s">
        <v>1131</v>
      </c>
      <c r="G252" s="23" t="s">
        <v>1154</v>
      </c>
      <c r="H252" s="23" t="s">
        <v>1155</v>
      </c>
      <c r="I252" s="23" t="s">
        <v>223</v>
      </c>
      <c r="J252" s="23" t="s">
        <v>29</v>
      </c>
      <c r="N252" s="73"/>
      <c r="O252" s="75"/>
      <c r="P252" s="76"/>
      <c r="Q252" s="77">
        <v>4</v>
      </c>
      <c r="R252" s="66">
        <v>3</v>
      </c>
      <c r="T252" s="68">
        <v>4</v>
      </c>
      <c r="U252" s="75"/>
      <c r="V252" s="78">
        <v>2</v>
      </c>
      <c r="W252" s="79">
        <v>0</v>
      </c>
      <c r="X252" s="80"/>
      <c r="AA252" s="81">
        <v>1</v>
      </c>
      <c r="AD252" s="23" t="s">
        <v>1156</v>
      </c>
      <c r="AE252" s="23"/>
      <c r="AF252" s="23" t="s">
        <v>1157</v>
      </c>
      <c r="AI252" s="23" t="s">
        <v>1158</v>
      </c>
      <c r="AL252" s="23" t="s">
        <v>257</v>
      </c>
      <c r="AM252" s="23" t="s">
        <v>26</v>
      </c>
      <c r="AP252" s="73"/>
      <c r="AQ252" s="75"/>
      <c r="AR252" s="76"/>
      <c r="AS252" s="77"/>
      <c r="AV252" s="75"/>
      <c r="AW252" s="83"/>
      <c r="AX252" s="84"/>
      <c r="AY252" s="80"/>
      <c r="BB252" s="81"/>
      <c r="BE252" s="23" t="s">
        <v>1159</v>
      </c>
      <c r="BG252" s="23" t="s">
        <v>1278</v>
      </c>
    </row>
    <row r="253" spans="1:59" ht="15" customHeight="1">
      <c r="A253" s="23" t="s">
        <v>1199</v>
      </c>
      <c r="B253" s="23" t="s">
        <v>1220</v>
      </c>
      <c r="C253" s="23" t="s">
        <v>1198</v>
      </c>
      <c r="D253" s="23">
        <v>18</v>
      </c>
      <c r="E253" s="23">
        <v>1</v>
      </c>
      <c r="F253" s="23" t="s">
        <v>1131</v>
      </c>
      <c r="G253" s="23" t="s">
        <v>1160</v>
      </c>
      <c r="H253" s="23" t="s">
        <v>1161</v>
      </c>
      <c r="I253" s="23" t="s">
        <v>223</v>
      </c>
      <c r="J253" s="23" t="s">
        <v>29</v>
      </c>
      <c r="N253" s="73"/>
      <c r="O253" s="75"/>
      <c r="P253" s="76"/>
      <c r="Q253" s="77">
        <v>3</v>
      </c>
      <c r="R253" s="66">
        <v>4</v>
      </c>
      <c r="T253" s="68">
        <v>4</v>
      </c>
      <c r="U253" s="75"/>
      <c r="V253" s="78">
        <v>1</v>
      </c>
      <c r="W253" s="79">
        <v>1</v>
      </c>
      <c r="X253" s="80"/>
      <c r="AA253" s="81">
        <v>1</v>
      </c>
      <c r="AD253" s="23" t="s">
        <v>1162</v>
      </c>
      <c r="AE253" s="23"/>
      <c r="AF253" s="23" t="s">
        <v>1279</v>
      </c>
      <c r="AI253" s="23" t="s">
        <v>1158</v>
      </c>
      <c r="AL253" s="23" t="s">
        <v>257</v>
      </c>
      <c r="AM253" s="23" t="s">
        <v>26</v>
      </c>
      <c r="AP253" s="73"/>
      <c r="AQ253" s="75"/>
      <c r="AR253" s="76"/>
      <c r="AS253" s="77"/>
      <c r="AV253" s="75"/>
      <c r="AW253" s="83"/>
      <c r="AX253" s="84"/>
      <c r="AY253" s="80"/>
      <c r="BB253" s="81"/>
      <c r="BE253" s="23" t="s">
        <v>1159</v>
      </c>
      <c r="BG253" s="23" t="s">
        <v>1278</v>
      </c>
    </row>
    <row r="254" spans="1:59" ht="15" customHeight="1">
      <c r="A254" s="23" t="s">
        <v>1199</v>
      </c>
      <c r="B254" s="23" t="s">
        <v>1221</v>
      </c>
      <c r="C254" s="23" t="s">
        <v>1198</v>
      </c>
      <c r="D254" s="23">
        <v>19</v>
      </c>
      <c r="E254" s="23">
        <v>1</v>
      </c>
      <c r="F254" s="23" t="s">
        <v>1131</v>
      </c>
      <c r="G254" s="23" t="s">
        <v>1163</v>
      </c>
      <c r="H254" s="23" t="s">
        <v>1164</v>
      </c>
      <c r="I254" s="23" t="s">
        <v>223</v>
      </c>
      <c r="J254" s="23" t="s">
        <v>29</v>
      </c>
      <c r="N254" s="73"/>
      <c r="O254" s="75"/>
      <c r="P254" s="76"/>
      <c r="Q254" s="77">
        <v>-2</v>
      </c>
      <c r="R254" s="66">
        <v>-2</v>
      </c>
      <c r="T254" s="68">
        <v>3</v>
      </c>
      <c r="U254" s="75"/>
      <c r="V254" s="78">
        <v>0</v>
      </c>
      <c r="W254" s="79">
        <v>2</v>
      </c>
      <c r="X254" s="80"/>
      <c r="AA254" s="81">
        <v>1</v>
      </c>
      <c r="AD254" s="23" t="s">
        <v>1165</v>
      </c>
      <c r="AE254" s="23"/>
      <c r="AF254" s="23" t="s">
        <v>1280</v>
      </c>
      <c r="AI254" s="23" t="s">
        <v>1158</v>
      </c>
      <c r="AL254" s="23" t="s">
        <v>257</v>
      </c>
      <c r="AM254" s="23" t="s">
        <v>26</v>
      </c>
      <c r="AP254" s="73"/>
      <c r="AQ254" s="75"/>
      <c r="AR254" s="76"/>
      <c r="AS254" s="77"/>
      <c r="AV254" s="75"/>
      <c r="AW254" s="83"/>
      <c r="AX254" s="84"/>
      <c r="AY254" s="80"/>
      <c r="BB254" s="81"/>
      <c r="BE254" s="23" t="s">
        <v>1159</v>
      </c>
      <c r="BG254" s="23" t="s">
        <v>1278</v>
      </c>
    </row>
    <row r="255" spans="1:59" ht="15" customHeight="1">
      <c r="A255" s="23" t="s">
        <v>1199</v>
      </c>
      <c r="B255" s="30" t="s">
        <v>1222</v>
      </c>
      <c r="C255" s="23" t="s">
        <v>1198</v>
      </c>
      <c r="D255" s="23">
        <v>20</v>
      </c>
      <c r="E255" s="23">
        <v>1</v>
      </c>
      <c r="F255" s="23" t="s">
        <v>1131</v>
      </c>
      <c r="G255" s="23" t="s">
        <v>1166</v>
      </c>
      <c r="H255" s="23" t="s">
        <v>1167</v>
      </c>
      <c r="I255" s="23" t="s">
        <v>223</v>
      </c>
      <c r="J255" s="23" t="s">
        <v>29</v>
      </c>
      <c r="N255" s="73"/>
      <c r="O255" s="75"/>
      <c r="P255" s="76"/>
      <c r="Q255" s="77">
        <v>3</v>
      </c>
      <c r="R255" s="66">
        <v>3</v>
      </c>
      <c r="T255" s="68">
        <v>5</v>
      </c>
      <c r="U255" s="75"/>
      <c r="V255" s="78">
        <v>1</v>
      </c>
      <c r="W255" s="79">
        <v>1</v>
      </c>
      <c r="X255" s="80"/>
      <c r="AA255" s="81">
        <v>1</v>
      </c>
      <c r="AD255" s="23" t="s">
        <v>1135</v>
      </c>
      <c r="AE255" s="23"/>
      <c r="AF255" s="23" t="s">
        <v>1168</v>
      </c>
      <c r="AI255" s="23" t="s">
        <v>1158</v>
      </c>
      <c r="AL255" s="23" t="s">
        <v>257</v>
      </c>
      <c r="AM255" s="23" t="s">
        <v>26</v>
      </c>
      <c r="AP255" s="73"/>
      <c r="AQ255" s="75"/>
      <c r="AR255" s="76"/>
      <c r="AS255" s="77"/>
      <c r="AV255" s="75"/>
      <c r="AW255" s="83"/>
      <c r="AX255" s="84"/>
      <c r="AY255" s="80"/>
      <c r="BB255" s="81"/>
      <c r="BE255" s="23" t="s">
        <v>1159</v>
      </c>
      <c r="BG255" s="23" t="s">
        <v>1278</v>
      </c>
    </row>
    <row r="256" spans="1:59" ht="15" customHeight="1">
      <c r="A256" s="23" t="s">
        <v>1199</v>
      </c>
      <c r="B256" s="23" t="s">
        <v>1223</v>
      </c>
      <c r="C256" s="23" t="s">
        <v>1198</v>
      </c>
      <c r="D256" s="23">
        <v>21</v>
      </c>
      <c r="E256" s="23">
        <v>3</v>
      </c>
      <c r="F256" s="23" t="s">
        <v>1131</v>
      </c>
      <c r="G256" s="23" t="s">
        <v>1169</v>
      </c>
      <c r="J256" s="23" t="s">
        <v>257</v>
      </c>
      <c r="K256" s="23" t="s">
        <v>26</v>
      </c>
      <c r="N256" s="73"/>
      <c r="O256" s="75"/>
      <c r="P256" s="76"/>
      <c r="Q256" s="77"/>
      <c r="T256" s="68">
        <v>2</v>
      </c>
      <c r="U256" s="75">
        <v>2</v>
      </c>
      <c r="V256" s="78"/>
      <c r="W256" s="79"/>
      <c r="X256" s="80"/>
      <c r="AA256" s="81"/>
      <c r="AD256" s="23" t="s">
        <v>1170</v>
      </c>
      <c r="AE256" s="23"/>
      <c r="AF256" s="23" t="s">
        <v>1281</v>
      </c>
      <c r="AI256" s="23" t="s">
        <v>1158</v>
      </c>
      <c r="AL256" s="23" t="s">
        <v>257</v>
      </c>
      <c r="AM256" s="23" t="s">
        <v>26</v>
      </c>
      <c r="AP256" s="73"/>
      <c r="AQ256" s="75"/>
      <c r="AR256" s="76"/>
      <c r="AS256" s="77"/>
      <c r="AV256" s="75"/>
      <c r="AW256" s="83"/>
      <c r="AX256" s="84"/>
      <c r="AY256" s="80"/>
      <c r="BB256" s="81"/>
      <c r="BE256" s="23" t="s">
        <v>1159</v>
      </c>
      <c r="BG256" s="23" t="s">
        <v>1278</v>
      </c>
    </row>
    <row r="257" spans="1:54" ht="15" customHeight="1">
      <c r="A257" s="23" t="s">
        <v>1199</v>
      </c>
      <c r="B257" s="23" t="s">
        <v>1224</v>
      </c>
      <c r="C257" s="23" t="s">
        <v>1198</v>
      </c>
      <c r="D257" s="23">
        <v>22</v>
      </c>
      <c r="E257" s="23">
        <v>1</v>
      </c>
      <c r="F257" s="23" t="s">
        <v>1131</v>
      </c>
      <c r="G257" s="23" t="s">
        <v>1171</v>
      </c>
      <c r="H257" s="23" t="s">
        <v>1172</v>
      </c>
      <c r="I257" s="23" t="s">
        <v>223</v>
      </c>
      <c r="J257" s="23" t="s">
        <v>257</v>
      </c>
      <c r="K257" s="23" t="s">
        <v>26</v>
      </c>
      <c r="N257" s="73">
        <v>4</v>
      </c>
      <c r="O257" s="75">
        <v>1</v>
      </c>
      <c r="P257" s="76">
        <v>1</v>
      </c>
      <c r="Q257" s="77"/>
      <c r="S257" s="113">
        <v>1</v>
      </c>
      <c r="T257" s="68">
        <v>2</v>
      </c>
      <c r="U257" s="75">
        <v>2</v>
      </c>
      <c r="V257" s="78"/>
      <c r="W257" s="79"/>
      <c r="X257" s="80"/>
      <c r="AA257" s="81"/>
      <c r="AB257" s="23" t="s">
        <v>1079</v>
      </c>
      <c r="AC257" s="23" t="s">
        <v>25</v>
      </c>
      <c r="AD257" s="23" t="s">
        <v>1173</v>
      </c>
      <c r="AE257" s="23"/>
      <c r="AF257" s="23" t="s">
        <v>1282</v>
      </c>
      <c r="AP257" s="73"/>
      <c r="AQ257" s="75"/>
      <c r="AR257" s="76"/>
      <c r="AS257" s="77"/>
      <c r="AV257" s="75"/>
      <c r="AW257" s="83"/>
      <c r="AX257" s="84"/>
      <c r="AY257" s="80"/>
      <c r="BB257" s="81"/>
    </row>
    <row r="258" spans="1:54" ht="15" customHeight="1">
      <c r="A258" s="23" t="s">
        <v>1199</v>
      </c>
      <c r="B258" s="23" t="s">
        <v>1225</v>
      </c>
      <c r="C258" s="23" t="s">
        <v>1198</v>
      </c>
      <c r="D258" s="23">
        <v>23</v>
      </c>
      <c r="E258" s="23">
        <v>1</v>
      </c>
      <c r="F258" s="23" t="s">
        <v>1131</v>
      </c>
      <c r="G258" s="23" t="s">
        <v>1174</v>
      </c>
      <c r="J258" s="23" t="s">
        <v>257</v>
      </c>
      <c r="K258" s="23" t="s">
        <v>26</v>
      </c>
      <c r="N258" s="73">
        <v>1</v>
      </c>
      <c r="O258" s="75"/>
      <c r="P258" s="76"/>
      <c r="Q258" s="77">
        <v>1</v>
      </c>
      <c r="S258" s="113">
        <v>1</v>
      </c>
      <c r="U258" s="75"/>
      <c r="V258" s="78"/>
      <c r="W258" s="79"/>
      <c r="X258" s="80"/>
      <c r="AA258" s="81"/>
      <c r="AB258" s="23" t="s">
        <v>1093</v>
      </c>
      <c r="AD258" s="23" t="s">
        <v>1175</v>
      </c>
      <c r="AE258" s="23"/>
      <c r="AF258" s="23" t="s">
        <v>1283</v>
      </c>
      <c r="AP258" s="73"/>
      <c r="AQ258" s="75"/>
      <c r="AR258" s="76"/>
      <c r="AS258" s="77"/>
      <c r="AV258" s="75"/>
      <c r="AW258" s="83"/>
      <c r="AX258" s="84"/>
      <c r="AY258" s="80"/>
      <c r="BB258" s="81"/>
    </row>
    <row r="259" spans="1:54" ht="15" customHeight="1">
      <c r="A259" s="23" t="s">
        <v>1199</v>
      </c>
      <c r="B259" s="23" t="s">
        <v>1226</v>
      </c>
      <c r="C259" s="23" t="s">
        <v>1198</v>
      </c>
      <c r="D259" s="23">
        <v>24</v>
      </c>
      <c r="E259" s="23">
        <v>1</v>
      </c>
      <c r="F259" s="23" t="s">
        <v>1131</v>
      </c>
      <c r="G259" s="23" t="s">
        <v>1176</v>
      </c>
      <c r="J259" s="23" t="s">
        <v>257</v>
      </c>
      <c r="K259" s="23" t="s">
        <v>26</v>
      </c>
      <c r="N259" s="73">
        <v>1</v>
      </c>
      <c r="O259" s="75">
        <v>1</v>
      </c>
      <c r="P259" s="76"/>
      <c r="Q259" s="77"/>
      <c r="S259" s="113">
        <v>1</v>
      </c>
      <c r="U259" s="75"/>
      <c r="V259" s="78"/>
      <c r="W259" s="79"/>
      <c r="X259" s="80"/>
      <c r="AA259" s="81"/>
      <c r="AB259" s="23" t="s">
        <v>1086</v>
      </c>
      <c r="AD259" s="23" t="s">
        <v>1175</v>
      </c>
      <c r="AE259" s="23"/>
      <c r="AF259" s="23" t="s">
        <v>1284</v>
      </c>
      <c r="AP259" s="73"/>
      <c r="AQ259" s="75"/>
      <c r="AR259" s="76"/>
      <c r="AS259" s="77"/>
      <c r="AV259" s="75"/>
      <c r="AW259" s="83"/>
      <c r="AX259" s="84"/>
      <c r="AY259" s="80"/>
      <c r="BB259" s="81"/>
    </row>
    <row r="260" spans="1:54" ht="15" customHeight="1">
      <c r="A260" s="23" t="s">
        <v>1199</v>
      </c>
      <c r="B260" s="23" t="s">
        <v>1227</v>
      </c>
      <c r="C260" s="23" t="s">
        <v>1198</v>
      </c>
      <c r="D260" s="23">
        <v>25</v>
      </c>
      <c r="E260" s="23">
        <v>1</v>
      </c>
      <c r="F260" s="23" t="s">
        <v>1131</v>
      </c>
      <c r="G260" s="23" t="s">
        <v>1177</v>
      </c>
      <c r="J260" s="23" t="s">
        <v>257</v>
      </c>
      <c r="K260" s="23" t="s">
        <v>26</v>
      </c>
      <c r="N260" s="73">
        <v>1</v>
      </c>
      <c r="O260" s="75"/>
      <c r="P260" s="76">
        <v>1</v>
      </c>
      <c r="Q260" s="77"/>
      <c r="S260" s="113">
        <v>1</v>
      </c>
      <c r="U260" s="75"/>
      <c r="V260" s="78"/>
      <c r="W260" s="79"/>
      <c r="X260" s="80"/>
      <c r="AA260" s="81"/>
      <c r="AB260" s="23" t="s">
        <v>1178</v>
      </c>
      <c r="AD260" s="23" t="s">
        <v>1175</v>
      </c>
      <c r="AE260" s="23"/>
      <c r="AF260" s="23" t="s">
        <v>1285</v>
      </c>
      <c r="AP260" s="73"/>
      <c r="AQ260" s="75"/>
      <c r="AR260" s="76"/>
      <c r="AS260" s="77"/>
      <c r="AV260" s="75"/>
      <c r="AW260" s="83"/>
      <c r="AX260" s="84"/>
      <c r="AY260" s="80"/>
      <c r="BB260" s="81"/>
    </row>
    <row r="261" spans="1:54" ht="15" customHeight="1">
      <c r="A261" s="23" t="s">
        <v>1199</v>
      </c>
      <c r="B261" s="23" t="s">
        <v>1228</v>
      </c>
      <c r="C261" s="23" t="s">
        <v>1198</v>
      </c>
      <c r="D261" s="23">
        <v>24</v>
      </c>
      <c r="E261" s="23">
        <v>1</v>
      </c>
      <c r="F261" s="23" t="s">
        <v>1131</v>
      </c>
      <c r="G261" s="23" t="s">
        <v>1179</v>
      </c>
      <c r="J261" s="23" t="s">
        <v>257</v>
      </c>
      <c r="K261" s="23" t="s">
        <v>26</v>
      </c>
      <c r="N261" s="73">
        <v>1</v>
      </c>
      <c r="O261" s="75"/>
      <c r="P261" s="76"/>
      <c r="Q261" s="77"/>
      <c r="R261" s="66">
        <v>1</v>
      </c>
      <c r="S261" s="113">
        <v>1</v>
      </c>
      <c r="U261" s="75"/>
      <c r="V261" s="78"/>
      <c r="W261" s="79"/>
      <c r="X261" s="80"/>
      <c r="AA261" s="81"/>
      <c r="AB261" s="23" t="s">
        <v>1180</v>
      </c>
      <c r="AD261" s="23" t="s">
        <v>1175</v>
      </c>
      <c r="AE261" s="23"/>
      <c r="AF261" s="23" t="s">
        <v>1286</v>
      </c>
      <c r="AP261" s="73"/>
      <c r="AQ261" s="75"/>
      <c r="AR261" s="76"/>
      <c r="AS261" s="77"/>
      <c r="AV261" s="75"/>
      <c r="AW261" s="83"/>
      <c r="AX261" s="84"/>
      <c r="AY261" s="80"/>
      <c r="BB261" s="81"/>
    </row>
    <row r="262" spans="1:54" ht="15" customHeight="1">
      <c r="A262" s="23" t="s">
        <v>1199</v>
      </c>
      <c r="B262" s="23" t="s">
        <v>1229</v>
      </c>
      <c r="C262" s="23" t="s">
        <v>1198</v>
      </c>
      <c r="D262" s="23">
        <v>27</v>
      </c>
      <c r="E262" s="23">
        <v>1</v>
      </c>
      <c r="F262" s="23" t="s">
        <v>1131</v>
      </c>
      <c r="G262" s="23" t="s">
        <v>1181</v>
      </c>
      <c r="H262" s="23" t="s">
        <v>1182</v>
      </c>
      <c r="I262" s="23" t="s">
        <v>223</v>
      </c>
      <c r="J262" s="23" t="s">
        <v>29</v>
      </c>
      <c r="N262" s="73"/>
      <c r="O262" s="75"/>
      <c r="P262" s="76"/>
      <c r="Q262" s="77">
        <v>4</v>
      </c>
      <c r="T262" s="68">
        <v>8</v>
      </c>
      <c r="U262" s="75"/>
      <c r="V262" s="78">
        <v>2</v>
      </c>
      <c r="W262" s="79">
        <v>2</v>
      </c>
      <c r="X262" s="80"/>
      <c r="AA262" s="81"/>
      <c r="AD262" s="23" t="s">
        <v>1183</v>
      </c>
      <c r="AE262" s="23"/>
      <c r="AF262" s="23" t="s">
        <v>1287</v>
      </c>
      <c r="AP262" s="73"/>
      <c r="AQ262" s="75"/>
      <c r="AR262" s="76"/>
      <c r="AS262" s="77"/>
      <c r="AV262" s="75"/>
      <c r="AW262" s="83"/>
      <c r="AX262" s="84"/>
      <c r="AY262" s="80"/>
      <c r="BB262" s="81"/>
    </row>
    <row r="263" spans="1:54" ht="15" customHeight="1">
      <c r="A263" s="23" t="s">
        <v>1199</v>
      </c>
      <c r="B263" s="23" t="s">
        <v>1230</v>
      </c>
      <c r="C263" s="23" t="s">
        <v>1198</v>
      </c>
      <c r="D263" s="23">
        <v>28</v>
      </c>
      <c r="E263" s="23">
        <v>2</v>
      </c>
      <c r="F263" s="23" t="s">
        <v>1131</v>
      </c>
      <c r="G263" s="23" t="s">
        <v>1184</v>
      </c>
      <c r="J263" s="23" t="s">
        <v>29</v>
      </c>
      <c r="N263" s="73"/>
      <c r="O263" s="75"/>
      <c r="P263" s="76"/>
      <c r="Q263" s="77">
        <v>4</v>
      </c>
      <c r="R263" s="66">
        <v>2</v>
      </c>
      <c r="T263" s="68">
        <v>4</v>
      </c>
      <c r="U263" s="75"/>
      <c r="V263" s="78">
        <v>1</v>
      </c>
      <c r="W263" s="79">
        <v>1</v>
      </c>
      <c r="X263" s="80"/>
      <c r="AA263" s="81"/>
      <c r="AD263" s="23" t="s">
        <v>1185</v>
      </c>
      <c r="AE263" s="23"/>
      <c r="AF263" s="23" t="s">
        <v>1288</v>
      </c>
      <c r="AP263" s="73"/>
      <c r="AQ263" s="75"/>
      <c r="AR263" s="76"/>
      <c r="AS263" s="77"/>
      <c r="AV263" s="75"/>
      <c r="AW263" s="83"/>
      <c r="AX263" s="84"/>
      <c r="AY263" s="80"/>
      <c r="BB263" s="81"/>
    </row>
    <row r="264" spans="1:54" ht="15" customHeight="1">
      <c r="A264" s="23" t="s">
        <v>1199</v>
      </c>
      <c r="B264" s="23" t="s">
        <v>1231</v>
      </c>
      <c r="C264" s="23" t="s">
        <v>1198</v>
      </c>
      <c r="D264" s="23">
        <v>29</v>
      </c>
      <c r="E264" s="23">
        <v>3</v>
      </c>
      <c r="F264" s="23" t="s">
        <v>1131</v>
      </c>
      <c r="G264" s="23" t="s">
        <v>1186</v>
      </c>
      <c r="J264" s="23" t="s">
        <v>29</v>
      </c>
      <c r="N264" s="73"/>
      <c r="O264" s="75"/>
      <c r="P264" s="76"/>
      <c r="Q264" s="77">
        <v>3</v>
      </c>
      <c r="R264" s="66">
        <v>3</v>
      </c>
      <c r="T264" s="68">
        <v>3</v>
      </c>
      <c r="U264" s="75"/>
      <c r="V264" s="78">
        <v>2</v>
      </c>
      <c r="W264" s="79">
        <v>0</v>
      </c>
      <c r="X264" s="80"/>
      <c r="AA264" s="81"/>
      <c r="AD264" s="23" t="s">
        <v>467</v>
      </c>
      <c r="AE264" s="23"/>
      <c r="AF264" s="23" t="s">
        <v>1289</v>
      </c>
      <c r="AP264" s="73"/>
      <c r="AQ264" s="75"/>
      <c r="AR264" s="76"/>
      <c r="AS264" s="77"/>
      <c r="AV264" s="75"/>
      <c r="AW264" s="83"/>
      <c r="AX264" s="84"/>
      <c r="AY264" s="80"/>
      <c r="BB264" s="81"/>
    </row>
    <row r="265" spans="1:54" ht="15" customHeight="1">
      <c r="A265" s="23" t="s">
        <v>1199</v>
      </c>
      <c r="B265" s="30" t="s">
        <v>1232</v>
      </c>
      <c r="C265" s="23" t="s">
        <v>1198</v>
      </c>
      <c r="D265" s="23">
        <v>30</v>
      </c>
      <c r="E265" s="23">
        <v>3</v>
      </c>
      <c r="F265" s="23" t="s">
        <v>1131</v>
      </c>
      <c r="G265" s="23" t="s">
        <v>1187</v>
      </c>
      <c r="J265" s="23" t="s">
        <v>29</v>
      </c>
      <c r="N265" s="73"/>
      <c r="O265" s="75"/>
      <c r="P265" s="76"/>
      <c r="Q265" s="77">
        <v>2</v>
      </c>
      <c r="R265" s="66">
        <v>4</v>
      </c>
      <c r="T265" s="68">
        <v>2</v>
      </c>
      <c r="U265" s="75"/>
      <c r="V265" s="78">
        <v>1</v>
      </c>
      <c r="W265" s="79">
        <v>0</v>
      </c>
      <c r="X265" s="80"/>
      <c r="AA265" s="81"/>
      <c r="AD265" s="23" t="s">
        <v>1188</v>
      </c>
      <c r="AE265" s="23"/>
      <c r="AF265" s="23" t="s">
        <v>1290</v>
      </c>
      <c r="AP265" s="73"/>
      <c r="AQ265" s="75"/>
      <c r="AR265" s="76"/>
      <c r="AS265" s="77"/>
      <c r="AV265" s="75"/>
      <c r="AW265" s="83"/>
      <c r="AX265" s="84"/>
      <c r="AY265" s="80"/>
      <c r="BB265" s="81"/>
    </row>
    <row r="266" spans="1:54" ht="15" customHeight="1">
      <c r="A266" s="23" t="s">
        <v>1199</v>
      </c>
      <c r="B266" s="23" t="s">
        <v>1233</v>
      </c>
      <c r="C266" s="23" t="s">
        <v>1198</v>
      </c>
      <c r="D266" s="23">
        <v>31</v>
      </c>
      <c r="E266" s="23">
        <v>3</v>
      </c>
      <c r="F266" s="23" t="s">
        <v>1131</v>
      </c>
      <c r="G266" s="23" t="s">
        <v>1189</v>
      </c>
      <c r="J266" s="23" t="s">
        <v>28</v>
      </c>
      <c r="N266" s="73"/>
      <c r="O266" s="75"/>
      <c r="P266" s="76"/>
      <c r="Q266" s="77"/>
      <c r="U266" s="75"/>
      <c r="V266" s="78"/>
      <c r="W266" s="79"/>
      <c r="X266" s="80"/>
      <c r="AA266" s="81"/>
      <c r="AD266" s="23" t="s">
        <v>479</v>
      </c>
      <c r="AE266" s="23"/>
      <c r="AF266" s="23" t="s">
        <v>1291</v>
      </c>
      <c r="AP266" s="73"/>
      <c r="AQ266" s="75"/>
      <c r="AR266" s="76"/>
      <c r="AS266" s="77"/>
      <c r="AV266" s="75"/>
      <c r="AW266" s="83"/>
      <c r="AX266" s="84"/>
      <c r="AY266" s="80"/>
      <c r="BB266" s="81"/>
    </row>
    <row r="267" spans="1:54" ht="15" customHeight="1">
      <c r="A267" s="23" t="s">
        <v>1199</v>
      </c>
      <c r="B267" s="23" t="s">
        <v>1234</v>
      </c>
      <c r="C267" s="23" t="s">
        <v>1198</v>
      </c>
      <c r="D267" s="23">
        <v>32</v>
      </c>
      <c r="E267" s="23">
        <v>3</v>
      </c>
      <c r="F267" s="23" t="s">
        <v>1131</v>
      </c>
      <c r="G267" s="23" t="s">
        <v>1190</v>
      </c>
      <c r="J267" s="23" t="s">
        <v>28</v>
      </c>
      <c r="N267" s="73"/>
      <c r="O267" s="75"/>
      <c r="P267" s="76"/>
      <c r="Q267" s="77"/>
      <c r="U267" s="75"/>
      <c r="V267" s="78"/>
      <c r="W267" s="79"/>
      <c r="X267" s="80"/>
      <c r="AA267" s="81"/>
      <c r="AD267" s="23" t="s">
        <v>1191</v>
      </c>
      <c r="AE267" s="23"/>
      <c r="AF267" s="23" t="s">
        <v>1292</v>
      </c>
      <c r="AP267" s="73"/>
      <c r="AQ267" s="75"/>
      <c r="AR267" s="76"/>
      <c r="AS267" s="77"/>
      <c r="AV267" s="75"/>
      <c r="AW267" s="83"/>
      <c r="AX267" s="84"/>
      <c r="AY267" s="80"/>
      <c r="BB267" s="81"/>
    </row>
    <row r="268" spans="1:54" ht="15" customHeight="1">
      <c r="A268" s="23" t="s">
        <v>1199</v>
      </c>
      <c r="B268" s="23" t="s">
        <v>1235</v>
      </c>
      <c r="C268" s="23" t="s">
        <v>1198</v>
      </c>
      <c r="D268" s="23">
        <v>33</v>
      </c>
      <c r="E268" s="23">
        <v>4</v>
      </c>
      <c r="F268" s="23" t="s">
        <v>1131</v>
      </c>
      <c r="G268" s="23" t="s">
        <v>1192</v>
      </c>
      <c r="J268" s="23" t="s">
        <v>28</v>
      </c>
      <c r="N268" s="73"/>
      <c r="O268" s="75"/>
      <c r="P268" s="76"/>
      <c r="Q268" s="77"/>
      <c r="U268" s="75"/>
      <c r="V268" s="78"/>
      <c r="W268" s="79"/>
      <c r="X268" s="80"/>
      <c r="AA268" s="81"/>
      <c r="AD268" s="23" t="s">
        <v>481</v>
      </c>
      <c r="AE268" s="23"/>
      <c r="AF268" s="23" t="s">
        <v>1293</v>
      </c>
      <c r="AP268" s="73"/>
      <c r="AQ268" s="75"/>
      <c r="AR268" s="76"/>
      <c r="AS268" s="77"/>
      <c r="AV268" s="75"/>
      <c r="AW268" s="83"/>
      <c r="AX268" s="84"/>
      <c r="AY268" s="80"/>
      <c r="BB268" s="81"/>
    </row>
    <row r="269" spans="1:54" ht="15" customHeight="1">
      <c r="A269" s="23" t="s">
        <v>1199</v>
      </c>
      <c r="B269" s="23" t="s">
        <v>1236</v>
      </c>
      <c r="C269" s="23" t="s">
        <v>1198</v>
      </c>
      <c r="D269" s="23">
        <v>34</v>
      </c>
      <c r="E269" s="23">
        <v>2</v>
      </c>
      <c r="F269" s="23" t="s">
        <v>1131</v>
      </c>
      <c r="G269" s="23" t="s">
        <v>1193</v>
      </c>
      <c r="J269" s="23" t="s">
        <v>28</v>
      </c>
      <c r="N269" s="73"/>
      <c r="O269" s="75"/>
      <c r="P269" s="76"/>
      <c r="Q269" s="77"/>
      <c r="U269" s="75"/>
      <c r="V269" s="78"/>
      <c r="W269" s="79"/>
      <c r="X269" s="80"/>
      <c r="AA269" s="81"/>
      <c r="AD269" s="23" t="s">
        <v>479</v>
      </c>
      <c r="AE269" s="23"/>
      <c r="AF269" s="23" t="s">
        <v>1294</v>
      </c>
      <c r="AP269" s="73"/>
      <c r="AQ269" s="75"/>
      <c r="AR269" s="76"/>
      <c r="AS269" s="77"/>
      <c r="AV269" s="75"/>
      <c r="AW269" s="83"/>
      <c r="AX269" s="84"/>
      <c r="AY269" s="80"/>
      <c r="BB269" s="81"/>
    </row>
    <row r="270" spans="1:54" ht="15" customHeight="1">
      <c r="A270" s="23" t="s">
        <v>1199</v>
      </c>
      <c r="B270" s="23" t="s">
        <v>1237</v>
      </c>
      <c r="C270" s="23" t="s">
        <v>1198</v>
      </c>
      <c r="D270" s="23">
        <v>35</v>
      </c>
      <c r="E270" s="23">
        <v>2</v>
      </c>
      <c r="F270" s="23" t="s">
        <v>1131</v>
      </c>
      <c r="G270" s="23" t="s">
        <v>1194</v>
      </c>
      <c r="J270" s="23" t="s">
        <v>28</v>
      </c>
      <c r="N270" s="73"/>
      <c r="O270" s="75"/>
      <c r="P270" s="76"/>
      <c r="Q270" s="77"/>
      <c r="U270" s="75"/>
      <c r="V270" s="78"/>
      <c r="W270" s="79"/>
      <c r="X270" s="80"/>
      <c r="AA270" s="81"/>
      <c r="AD270" s="23" t="s">
        <v>486</v>
      </c>
      <c r="AE270" s="23"/>
      <c r="AF270" s="23" t="s">
        <v>1295</v>
      </c>
      <c r="AP270" s="73"/>
      <c r="AQ270" s="75"/>
      <c r="AR270" s="76"/>
      <c r="AS270" s="77"/>
      <c r="AV270" s="75"/>
      <c r="AW270" s="83"/>
      <c r="AX270" s="84"/>
      <c r="AY270" s="80"/>
      <c r="BB270" s="81"/>
    </row>
    <row r="271" spans="1:54" ht="15" customHeight="1">
      <c r="A271" s="23" t="s">
        <v>1199</v>
      </c>
      <c r="B271" s="23" t="s">
        <v>1238</v>
      </c>
      <c r="C271" s="23" t="s">
        <v>1198</v>
      </c>
      <c r="D271" s="23">
        <v>36</v>
      </c>
      <c r="E271" s="23">
        <v>2</v>
      </c>
      <c r="F271" s="23" t="s">
        <v>1131</v>
      </c>
      <c r="G271" s="23" t="s">
        <v>1195</v>
      </c>
      <c r="J271" s="23" t="s">
        <v>28</v>
      </c>
      <c r="N271" s="73"/>
      <c r="O271" s="75"/>
      <c r="P271" s="76"/>
      <c r="Q271" s="77"/>
      <c r="U271" s="75"/>
      <c r="V271" s="78"/>
      <c r="W271" s="79"/>
      <c r="X271" s="80"/>
      <c r="AA271" s="81"/>
      <c r="AD271" s="23" t="s">
        <v>1196</v>
      </c>
      <c r="AE271" s="23"/>
      <c r="AF271" s="23" t="s">
        <v>1296</v>
      </c>
      <c r="AP271" s="73"/>
      <c r="AQ271" s="75"/>
      <c r="AR271" s="76"/>
      <c r="AS271" s="77"/>
      <c r="AV271" s="75"/>
      <c r="AW271" s="83"/>
      <c r="AX271" s="84"/>
      <c r="AY271" s="80"/>
      <c r="BB271" s="81"/>
    </row>
    <row r="272" spans="1:54" ht="15" customHeight="1">
      <c r="A272" s="23" t="s">
        <v>1199</v>
      </c>
      <c r="B272" s="23" t="s">
        <v>1239</v>
      </c>
      <c r="C272" s="23" t="s">
        <v>1198</v>
      </c>
      <c r="D272" s="23">
        <v>37</v>
      </c>
      <c r="E272" s="23">
        <v>2</v>
      </c>
      <c r="F272" s="23" t="s">
        <v>1131</v>
      </c>
      <c r="G272" s="23" t="s">
        <v>1197</v>
      </c>
      <c r="J272" s="23" t="s">
        <v>28</v>
      </c>
      <c r="N272" s="73"/>
      <c r="O272" s="75"/>
      <c r="P272" s="76"/>
      <c r="Q272" s="77"/>
      <c r="U272" s="75"/>
      <c r="V272" s="78"/>
      <c r="W272" s="79"/>
      <c r="X272" s="80"/>
      <c r="AA272" s="81"/>
      <c r="AD272" s="23" t="s">
        <v>479</v>
      </c>
      <c r="AE272" s="23"/>
      <c r="AF272" s="23" t="s">
        <v>1297</v>
      </c>
      <c r="AP272" s="73"/>
      <c r="AQ272" s="75"/>
      <c r="AR272" s="76"/>
      <c r="AS272" s="77"/>
      <c r="AV272" s="75"/>
      <c r="AW272" s="83"/>
      <c r="AX272" s="84"/>
      <c r="AY272" s="80"/>
      <c r="BB272" s="81"/>
    </row>
    <row r="273" spans="1:59" ht="15" customHeight="1">
      <c r="A273" s="23" t="s">
        <v>1199</v>
      </c>
      <c r="B273" s="23" t="s">
        <v>1240</v>
      </c>
      <c r="C273" s="23" t="s">
        <v>1198</v>
      </c>
      <c r="D273" s="23">
        <v>38</v>
      </c>
      <c r="E273" s="23">
        <v>1</v>
      </c>
      <c r="F273" s="23" t="s">
        <v>1131</v>
      </c>
      <c r="G273" s="23" t="s">
        <v>1098</v>
      </c>
      <c r="J273" s="23" t="s">
        <v>1102</v>
      </c>
      <c r="N273" s="73"/>
      <c r="O273" s="75"/>
      <c r="P273" s="76"/>
      <c r="Q273" s="77"/>
      <c r="U273" s="75"/>
      <c r="V273" s="78"/>
      <c r="W273" s="79"/>
      <c r="X273" s="80"/>
      <c r="AA273" s="81"/>
      <c r="AE273" s="23"/>
      <c r="AI273" s="23" t="s">
        <v>1103</v>
      </c>
      <c r="AL273" s="23" t="s">
        <v>1102</v>
      </c>
      <c r="AP273" s="73"/>
      <c r="AQ273" s="75"/>
      <c r="AR273" s="76"/>
      <c r="AS273" s="77"/>
      <c r="AV273" s="75"/>
      <c r="AW273" s="83"/>
      <c r="AX273" s="84"/>
      <c r="AY273" s="80"/>
      <c r="BB273" s="81"/>
    </row>
    <row r="274" spans="1:59" ht="15" customHeight="1">
      <c r="A274" s="23" t="s">
        <v>1199</v>
      </c>
      <c r="B274" s="23" t="s">
        <v>1245</v>
      </c>
      <c r="C274" s="23" t="s">
        <v>1198</v>
      </c>
      <c r="D274" s="23">
        <v>39</v>
      </c>
      <c r="E274" s="23">
        <v>1</v>
      </c>
      <c r="F274" s="23" t="s">
        <v>1131</v>
      </c>
      <c r="G274" s="23" t="s">
        <v>1099</v>
      </c>
      <c r="J274" s="23" t="s">
        <v>1102</v>
      </c>
      <c r="N274" s="73"/>
      <c r="O274" s="75"/>
      <c r="P274" s="76"/>
      <c r="Q274" s="77"/>
      <c r="U274" s="75"/>
      <c r="V274" s="78"/>
      <c r="W274" s="79"/>
      <c r="X274" s="80"/>
      <c r="AA274" s="81"/>
      <c r="AE274" s="23"/>
      <c r="AI274" s="23" t="s">
        <v>1104</v>
      </c>
      <c r="AL274" s="23" t="s">
        <v>1102</v>
      </c>
      <c r="AP274" s="73"/>
      <c r="AQ274" s="75"/>
      <c r="AR274" s="76"/>
      <c r="AS274" s="77"/>
      <c r="AV274" s="75"/>
      <c r="AW274" s="83"/>
      <c r="AX274" s="84"/>
      <c r="AY274" s="80"/>
      <c r="BB274" s="81"/>
    </row>
    <row r="275" spans="1:59" ht="15" customHeight="1">
      <c r="A275" s="23" t="s">
        <v>1199</v>
      </c>
      <c r="B275" s="23" t="s">
        <v>1246</v>
      </c>
      <c r="C275" s="23" t="s">
        <v>1198</v>
      </c>
      <c r="D275" s="23">
        <v>40</v>
      </c>
      <c r="E275" s="23">
        <v>1</v>
      </c>
      <c r="F275" s="23" t="s">
        <v>1131</v>
      </c>
      <c r="G275" s="23" t="s">
        <v>1100</v>
      </c>
      <c r="J275" s="23" t="s">
        <v>1102</v>
      </c>
      <c r="N275" s="73"/>
      <c r="O275" s="75"/>
      <c r="P275" s="76"/>
      <c r="Q275" s="77"/>
      <c r="U275" s="75"/>
      <c r="V275" s="78"/>
      <c r="W275" s="79"/>
      <c r="X275" s="80"/>
      <c r="AA275" s="81"/>
      <c r="AE275" s="23"/>
      <c r="AI275" s="23" t="s">
        <v>1105</v>
      </c>
      <c r="AL275" s="23" t="s">
        <v>1102</v>
      </c>
      <c r="AP275" s="73"/>
      <c r="AQ275" s="75"/>
      <c r="AR275" s="76"/>
      <c r="AS275" s="77"/>
      <c r="AV275" s="75"/>
      <c r="AW275" s="83"/>
      <c r="AX275" s="84"/>
      <c r="AY275" s="80"/>
      <c r="BB275" s="81"/>
    </row>
    <row r="276" spans="1:59" ht="15" customHeight="1">
      <c r="A276" s="23" t="s">
        <v>1199</v>
      </c>
      <c r="B276" s="23" t="s">
        <v>1247</v>
      </c>
      <c r="C276" s="23" t="s">
        <v>1198</v>
      </c>
      <c r="D276" s="23">
        <v>41</v>
      </c>
      <c r="E276" s="23">
        <v>1</v>
      </c>
      <c r="F276" s="23" t="s">
        <v>1131</v>
      </c>
      <c r="G276" s="23" t="s">
        <v>1101</v>
      </c>
      <c r="J276" s="23" t="s">
        <v>1102</v>
      </c>
      <c r="N276" s="73"/>
      <c r="O276" s="75"/>
      <c r="P276" s="76"/>
      <c r="Q276" s="77"/>
      <c r="U276" s="75"/>
      <c r="V276" s="78"/>
      <c r="W276" s="79"/>
      <c r="X276" s="80"/>
      <c r="AA276" s="81"/>
      <c r="AE276" s="23"/>
      <c r="AI276" s="23" t="s">
        <v>1106</v>
      </c>
      <c r="AL276" s="23" t="s">
        <v>1102</v>
      </c>
      <c r="AP276" s="73"/>
      <c r="AQ276" s="75"/>
      <c r="AR276" s="76"/>
      <c r="AS276" s="77"/>
      <c r="AV276" s="75"/>
      <c r="AW276" s="83"/>
      <c r="AX276" s="84"/>
      <c r="AY276" s="80"/>
      <c r="BB276" s="81"/>
    </row>
    <row r="277" spans="1:59" ht="15" customHeight="1">
      <c r="A277" s="23" t="s">
        <v>1199</v>
      </c>
      <c r="B277" s="23" t="s">
        <v>1248</v>
      </c>
      <c r="C277" s="23" t="s">
        <v>1198</v>
      </c>
      <c r="D277" s="23">
        <v>42</v>
      </c>
      <c r="E277" s="23">
        <v>1</v>
      </c>
      <c r="F277" s="23" t="s">
        <v>1131</v>
      </c>
      <c r="G277" s="23" t="s">
        <v>1241</v>
      </c>
      <c r="J277" s="23" t="s">
        <v>1102</v>
      </c>
      <c r="N277" s="73"/>
      <c r="O277" s="75"/>
      <c r="P277" s="76"/>
      <c r="Q277" s="77"/>
      <c r="U277" s="75"/>
      <c r="V277" s="78"/>
      <c r="W277" s="79"/>
      <c r="X277" s="80"/>
      <c r="AA277" s="81"/>
      <c r="AE277" s="23"/>
      <c r="AI277" s="23" t="s">
        <v>1243</v>
      </c>
      <c r="AL277" s="23" t="s">
        <v>1102</v>
      </c>
      <c r="AP277" s="73"/>
      <c r="AQ277" s="75"/>
      <c r="AR277" s="76"/>
      <c r="AS277" s="77"/>
      <c r="AV277" s="75"/>
      <c r="AW277" s="83"/>
      <c r="AX277" s="84"/>
      <c r="AY277" s="80"/>
      <c r="BB277" s="81"/>
    </row>
    <row r="278" spans="1:59" ht="15" customHeight="1">
      <c r="A278" s="23" t="s">
        <v>1199</v>
      </c>
      <c r="B278" s="23" t="s">
        <v>1249</v>
      </c>
      <c r="C278" s="23" t="s">
        <v>1198</v>
      </c>
      <c r="D278" s="23">
        <v>43</v>
      </c>
      <c r="E278" s="23">
        <v>1</v>
      </c>
      <c r="F278" s="23" t="s">
        <v>1131</v>
      </c>
      <c r="G278" s="23" t="s">
        <v>1242</v>
      </c>
      <c r="J278" s="23" t="s">
        <v>1102</v>
      </c>
      <c r="N278" s="73"/>
      <c r="O278" s="75"/>
      <c r="P278" s="76"/>
      <c r="Q278" s="77"/>
      <c r="U278" s="75"/>
      <c r="V278" s="78"/>
      <c r="W278" s="79"/>
      <c r="X278" s="80"/>
      <c r="AA278" s="81"/>
      <c r="AE278" s="23"/>
      <c r="AI278" s="23" t="s">
        <v>1244</v>
      </c>
      <c r="AL278" s="23" t="s">
        <v>1102</v>
      </c>
      <c r="AP278" s="73"/>
      <c r="AQ278" s="75"/>
      <c r="AR278" s="76"/>
      <c r="AS278" s="77"/>
      <c r="AV278" s="75"/>
      <c r="AW278" s="83"/>
      <c r="AX278" s="84"/>
      <c r="AY278" s="80"/>
      <c r="BB278" s="81"/>
    </row>
    <row r="279" spans="1:59" ht="15" customHeight="1">
      <c r="A279" s="40" t="s">
        <v>1303</v>
      </c>
      <c r="B279" s="40" t="s">
        <v>1306</v>
      </c>
      <c r="C279" s="40" t="s">
        <v>1307</v>
      </c>
      <c r="D279" s="40">
        <v>1</v>
      </c>
      <c r="E279" s="40">
        <v>1</v>
      </c>
      <c r="F279" s="40"/>
      <c r="G279" s="40" t="s">
        <v>1308</v>
      </c>
      <c r="H279" s="23" t="s">
        <v>1309</v>
      </c>
      <c r="I279" s="23" t="s">
        <v>223</v>
      </c>
      <c r="J279" s="23" t="s">
        <v>203</v>
      </c>
      <c r="K279" s="23" t="s">
        <v>198</v>
      </c>
      <c r="N279" s="73"/>
      <c r="O279" s="75">
        <v>4</v>
      </c>
      <c r="P279" s="76">
        <v>2</v>
      </c>
      <c r="Q279" s="77">
        <v>4</v>
      </c>
      <c r="R279" s="66">
        <v>2</v>
      </c>
      <c r="T279" s="68">
        <v>9</v>
      </c>
      <c r="U279" s="75">
        <v>6</v>
      </c>
      <c r="V279" s="78"/>
      <c r="W279" s="79"/>
      <c r="X279" s="80"/>
      <c r="AA279" s="81"/>
      <c r="AD279" s="23" t="s">
        <v>1310</v>
      </c>
      <c r="AE279" s="23"/>
      <c r="AF279" s="23" t="s">
        <v>1311</v>
      </c>
      <c r="AI279" s="23" t="s">
        <v>1308</v>
      </c>
      <c r="AJ279" s="23" t="s">
        <v>1309</v>
      </c>
      <c r="AK279" s="23" t="s">
        <v>223</v>
      </c>
      <c r="AL279" s="23" t="s">
        <v>1250</v>
      </c>
      <c r="AM279" s="23" t="s">
        <v>1312</v>
      </c>
      <c r="AP279" s="73"/>
      <c r="AQ279" s="75"/>
      <c r="AR279" s="76"/>
      <c r="AS279" s="77"/>
      <c r="AV279" s="75"/>
      <c r="AW279" s="83"/>
      <c r="AX279" s="84"/>
      <c r="AY279" s="80"/>
      <c r="BB279" s="81"/>
      <c r="BE279" s="23" t="s">
        <v>1310</v>
      </c>
      <c r="BG279" s="23" t="s">
        <v>1313</v>
      </c>
    </row>
    <row r="280" spans="1:59" ht="15" customHeight="1">
      <c r="A280" s="23" t="s">
        <v>1303</v>
      </c>
      <c r="B280" s="23" t="s">
        <v>1314</v>
      </c>
      <c r="C280" s="23" t="s">
        <v>1307</v>
      </c>
      <c r="D280" s="23">
        <v>2</v>
      </c>
      <c r="E280" s="23">
        <v>1</v>
      </c>
      <c r="G280" s="23" t="s">
        <v>1315</v>
      </c>
      <c r="H280" s="23" t="s">
        <v>1316</v>
      </c>
      <c r="I280" s="23" t="s">
        <v>223</v>
      </c>
      <c r="J280" s="23" t="s">
        <v>203</v>
      </c>
      <c r="K280" s="23" t="s">
        <v>199</v>
      </c>
      <c r="N280" s="73"/>
      <c r="O280" s="75">
        <v>3</v>
      </c>
      <c r="P280" s="76">
        <v>4</v>
      </c>
      <c r="Q280" s="77">
        <v>2</v>
      </c>
      <c r="R280" s="66">
        <v>3</v>
      </c>
      <c r="T280" s="68">
        <v>6</v>
      </c>
      <c r="U280" s="75">
        <v>9</v>
      </c>
      <c r="V280" s="78"/>
      <c r="W280" s="79"/>
      <c r="X280" s="80"/>
      <c r="AA280" s="81"/>
      <c r="AD280" s="23" t="s">
        <v>1317</v>
      </c>
      <c r="AE280" s="23"/>
      <c r="AF280" s="23" t="s">
        <v>1318</v>
      </c>
      <c r="AI280" s="23" t="s">
        <v>1315</v>
      </c>
      <c r="AJ280" s="23" t="s">
        <v>1316</v>
      </c>
      <c r="AK280" s="23" t="s">
        <v>223</v>
      </c>
      <c r="AL280" s="23" t="s">
        <v>1250</v>
      </c>
      <c r="AM280" s="23" t="s">
        <v>1319</v>
      </c>
      <c r="AP280" s="73"/>
      <c r="AQ280" s="75"/>
      <c r="AR280" s="76"/>
      <c r="AS280" s="77"/>
      <c r="AV280" s="75"/>
      <c r="AW280" s="83"/>
      <c r="AX280" s="84"/>
      <c r="AY280" s="80"/>
      <c r="BB280" s="81"/>
      <c r="BE280" s="23" t="s">
        <v>1317</v>
      </c>
      <c r="BG280" s="23" t="s">
        <v>1320</v>
      </c>
    </row>
    <row r="281" spans="1:59" ht="15" customHeight="1">
      <c r="A281" s="23" t="s">
        <v>1303</v>
      </c>
      <c r="B281" s="23" t="s">
        <v>1321</v>
      </c>
      <c r="C281" s="23" t="s">
        <v>1307</v>
      </c>
      <c r="D281" s="23">
        <v>3</v>
      </c>
      <c r="E281" s="23">
        <v>1</v>
      </c>
      <c r="G281" s="23" t="s">
        <v>1322</v>
      </c>
      <c r="H281" s="23" t="s">
        <v>1323</v>
      </c>
      <c r="I281" s="23" t="s">
        <v>223</v>
      </c>
      <c r="J281" s="23" t="s">
        <v>203</v>
      </c>
      <c r="K281" s="23" t="s">
        <v>201</v>
      </c>
      <c r="N281" s="73"/>
      <c r="O281" s="75">
        <v>3</v>
      </c>
      <c r="P281" s="76">
        <v>3</v>
      </c>
      <c r="Q281" s="77">
        <v>3</v>
      </c>
      <c r="R281" s="66">
        <v>3</v>
      </c>
      <c r="T281" s="68">
        <v>8</v>
      </c>
      <c r="U281" s="75">
        <v>7</v>
      </c>
      <c r="V281" s="78"/>
      <c r="W281" s="79"/>
      <c r="X281" s="80"/>
      <c r="AA281" s="81"/>
      <c r="AD281" s="23" t="s">
        <v>254</v>
      </c>
      <c r="AE281" s="23"/>
      <c r="AF281" s="23" t="s">
        <v>1324</v>
      </c>
      <c r="AI281" s="23" t="s">
        <v>1322</v>
      </c>
      <c r="AJ281" s="23" t="s">
        <v>1323</v>
      </c>
      <c r="AK281" s="23" t="s">
        <v>223</v>
      </c>
      <c r="AL281" s="23" t="s">
        <v>1250</v>
      </c>
      <c r="AM281" s="23" t="s">
        <v>1325</v>
      </c>
      <c r="AP281" s="73"/>
      <c r="AQ281" s="75"/>
      <c r="AR281" s="76"/>
      <c r="AS281" s="77"/>
      <c r="AV281" s="75"/>
      <c r="AW281" s="83"/>
      <c r="AX281" s="84"/>
      <c r="AY281" s="80"/>
      <c r="BB281" s="81"/>
      <c r="BE281" s="23" t="s">
        <v>254</v>
      </c>
      <c r="BG281" s="23" t="s">
        <v>1326</v>
      </c>
    </row>
    <row r="282" spans="1:59" ht="15" customHeight="1">
      <c r="A282" s="23" t="s">
        <v>1303</v>
      </c>
      <c r="B282" s="23" t="s">
        <v>1327</v>
      </c>
      <c r="C282" s="23" t="s">
        <v>1307</v>
      </c>
      <c r="D282" s="23">
        <v>4</v>
      </c>
      <c r="E282" s="23">
        <v>1</v>
      </c>
      <c r="G282" s="23" t="s">
        <v>1328</v>
      </c>
      <c r="H282" s="23" t="s">
        <v>1329</v>
      </c>
      <c r="I282" s="23" t="s">
        <v>223</v>
      </c>
      <c r="J282" s="23" t="s">
        <v>203</v>
      </c>
      <c r="K282" s="23" t="s">
        <v>200</v>
      </c>
      <c r="N282" s="73"/>
      <c r="O282" s="75">
        <v>4</v>
      </c>
      <c r="P282" s="76">
        <v>3</v>
      </c>
      <c r="Q282" s="77">
        <v>3</v>
      </c>
      <c r="R282" s="66">
        <v>2</v>
      </c>
      <c r="T282" s="68">
        <v>7</v>
      </c>
      <c r="U282" s="75">
        <v>8</v>
      </c>
      <c r="V282" s="78"/>
      <c r="W282" s="79"/>
      <c r="X282" s="80"/>
      <c r="AA282" s="81"/>
      <c r="AD282" s="23" t="s">
        <v>1330</v>
      </c>
      <c r="AE282" s="23"/>
      <c r="AF282" s="23" t="s">
        <v>1331</v>
      </c>
      <c r="AI282" s="23" t="s">
        <v>1328</v>
      </c>
      <c r="AJ282" s="23" t="s">
        <v>1329</v>
      </c>
      <c r="AK282" s="23" t="s">
        <v>223</v>
      </c>
      <c r="AL282" s="23" t="s">
        <v>1250</v>
      </c>
      <c r="AM282" s="23" t="s">
        <v>1251</v>
      </c>
      <c r="AP282" s="73"/>
      <c r="AQ282" s="75"/>
      <c r="AR282" s="76"/>
      <c r="AS282" s="77"/>
      <c r="AV282" s="75"/>
      <c r="AW282" s="83"/>
      <c r="AX282" s="84"/>
      <c r="AY282" s="80"/>
      <c r="BB282" s="81"/>
      <c r="BE282" s="23" t="s">
        <v>1330</v>
      </c>
      <c r="BG282" s="23" t="s">
        <v>1332</v>
      </c>
    </row>
    <row r="283" spans="1:59" ht="15" customHeight="1">
      <c r="A283" s="23" t="s">
        <v>1303</v>
      </c>
      <c r="B283" s="23" t="s">
        <v>1333</v>
      </c>
      <c r="C283" s="23" t="s">
        <v>1307</v>
      </c>
      <c r="D283" s="23">
        <v>5</v>
      </c>
      <c r="E283" s="23">
        <v>1</v>
      </c>
      <c r="G283" s="23" t="s">
        <v>1334</v>
      </c>
      <c r="H283" s="23" t="s">
        <v>1335</v>
      </c>
      <c r="I283" s="23" t="s">
        <v>223</v>
      </c>
      <c r="J283" s="23" t="s">
        <v>203</v>
      </c>
      <c r="K283" s="23" t="s">
        <v>202</v>
      </c>
      <c r="N283" s="73"/>
      <c r="O283" s="75">
        <v>4</v>
      </c>
      <c r="P283" s="76">
        <v>2</v>
      </c>
      <c r="Q283" s="77">
        <v>2</v>
      </c>
      <c r="R283" s="66">
        <v>3</v>
      </c>
      <c r="T283" s="68">
        <v>6</v>
      </c>
      <c r="U283" s="75">
        <v>5</v>
      </c>
      <c r="V283" s="78"/>
      <c r="W283" s="79"/>
      <c r="X283" s="80"/>
      <c r="AA283" s="81"/>
      <c r="AD283" s="23" t="s">
        <v>254</v>
      </c>
      <c r="AE283" s="23"/>
      <c r="AF283" s="23" t="s">
        <v>1336</v>
      </c>
      <c r="AI283" s="23" t="s">
        <v>1334</v>
      </c>
      <c r="AJ283" s="23" t="s">
        <v>1335</v>
      </c>
      <c r="AK283" s="23" t="s">
        <v>223</v>
      </c>
      <c r="AL283" s="23" t="s">
        <v>1250</v>
      </c>
      <c r="AM283" s="23" t="s">
        <v>1337</v>
      </c>
      <c r="AP283" s="73"/>
      <c r="AQ283" s="75"/>
      <c r="AR283" s="76"/>
      <c r="AS283" s="77"/>
      <c r="AV283" s="75"/>
      <c r="AW283" s="83"/>
      <c r="AX283" s="84"/>
      <c r="AY283" s="80"/>
      <c r="BB283" s="81"/>
      <c r="BE283" s="23" t="s">
        <v>254</v>
      </c>
      <c r="BG283" s="23" t="s">
        <v>1338</v>
      </c>
    </row>
    <row r="284" spans="1:59" ht="15" customHeight="1">
      <c r="A284" s="23" t="s">
        <v>1303</v>
      </c>
      <c r="B284" s="23" t="s">
        <v>1339</v>
      </c>
      <c r="C284" s="23" t="s">
        <v>1307</v>
      </c>
      <c r="D284" s="23">
        <v>6</v>
      </c>
      <c r="E284" s="23">
        <v>1</v>
      </c>
      <c r="G284" s="23" t="s">
        <v>1340</v>
      </c>
      <c r="H284" s="23" t="s">
        <v>1341</v>
      </c>
      <c r="I284" s="23" t="s">
        <v>223</v>
      </c>
      <c r="J284" s="23" t="s">
        <v>257</v>
      </c>
      <c r="K284" s="23" t="s">
        <v>26</v>
      </c>
      <c r="N284" s="73">
        <v>1</v>
      </c>
      <c r="O284" s="75"/>
      <c r="P284" s="76"/>
      <c r="Q284" s="77">
        <v>2</v>
      </c>
      <c r="S284" s="113">
        <v>1</v>
      </c>
      <c r="U284" s="75"/>
      <c r="V284" s="78"/>
      <c r="W284" s="79"/>
      <c r="X284" s="80"/>
      <c r="AA284" s="81"/>
      <c r="AB284" s="23" t="s">
        <v>1342</v>
      </c>
      <c r="AC284" s="23" t="s">
        <v>275</v>
      </c>
      <c r="AD284" s="23" t="s">
        <v>375</v>
      </c>
      <c r="AE284" s="23"/>
      <c r="AF284" s="23" t="s">
        <v>1343</v>
      </c>
      <c r="AP284" s="73"/>
      <c r="AQ284" s="75"/>
      <c r="AR284" s="76"/>
      <c r="AS284" s="77"/>
      <c r="AV284" s="75"/>
      <c r="AW284" s="83"/>
      <c r="AX284" s="84"/>
      <c r="AY284" s="80"/>
      <c r="BB284" s="81"/>
    </row>
    <row r="285" spans="1:59" ht="15" customHeight="1">
      <c r="A285" s="23" t="s">
        <v>1303</v>
      </c>
      <c r="B285" s="23" t="s">
        <v>1344</v>
      </c>
      <c r="C285" s="23" t="s">
        <v>1307</v>
      </c>
      <c r="D285" s="23">
        <v>7</v>
      </c>
      <c r="E285" s="23">
        <v>1</v>
      </c>
      <c r="G285" s="23" t="s">
        <v>1345</v>
      </c>
      <c r="J285" s="23" t="s">
        <v>28</v>
      </c>
      <c r="K285" s="23" t="s">
        <v>26</v>
      </c>
      <c r="M285" s="23" t="s">
        <v>648</v>
      </c>
      <c r="N285" s="73"/>
      <c r="O285" s="75"/>
      <c r="P285" s="76"/>
      <c r="Q285" s="77"/>
      <c r="U285" s="75"/>
      <c r="V285" s="78"/>
      <c r="W285" s="79"/>
      <c r="X285" s="80"/>
      <c r="AA285" s="81"/>
      <c r="AD285" s="23" t="s">
        <v>262</v>
      </c>
      <c r="AE285" s="23"/>
      <c r="AF285" s="23" t="s">
        <v>1346</v>
      </c>
      <c r="AP285" s="73"/>
      <c r="AQ285" s="75"/>
      <c r="AR285" s="76"/>
      <c r="AS285" s="77"/>
      <c r="AV285" s="75"/>
      <c r="AW285" s="83"/>
      <c r="AX285" s="84"/>
      <c r="AY285" s="80"/>
      <c r="BB285" s="81"/>
    </row>
    <row r="286" spans="1:59" ht="15" customHeight="1">
      <c r="A286" s="23" t="s">
        <v>1303</v>
      </c>
      <c r="B286" s="23" t="s">
        <v>1347</v>
      </c>
      <c r="C286" s="23" t="s">
        <v>1307</v>
      </c>
      <c r="D286" s="23">
        <v>8</v>
      </c>
      <c r="E286" s="23">
        <v>1</v>
      </c>
      <c r="G286" s="23" t="s">
        <v>1348</v>
      </c>
      <c r="J286" s="23" t="s">
        <v>27</v>
      </c>
      <c r="K286" s="23" t="s">
        <v>26</v>
      </c>
      <c r="N286" s="73">
        <v>1</v>
      </c>
      <c r="O286" s="75"/>
      <c r="P286" s="76">
        <v>2</v>
      </c>
      <c r="Q286" s="77"/>
      <c r="S286" s="113">
        <v>1</v>
      </c>
      <c r="U286" s="75"/>
      <c r="V286" s="78"/>
      <c r="W286" s="79"/>
      <c r="X286" s="80"/>
      <c r="AA286" s="81"/>
      <c r="AB286" s="23" t="s">
        <v>1349</v>
      </c>
      <c r="AD286" s="23" t="s">
        <v>340</v>
      </c>
      <c r="AE286" s="23"/>
      <c r="AF286" s="23" t="s">
        <v>1350</v>
      </c>
      <c r="AP286" s="73"/>
      <c r="AQ286" s="75"/>
      <c r="AR286" s="76"/>
      <c r="AS286" s="77"/>
      <c r="AV286" s="75"/>
      <c r="AW286" s="83"/>
      <c r="AX286" s="84"/>
      <c r="AY286" s="80"/>
      <c r="BB286" s="81"/>
    </row>
    <row r="287" spans="1:59" ht="15" customHeight="1">
      <c r="A287" s="23" t="s">
        <v>1303</v>
      </c>
      <c r="B287" s="23" t="s">
        <v>1351</v>
      </c>
      <c r="C287" s="23" t="s">
        <v>1307</v>
      </c>
      <c r="D287" s="23">
        <v>9</v>
      </c>
      <c r="E287" s="23">
        <v>1</v>
      </c>
      <c r="G287" s="23" t="s">
        <v>1352</v>
      </c>
      <c r="J287" s="23" t="s">
        <v>28</v>
      </c>
      <c r="K287" s="23" t="s">
        <v>26</v>
      </c>
      <c r="M287" s="23" t="s">
        <v>648</v>
      </c>
      <c r="N287" s="73"/>
      <c r="O287" s="75"/>
      <c r="P287" s="76"/>
      <c r="Q287" s="77"/>
      <c r="U287" s="75"/>
      <c r="V287" s="78"/>
      <c r="W287" s="79"/>
      <c r="X287" s="80"/>
      <c r="AA287" s="81"/>
      <c r="AD287" s="23" t="s">
        <v>439</v>
      </c>
      <c r="AE287" s="23"/>
      <c r="AF287" s="23" t="s">
        <v>1353</v>
      </c>
      <c r="AP287" s="73"/>
      <c r="AQ287" s="75"/>
      <c r="AR287" s="76"/>
      <c r="AS287" s="77"/>
      <c r="AV287" s="75"/>
      <c r="AW287" s="83"/>
      <c r="AX287" s="84"/>
      <c r="AY287" s="80"/>
      <c r="BB287" s="81"/>
    </row>
    <row r="288" spans="1:59" ht="15" customHeight="1">
      <c r="A288" s="23" t="s">
        <v>1303</v>
      </c>
      <c r="B288" s="23" t="s">
        <v>1354</v>
      </c>
      <c r="C288" s="23" t="s">
        <v>1307</v>
      </c>
      <c r="D288" s="23">
        <v>10</v>
      </c>
      <c r="E288" s="23">
        <v>1</v>
      </c>
      <c r="G288" s="23" t="s">
        <v>1355</v>
      </c>
      <c r="H288" s="23" t="s">
        <v>1356</v>
      </c>
      <c r="I288" s="23" t="s">
        <v>223</v>
      </c>
      <c r="J288" s="23" t="s">
        <v>257</v>
      </c>
      <c r="K288" s="23" t="s">
        <v>26</v>
      </c>
      <c r="N288" s="73"/>
      <c r="O288" s="75"/>
      <c r="P288" s="76"/>
      <c r="Q288" s="77"/>
      <c r="R288" s="66">
        <v>2</v>
      </c>
      <c r="S288" s="113">
        <v>1</v>
      </c>
      <c r="U288" s="75"/>
      <c r="V288" s="78"/>
      <c r="W288" s="79"/>
      <c r="X288" s="80"/>
      <c r="AA288" s="81"/>
      <c r="AB288" s="23" t="s">
        <v>1357</v>
      </c>
      <c r="AC288" s="23" t="s">
        <v>322</v>
      </c>
      <c r="AD288" s="23" t="s">
        <v>259</v>
      </c>
      <c r="AE288" s="23"/>
      <c r="AF288" s="23" t="s">
        <v>1358</v>
      </c>
      <c r="AP288" s="73"/>
      <c r="AQ288" s="75"/>
      <c r="AR288" s="76"/>
      <c r="AS288" s="77"/>
      <c r="AV288" s="75"/>
      <c r="AW288" s="83"/>
      <c r="AX288" s="84"/>
      <c r="AY288" s="80"/>
      <c r="BB288" s="81"/>
    </row>
    <row r="289" spans="1:54" ht="15" customHeight="1">
      <c r="A289" s="23" t="s">
        <v>1303</v>
      </c>
      <c r="B289" s="23" t="s">
        <v>1359</v>
      </c>
      <c r="C289" s="23" t="s">
        <v>1307</v>
      </c>
      <c r="D289" s="23">
        <v>11</v>
      </c>
      <c r="E289" s="23">
        <v>1</v>
      </c>
      <c r="G289" s="23" t="s">
        <v>1360</v>
      </c>
      <c r="J289" s="23" t="s">
        <v>28</v>
      </c>
      <c r="K289" s="23" t="s">
        <v>26</v>
      </c>
      <c r="M289" s="23" t="s">
        <v>648</v>
      </c>
      <c r="N289" s="73"/>
      <c r="O289" s="75"/>
      <c r="P289" s="76"/>
      <c r="Q289" s="77"/>
      <c r="U289" s="75"/>
      <c r="V289" s="78"/>
      <c r="W289" s="79"/>
      <c r="X289" s="80"/>
      <c r="AA289" s="81"/>
      <c r="AD289" s="23" t="s">
        <v>262</v>
      </c>
      <c r="AE289" s="23"/>
      <c r="AF289" s="23" t="s">
        <v>1361</v>
      </c>
      <c r="AP289" s="73"/>
      <c r="AQ289" s="75"/>
      <c r="AR289" s="76"/>
      <c r="AS289" s="77"/>
      <c r="AV289" s="75"/>
      <c r="AW289" s="83"/>
      <c r="AX289" s="84"/>
      <c r="AY289" s="80"/>
      <c r="BB289" s="81"/>
    </row>
    <row r="290" spans="1:54" ht="15" customHeight="1">
      <c r="A290" s="23" t="s">
        <v>1303</v>
      </c>
      <c r="B290" s="23" t="s">
        <v>1362</v>
      </c>
      <c r="C290" s="23" t="s">
        <v>1307</v>
      </c>
      <c r="D290" s="23">
        <v>12</v>
      </c>
      <c r="E290" s="23">
        <v>1</v>
      </c>
      <c r="G290" s="23" t="s">
        <v>1363</v>
      </c>
      <c r="H290" s="23" t="s">
        <v>1364</v>
      </c>
      <c r="I290" s="23" t="s">
        <v>223</v>
      </c>
      <c r="J290" s="23" t="s">
        <v>257</v>
      </c>
      <c r="K290" s="23" t="s">
        <v>26</v>
      </c>
      <c r="N290" s="73">
        <v>2</v>
      </c>
      <c r="O290" s="75">
        <v>2</v>
      </c>
      <c r="P290" s="76"/>
      <c r="Q290" s="77"/>
      <c r="S290" s="113">
        <v>1</v>
      </c>
      <c r="U290" s="75"/>
      <c r="V290" s="78"/>
      <c r="W290" s="79"/>
      <c r="X290" s="80"/>
      <c r="AA290" s="81"/>
      <c r="AB290" s="23" t="s">
        <v>1365</v>
      </c>
      <c r="AC290" s="23" t="s">
        <v>258</v>
      </c>
      <c r="AD290" s="23" t="s">
        <v>1366</v>
      </c>
      <c r="AE290" s="23"/>
      <c r="AF290" s="23" t="s">
        <v>1367</v>
      </c>
      <c r="AP290" s="73"/>
      <c r="AQ290" s="75"/>
      <c r="AR290" s="76"/>
      <c r="AS290" s="77"/>
      <c r="AV290" s="75"/>
      <c r="AW290" s="83"/>
      <c r="AX290" s="84"/>
      <c r="AY290" s="80"/>
      <c r="BB290" s="81"/>
    </row>
    <row r="291" spans="1:54" ht="15" customHeight="1">
      <c r="A291" s="23" t="s">
        <v>1303</v>
      </c>
      <c r="B291" s="23" t="s">
        <v>1368</v>
      </c>
      <c r="C291" s="23" t="s">
        <v>1307</v>
      </c>
      <c r="D291" s="23">
        <v>13</v>
      </c>
      <c r="E291" s="23">
        <v>1</v>
      </c>
      <c r="G291" s="23" t="s">
        <v>1369</v>
      </c>
      <c r="J291" s="23" t="s">
        <v>28</v>
      </c>
      <c r="K291" s="23" t="s">
        <v>26</v>
      </c>
      <c r="M291" s="23" t="s">
        <v>648</v>
      </c>
      <c r="N291" s="73"/>
      <c r="O291" s="75"/>
      <c r="P291" s="76"/>
      <c r="Q291" s="77"/>
      <c r="U291" s="75"/>
      <c r="V291" s="78"/>
      <c r="W291" s="79"/>
      <c r="X291" s="80"/>
      <c r="AA291" s="81"/>
      <c r="AD291" s="23" t="s">
        <v>1370</v>
      </c>
      <c r="AE291" s="23"/>
      <c r="AF291" s="23" t="s">
        <v>1371</v>
      </c>
      <c r="AP291" s="73"/>
      <c r="AQ291" s="75"/>
      <c r="AR291" s="76"/>
      <c r="AS291" s="77"/>
      <c r="AV291" s="75"/>
      <c r="AW291" s="83"/>
      <c r="AX291" s="84"/>
      <c r="AY291" s="80"/>
      <c r="BB291" s="81"/>
    </row>
    <row r="292" spans="1:54" ht="15" customHeight="1">
      <c r="A292" s="23" t="s">
        <v>1303</v>
      </c>
      <c r="B292" s="23" t="s">
        <v>1372</v>
      </c>
      <c r="C292" s="23" t="s">
        <v>1307</v>
      </c>
      <c r="D292" s="23">
        <v>14</v>
      </c>
      <c r="E292" s="23">
        <v>1</v>
      </c>
      <c r="G292" s="23" t="s">
        <v>1373</v>
      </c>
      <c r="H292" s="23" t="s">
        <v>1374</v>
      </c>
      <c r="I292" s="23" t="s">
        <v>223</v>
      </c>
      <c r="J292" s="23" t="s">
        <v>257</v>
      </c>
      <c r="K292" s="23" t="s">
        <v>26</v>
      </c>
      <c r="N292" s="73">
        <v>2</v>
      </c>
      <c r="O292" s="75"/>
      <c r="P292" s="76"/>
      <c r="Q292" s="77"/>
      <c r="T292" s="68">
        <v>2</v>
      </c>
      <c r="U292" s="75">
        <v>3</v>
      </c>
      <c r="V292" s="78"/>
      <c r="W292" s="79"/>
      <c r="X292" s="80"/>
      <c r="AA292" s="81"/>
      <c r="AD292" s="23" t="s">
        <v>301</v>
      </c>
      <c r="AE292" s="23"/>
      <c r="AF292" s="23" t="s">
        <v>1375</v>
      </c>
      <c r="AP292" s="73"/>
      <c r="AQ292" s="75"/>
      <c r="AR292" s="76"/>
      <c r="AS292" s="77"/>
      <c r="AV292" s="75"/>
      <c r="AW292" s="83"/>
      <c r="AX292" s="84"/>
      <c r="AY292" s="80"/>
      <c r="BB292" s="81"/>
    </row>
    <row r="293" spans="1:54" ht="15" customHeight="1">
      <c r="A293" s="23" t="s">
        <v>1303</v>
      </c>
      <c r="B293" s="23" t="s">
        <v>1376</v>
      </c>
      <c r="C293" s="23" t="s">
        <v>1307</v>
      </c>
      <c r="D293" s="23">
        <v>15</v>
      </c>
      <c r="E293" s="23">
        <v>1</v>
      </c>
      <c r="G293" s="23" t="s">
        <v>1377</v>
      </c>
      <c r="J293" s="23" t="s">
        <v>28</v>
      </c>
      <c r="K293" s="23" t="s">
        <v>26</v>
      </c>
      <c r="M293" s="23" t="s">
        <v>648</v>
      </c>
      <c r="N293" s="73"/>
      <c r="O293" s="75"/>
      <c r="P293" s="76"/>
      <c r="Q293" s="77"/>
      <c r="U293" s="75"/>
      <c r="V293" s="78"/>
      <c r="W293" s="79"/>
      <c r="X293" s="80"/>
      <c r="AA293" s="81"/>
      <c r="AD293" s="23" t="s">
        <v>284</v>
      </c>
      <c r="AE293" s="23"/>
      <c r="AF293" s="23" t="s">
        <v>1378</v>
      </c>
      <c r="AP293" s="73"/>
      <c r="AQ293" s="75"/>
      <c r="AR293" s="76"/>
      <c r="AS293" s="77"/>
      <c r="AV293" s="75"/>
      <c r="AW293" s="83"/>
      <c r="AX293" s="84"/>
      <c r="AY293" s="80"/>
      <c r="BB293" s="81"/>
    </row>
    <row r="294" spans="1:54" ht="15" customHeight="1">
      <c r="A294" s="23" t="s">
        <v>1303</v>
      </c>
      <c r="B294" s="23" t="s">
        <v>1379</v>
      </c>
      <c r="C294" s="23" t="s">
        <v>1307</v>
      </c>
      <c r="D294" s="23">
        <v>16</v>
      </c>
      <c r="E294" s="23">
        <v>2</v>
      </c>
      <c r="G294" s="23" t="s">
        <v>1380</v>
      </c>
      <c r="J294" s="23" t="s">
        <v>257</v>
      </c>
      <c r="K294" s="23" t="s">
        <v>198</v>
      </c>
      <c r="L294" s="23">
        <v>0</v>
      </c>
      <c r="N294" s="73">
        <v>1</v>
      </c>
      <c r="O294" s="75"/>
      <c r="P294" s="76"/>
      <c r="Q294" s="77">
        <v>1</v>
      </c>
      <c r="U294" s="75"/>
      <c r="V294" s="78"/>
      <c r="W294" s="79"/>
      <c r="X294" s="80"/>
      <c r="AA294" s="81"/>
      <c r="AB294" s="23" t="s">
        <v>206</v>
      </c>
      <c r="AC294" s="23" t="s">
        <v>258</v>
      </c>
      <c r="AD294" s="23" t="s">
        <v>298</v>
      </c>
      <c r="AE294" s="23"/>
      <c r="AF294" s="23" t="s">
        <v>1381</v>
      </c>
      <c r="AP294" s="73"/>
      <c r="AQ294" s="75"/>
      <c r="AR294" s="76"/>
      <c r="AS294" s="77"/>
      <c r="AV294" s="75"/>
      <c r="AW294" s="83"/>
      <c r="AX294" s="84"/>
      <c r="AY294" s="80"/>
      <c r="BB294" s="81"/>
    </row>
    <row r="295" spans="1:54" ht="15" customHeight="1">
      <c r="A295" s="23" t="s">
        <v>1303</v>
      </c>
      <c r="B295" s="23" t="s">
        <v>1382</v>
      </c>
      <c r="C295" s="23" t="s">
        <v>1307</v>
      </c>
      <c r="D295" s="23">
        <v>17</v>
      </c>
      <c r="E295" s="23">
        <v>2</v>
      </c>
      <c r="G295" s="23" t="s">
        <v>1383</v>
      </c>
      <c r="J295" s="23" t="s">
        <v>27</v>
      </c>
      <c r="K295" s="23" t="s">
        <v>198</v>
      </c>
      <c r="L295" s="23">
        <v>0</v>
      </c>
      <c r="N295" s="73">
        <v>1</v>
      </c>
      <c r="O295" s="75">
        <v>1</v>
      </c>
      <c r="P295" s="76"/>
      <c r="Q295" s="77">
        <v>1</v>
      </c>
      <c r="U295" s="75"/>
      <c r="V295" s="78"/>
      <c r="W295" s="79"/>
      <c r="X295" s="80"/>
      <c r="AA295" s="81"/>
      <c r="AB295" s="23" t="s">
        <v>1083</v>
      </c>
      <c r="AD295" s="23" t="s">
        <v>307</v>
      </c>
      <c r="AE295" s="23"/>
      <c r="AF295" s="23" t="s">
        <v>1384</v>
      </c>
      <c r="AP295" s="73"/>
      <c r="AQ295" s="75"/>
      <c r="AR295" s="76"/>
      <c r="AS295" s="77"/>
      <c r="AV295" s="75"/>
      <c r="AW295" s="83"/>
      <c r="AX295" s="84"/>
      <c r="AY295" s="80"/>
      <c r="BB295" s="81"/>
    </row>
    <row r="296" spans="1:54" ht="15" customHeight="1">
      <c r="A296" s="23" t="s">
        <v>1303</v>
      </c>
      <c r="B296" s="23" t="s">
        <v>1385</v>
      </c>
      <c r="C296" s="23" t="s">
        <v>1307</v>
      </c>
      <c r="D296" s="23">
        <v>18</v>
      </c>
      <c r="E296" s="23">
        <v>2</v>
      </c>
      <c r="G296" s="23" t="s">
        <v>1386</v>
      </c>
      <c r="J296" s="23" t="s">
        <v>27</v>
      </c>
      <c r="K296" s="23" t="s">
        <v>198</v>
      </c>
      <c r="L296" s="23">
        <v>0</v>
      </c>
      <c r="N296" s="73">
        <v>0</v>
      </c>
      <c r="O296" s="75"/>
      <c r="P296" s="76"/>
      <c r="Q296" s="77"/>
      <c r="S296" s="113">
        <v>1</v>
      </c>
      <c r="U296" s="75"/>
      <c r="V296" s="78"/>
      <c r="W296" s="79"/>
      <c r="X296" s="80"/>
      <c r="AA296" s="81"/>
      <c r="AB296" s="23" t="s">
        <v>208</v>
      </c>
      <c r="AD296" s="23" t="s">
        <v>307</v>
      </c>
      <c r="AE296" s="23"/>
      <c r="AF296" s="23" t="s">
        <v>1387</v>
      </c>
      <c r="AP296" s="73"/>
      <c r="AQ296" s="75"/>
      <c r="AR296" s="76"/>
      <c r="AS296" s="77"/>
      <c r="AV296" s="75"/>
      <c r="AW296" s="83"/>
      <c r="AX296" s="84"/>
      <c r="AY296" s="80"/>
      <c r="BB296" s="81"/>
    </row>
    <row r="297" spans="1:54" ht="15" customHeight="1">
      <c r="A297" s="23" t="s">
        <v>1303</v>
      </c>
      <c r="B297" s="23" t="s">
        <v>1388</v>
      </c>
      <c r="C297" s="23" t="s">
        <v>1307</v>
      </c>
      <c r="D297" s="23">
        <v>19</v>
      </c>
      <c r="E297" s="23">
        <v>2</v>
      </c>
      <c r="G297" s="23" t="s">
        <v>1383</v>
      </c>
      <c r="J297" s="23" t="s">
        <v>27</v>
      </c>
      <c r="K297" s="23" t="s">
        <v>198</v>
      </c>
      <c r="L297" s="23">
        <v>2</v>
      </c>
      <c r="N297" s="73">
        <v>1</v>
      </c>
      <c r="O297" s="75">
        <v>1</v>
      </c>
      <c r="P297" s="76"/>
      <c r="Q297" s="77">
        <v>1</v>
      </c>
      <c r="R297" s="66">
        <v>1</v>
      </c>
      <c r="U297" s="75"/>
      <c r="V297" s="78"/>
      <c r="W297" s="79"/>
      <c r="X297" s="80"/>
      <c r="AA297" s="81"/>
      <c r="AB297" s="23" t="s">
        <v>1389</v>
      </c>
      <c r="AD297" s="23" t="s">
        <v>307</v>
      </c>
      <c r="AE297" s="23"/>
      <c r="AF297" s="23" t="s">
        <v>1390</v>
      </c>
      <c r="AP297" s="73"/>
      <c r="AQ297" s="75"/>
      <c r="AR297" s="76"/>
      <c r="AS297" s="77"/>
      <c r="AV297" s="75"/>
      <c r="AW297" s="83"/>
      <c r="AX297" s="84"/>
      <c r="AY297" s="80"/>
      <c r="BB297" s="81"/>
    </row>
    <row r="298" spans="1:54" ht="15" customHeight="1">
      <c r="A298" s="23" t="s">
        <v>1303</v>
      </c>
      <c r="B298" s="23" t="s">
        <v>1391</v>
      </c>
      <c r="C298" s="23" t="s">
        <v>1307</v>
      </c>
      <c r="D298" s="23">
        <v>20</v>
      </c>
      <c r="E298" s="23">
        <v>2</v>
      </c>
      <c r="G298" s="23" t="s">
        <v>1392</v>
      </c>
      <c r="J298" s="23" t="s">
        <v>257</v>
      </c>
      <c r="K298" s="23" t="s">
        <v>199</v>
      </c>
      <c r="L298" s="23">
        <v>0</v>
      </c>
      <c r="N298" s="73">
        <v>2</v>
      </c>
      <c r="O298" s="75"/>
      <c r="P298" s="76">
        <v>1</v>
      </c>
      <c r="Q298" s="77"/>
      <c r="T298" s="68">
        <v>1</v>
      </c>
      <c r="U298" s="75">
        <v>2</v>
      </c>
      <c r="V298" s="78"/>
      <c r="W298" s="79"/>
      <c r="X298" s="80"/>
      <c r="AA298" s="81"/>
      <c r="AB298" s="23" t="s">
        <v>205</v>
      </c>
      <c r="AC298" s="23" t="s">
        <v>25</v>
      </c>
      <c r="AD298" s="23" t="s">
        <v>1393</v>
      </c>
      <c r="AE298" s="23"/>
      <c r="AF298" s="23" t="s">
        <v>1394</v>
      </c>
      <c r="AP298" s="73"/>
      <c r="AQ298" s="75"/>
      <c r="AR298" s="76"/>
      <c r="AS298" s="77"/>
      <c r="AV298" s="75"/>
      <c r="AW298" s="83"/>
      <c r="AX298" s="84"/>
      <c r="AY298" s="80"/>
      <c r="BB298" s="81"/>
    </row>
    <row r="299" spans="1:54" ht="15" customHeight="1">
      <c r="A299" s="23" t="s">
        <v>1303</v>
      </c>
      <c r="B299" s="23" t="s">
        <v>1395</v>
      </c>
      <c r="C299" s="23" t="s">
        <v>1307</v>
      </c>
      <c r="D299" s="23">
        <v>21</v>
      </c>
      <c r="E299" s="23">
        <v>2</v>
      </c>
      <c r="G299" s="23" t="s">
        <v>1396</v>
      </c>
      <c r="H299" s="23" t="s">
        <v>1397</v>
      </c>
      <c r="J299" s="23" t="s">
        <v>257</v>
      </c>
      <c r="K299" s="23" t="s">
        <v>199</v>
      </c>
      <c r="L299" s="23">
        <v>0</v>
      </c>
      <c r="N299" s="73">
        <v>1</v>
      </c>
      <c r="O299" s="75"/>
      <c r="P299" s="76"/>
      <c r="Q299" s="77"/>
      <c r="S299" s="113">
        <v>1</v>
      </c>
      <c r="U299" s="75"/>
      <c r="V299" s="78"/>
      <c r="W299" s="79"/>
      <c r="X299" s="80"/>
      <c r="AA299" s="81"/>
      <c r="AB299" s="23" t="s">
        <v>208</v>
      </c>
      <c r="AD299" s="23" t="s">
        <v>1398</v>
      </c>
      <c r="AE299" s="23"/>
      <c r="AF299" s="23" t="s">
        <v>1399</v>
      </c>
      <c r="AP299" s="73"/>
      <c r="AQ299" s="75"/>
      <c r="AR299" s="76"/>
      <c r="AS299" s="77"/>
      <c r="AV299" s="75"/>
      <c r="AW299" s="83"/>
      <c r="AX299" s="84"/>
      <c r="AY299" s="80"/>
      <c r="BB299" s="81"/>
    </row>
    <row r="300" spans="1:54" ht="15" customHeight="1">
      <c r="A300" s="23" t="s">
        <v>1303</v>
      </c>
      <c r="B300" s="23" t="s">
        <v>1400</v>
      </c>
      <c r="C300" s="23" t="s">
        <v>1307</v>
      </c>
      <c r="D300" s="23">
        <v>22</v>
      </c>
      <c r="E300" s="23">
        <v>2</v>
      </c>
      <c r="G300" s="23" t="s">
        <v>1401</v>
      </c>
      <c r="J300" s="23" t="s">
        <v>27</v>
      </c>
      <c r="K300" s="23" t="s">
        <v>199</v>
      </c>
      <c r="L300" s="23">
        <v>0</v>
      </c>
      <c r="N300" s="73">
        <v>0</v>
      </c>
      <c r="O300" s="75">
        <v>1</v>
      </c>
      <c r="P300" s="76"/>
      <c r="Q300" s="77"/>
      <c r="R300" s="66">
        <v>1</v>
      </c>
      <c r="U300" s="75"/>
      <c r="V300" s="78"/>
      <c r="W300" s="79"/>
      <c r="X300" s="80"/>
      <c r="AA300" s="81"/>
      <c r="AB300" s="23" t="s">
        <v>1085</v>
      </c>
      <c r="AD300" s="23" t="s">
        <v>344</v>
      </c>
      <c r="AE300" s="23"/>
      <c r="AF300" s="23" t="s">
        <v>1402</v>
      </c>
      <c r="AP300" s="73"/>
      <c r="AQ300" s="75"/>
      <c r="AR300" s="76"/>
      <c r="AS300" s="77"/>
      <c r="AV300" s="75"/>
      <c r="AW300" s="83"/>
      <c r="AX300" s="84"/>
      <c r="AY300" s="80"/>
      <c r="BB300" s="81"/>
    </row>
    <row r="301" spans="1:54" ht="15" customHeight="1">
      <c r="A301" s="23" t="s">
        <v>1303</v>
      </c>
      <c r="B301" s="23" t="s">
        <v>1403</v>
      </c>
      <c r="C301" s="23" t="s">
        <v>1307</v>
      </c>
      <c r="D301" s="23">
        <v>23</v>
      </c>
      <c r="E301" s="23">
        <v>2</v>
      </c>
      <c r="G301" s="23" t="s">
        <v>1404</v>
      </c>
      <c r="J301" s="23" t="s">
        <v>27</v>
      </c>
      <c r="K301" s="23" t="s">
        <v>199</v>
      </c>
      <c r="L301" s="23">
        <v>0</v>
      </c>
      <c r="N301" s="73">
        <v>1</v>
      </c>
      <c r="O301" s="75"/>
      <c r="P301" s="76">
        <v>1</v>
      </c>
      <c r="Q301" s="77"/>
      <c r="R301" s="66">
        <v>1</v>
      </c>
      <c r="U301" s="75"/>
      <c r="V301" s="78"/>
      <c r="W301" s="79"/>
      <c r="X301" s="80"/>
      <c r="AA301" s="81"/>
      <c r="AB301" s="23" t="s">
        <v>1089</v>
      </c>
      <c r="AD301" s="23" t="s">
        <v>340</v>
      </c>
      <c r="AE301" s="23"/>
      <c r="AF301" s="23" t="s">
        <v>1405</v>
      </c>
      <c r="AP301" s="73"/>
      <c r="AQ301" s="75"/>
      <c r="AR301" s="76"/>
      <c r="AS301" s="77"/>
      <c r="AV301" s="75"/>
      <c r="AW301" s="83"/>
      <c r="AX301" s="84"/>
      <c r="AY301" s="80"/>
      <c r="BB301" s="81"/>
    </row>
    <row r="302" spans="1:54" ht="15" customHeight="1">
      <c r="A302" s="23" t="s">
        <v>1303</v>
      </c>
      <c r="B302" s="23" t="s">
        <v>1406</v>
      </c>
      <c r="C302" s="23" t="s">
        <v>1307</v>
      </c>
      <c r="D302" s="23">
        <v>24</v>
      </c>
      <c r="E302" s="23">
        <v>2</v>
      </c>
      <c r="G302" s="23" t="s">
        <v>1407</v>
      </c>
      <c r="J302" s="23" t="s">
        <v>257</v>
      </c>
      <c r="K302" s="23" t="s">
        <v>201</v>
      </c>
      <c r="L302" s="23">
        <v>0</v>
      </c>
      <c r="N302" s="73">
        <v>1</v>
      </c>
      <c r="O302" s="75">
        <v>1</v>
      </c>
      <c r="P302" s="76"/>
      <c r="Q302" s="77"/>
      <c r="U302" s="75"/>
      <c r="V302" s="78"/>
      <c r="W302" s="79"/>
      <c r="X302" s="80"/>
      <c r="AA302" s="81"/>
      <c r="AB302" s="23" t="s">
        <v>204</v>
      </c>
      <c r="AD302" s="23" t="s">
        <v>1408</v>
      </c>
      <c r="AE302" s="23"/>
      <c r="AF302" s="23" t="s">
        <v>1409</v>
      </c>
      <c r="AP302" s="73"/>
      <c r="AQ302" s="75"/>
      <c r="AR302" s="76"/>
      <c r="AS302" s="77"/>
      <c r="AV302" s="75"/>
      <c r="AW302" s="83"/>
      <c r="AX302" s="84"/>
      <c r="AY302" s="80"/>
      <c r="BB302" s="81"/>
    </row>
    <row r="303" spans="1:54" ht="15" customHeight="1">
      <c r="A303" s="23" t="s">
        <v>1303</v>
      </c>
      <c r="B303" s="23" t="s">
        <v>1410</v>
      </c>
      <c r="C303" s="23" t="s">
        <v>1307</v>
      </c>
      <c r="D303" s="23">
        <v>25</v>
      </c>
      <c r="E303" s="23">
        <v>2</v>
      </c>
      <c r="G303" s="23" t="s">
        <v>1411</v>
      </c>
      <c r="J303" s="23" t="s">
        <v>27</v>
      </c>
      <c r="K303" s="23" t="s">
        <v>201</v>
      </c>
      <c r="L303" s="23">
        <v>0</v>
      </c>
      <c r="N303" s="73">
        <v>1</v>
      </c>
      <c r="O303" s="75"/>
      <c r="P303" s="76">
        <v>1</v>
      </c>
      <c r="Q303" s="77"/>
      <c r="R303" s="66">
        <v>1</v>
      </c>
      <c r="U303" s="75"/>
      <c r="V303" s="78"/>
      <c r="W303" s="79"/>
      <c r="X303" s="80"/>
      <c r="AA303" s="81"/>
      <c r="AB303" s="23" t="s">
        <v>1089</v>
      </c>
      <c r="AD303" s="23" t="s">
        <v>1412</v>
      </c>
      <c r="AE303" s="23"/>
      <c r="AF303" s="23" t="s">
        <v>1413</v>
      </c>
      <c r="AP303" s="73"/>
      <c r="AQ303" s="75"/>
      <c r="AR303" s="76"/>
      <c r="AS303" s="77"/>
      <c r="AV303" s="75"/>
      <c r="AW303" s="83"/>
      <c r="AX303" s="84"/>
      <c r="AY303" s="80"/>
      <c r="BB303" s="81"/>
    </row>
    <row r="304" spans="1:54" ht="15" customHeight="1">
      <c r="A304" s="23" t="s">
        <v>1303</v>
      </c>
      <c r="B304" s="23" t="s">
        <v>1414</v>
      </c>
      <c r="C304" s="23" t="s">
        <v>1307</v>
      </c>
      <c r="D304" s="23">
        <v>26</v>
      </c>
      <c r="E304" s="23">
        <v>2</v>
      </c>
      <c r="G304" s="23" t="s">
        <v>1415</v>
      </c>
      <c r="J304" s="23" t="s">
        <v>312</v>
      </c>
      <c r="K304" s="23" t="s">
        <v>201</v>
      </c>
      <c r="L304" s="23">
        <v>0</v>
      </c>
      <c r="N304" s="73"/>
      <c r="O304" s="75"/>
      <c r="P304" s="76"/>
      <c r="Q304" s="77"/>
      <c r="S304" s="113">
        <v>1</v>
      </c>
      <c r="U304" s="75"/>
      <c r="V304" s="78"/>
      <c r="W304" s="79"/>
      <c r="X304" s="80"/>
      <c r="AA304" s="81"/>
      <c r="AB304" s="23" t="s">
        <v>208</v>
      </c>
      <c r="AD304" s="23" t="s">
        <v>372</v>
      </c>
      <c r="AE304" s="23"/>
      <c r="AF304" s="23" t="s">
        <v>1416</v>
      </c>
      <c r="AP304" s="73"/>
      <c r="AQ304" s="75"/>
      <c r="AR304" s="76"/>
      <c r="AS304" s="77"/>
      <c r="AV304" s="75"/>
      <c r="AW304" s="83"/>
      <c r="AX304" s="84"/>
      <c r="AY304" s="80"/>
      <c r="BB304" s="81"/>
    </row>
    <row r="305" spans="1:59" ht="15" customHeight="1">
      <c r="A305" s="23" t="s">
        <v>1303</v>
      </c>
      <c r="B305" s="23" t="s">
        <v>1417</v>
      </c>
      <c r="C305" s="23" t="s">
        <v>1307</v>
      </c>
      <c r="D305" s="23">
        <v>27</v>
      </c>
      <c r="E305" s="23">
        <v>2</v>
      </c>
      <c r="G305" s="23" t="s">
        <v>1418</v>
      </c>
      <c r="J305" s="23" t="s">
        <v>257</v>
      </c>
      <c r="K305" s="23" t="s">
        <v>201</v>
      </c>
      <c r="L305" s="23">
        <v>1</v>
      </c>
      <c r="N305" s="73">
        <v>1</v>
      </c>
      <c r="O305" s="75"/>
      <c r="P305" s="76"/>
      <c r="Q305" s="77">
        <v>1</v>
      </c>
      <c r="T305" s="68">
        <v>3</v>
      </c>
      <c r="U305" s="75">
        <v>1</v>
      </c>
      <c r="V305" s="78"/>
      <c r="W305" s="79"/>
      <c r="X305" s="80"/>
      <c r="AA305" s="81"/>
      <c r="AB305" s="23" t="s">
        <v>206</v>
      </c>
      <c r="AD305" s="23" t="s">
        <v>362</v>
      </c>
      <c r="AE305" s="23"/>
      <c r="AF305" s="23" t="s">
        <v>1419</v>
      </c>
      <c r="AP305" s="73"/>
      <c r="AQ305" s="75"/>
      <c r="AR305" s="76"/>
      <c r="AS305" s="77"/>
      <c r="AV305" s="75"/>
      <c r="AW305" s="83"/>
      <c r="AX305" s="84"/>
      <c r="AY305" s="80"/>
      <c r="BB305" s="81"/>
    </row>
    <row r="306" spans="1:59" ht="15" customHeight="1">
      <c r="A306" s="23" t="s">
        <v>1303</v>
      </c>
      <c r="B306" s="23" t="s">
        <v>1420</v>
      </c>
      <c r="C306" s="23" t="s">
        <v>1307</v>
      </c>
      <c r="D306" s="23">
        <v>28</v>
      </c>
      <c r="E306" s="23">
        <v>2</v>
      </c>
      <c r="G306" s="23" t="s">
        <v>1421</v>
      </c>
      <c r="J306" s="23" t="s">
        <v>257</v>
      </c>
      <c r="K306" s="23" t="s">
        <v>200</v>
      </c>
      <c r="L306" s="23">
        <v>0</v>
      </c>
      <c r="N306" s="73">
        <v>4</v>
      </c>
      <c r="O306" s="75"/>
      <c r="P306" s="76">
        <v>1</v>
      </c>
      <c r="Q306" s="77"/>
      <c r="U306" s="75"/>
      <c r="V306" s="78"/>
      <c r="W306" s="79"/>
      <c r="X306" s="80"/>
      <c r="AA306" s="81"/>
      <c r="AB306" s="23" t="s">
        <v>205</v>
      </c>
      <c r="AC306" s="23" t="s">
        <v>378</v>
      </c>
      <c r="AD306" s="23" t="s">
        <v>279</v>
      </c>
      <c r="AE306" s="23"/>
      <c r="AF306" s="23" t="s">
        <v>1422</v>
      </c>
      <c r="AP306" s="73"/>
      <c r="AQ306" s="75"/>
      <c r="AR306" s="76"/>
      <c r="AS306" s="77"/>
      <c r="AV306" s="75"/>
      <c r="AW306" s="83"/>
      <c r="AX306" s="84"/>
      <c r="AY306" s="80"/>
      <c r="BB306" s="81"/>
    </row>
    <row r="307" spans="1:59" ht="15" customHeight="1">
      <c r="A307" s="23" t="s">
        <v>1303</v>
      </c>
      <c r="B307" s="23" t="s">
        <v>1423</v>
      </c>
      <c r="C307" s="23" t="s">
        <v>1307</v>
      </c>
      <c r="D307" s="23">
        <v>29</v>
      </c>
      <c r="E307" s="23">
        <v>2</v>
      </c>
      <c r="G307" s="23" t="s">
        <v>1424</v>
      </c>
      <c r="J307" s="23" t="s">
        <v>257</v>
      </c>
      <c r="K307" s="23" t="s">
        <v>200</v>
      </c>
      <c r="L307" s="23">
        <v>0</v>
      </c>
      <c r="N307" s="73">
        <v>1</v>
      </c>
      <c r="O307" s="75">
        <v>1</v>
      </c>
      <c r="P307" s="76"/>
      <c r="Q307" s="77"/>
      <c r="U307" s="75"/>
      <c r="V307" s="78"/>
      <c r="W307" s="79"/>
      <c r="X307" s="80"/>
      <c r="AA307" s="81"/>
      <c r="AB307" s="23" t="s">
        <v>204</v>
      </c>
      <c r="AC307" s="23" t="s">
        <v>258</v>
      </c>
      <c r="AD307" s="23" t="s">
        <v>265</v>
      </c>
      <c r="AE307" s="23"/>
      <c r="AF307" s="23" t="s">
        <v>1425</v>
      </c>
      <c r="AP307" s="73"/>
      <c r="AQ307" s="75"/>
      <c r="AR307" s="76"/>
      <c r="AS307" s="77"/>
      <c r="AV307" s="75"/>
      <c r="AW307" s="83"/>
      <c r="AX307" s="84"/>
      <c r="AY307" s="80"/>
      <c r="BB307" s="81"/>
    </row>
    <row r="308" spans="1:59" ht="15" customHeight="1">
      <c r="A308" s="23" t="s">
        <v>1303</v>
      </c>
      <c r="B308" s="23" t="s">
        <v>1426</v>
      </c>
      <c r="C308" s="23" t="s">
        <v>1307</v>
      </c>
      <c r="D308" s="23">
        <v>30</v>
      </c>
      <c r="E308" s="23">
        <v>2</v>
      </c>
      <c r="G308" s="23" t="s">
        <v>1427</v>
      </c>
      <c r="J308" s="23" t="s">
        <v>257</v>
      </c>
      <c r="K308" s="23" t="s">
        <v>200</v>
      </c>
      <c r="L308" s="23">
        <v>0</v>
      </c>
      <c r="N308" s="73">
        <v>2</v>
      </c>
      <c r="O308" s="75">
        <v>1</v>
      </c>
      <c r="P308" s="76"/>
      <c r="Q308" s="77"/>
      <c r="U308" s="75"/>
      <c r="V308" s="78"/>
      <c r="W308" s="79"/>
      <c r="X308" s="80"/>
      <c r="AA308" s="81"/>
      <c r="AB308" s="23" t="s">
        <v>204</v>
      </c>
      <c r="AC308" s="23" t="s">
        <v>378</v>
      </c>
      <c r="AD308" s="23" t="s">
        <v>279</v>
      </c>
      <c r="AE308" s="23"/>
      <c r="AF308" s="23" t="s">
        <v>1428</v>
      </c>
      <c r="AP308" s="73"/>
      <c r="AQ308" s="75"/>
      <c r="AR308" s="76"/>
      <c r="AS308" s="77"/>
      <c r="AV308" s="75"/>
      <c r="AW308" s="83"/>
      <c r="AX308" s="84"/>
      <c r="AY308" s="80"/>
      <c r="BB308" s="81"/>
    </row>
    <row r="309" spans="1:59" ht="15" customHeight="1">
      <c r="A309" s="23" t="s">
        <v>1303</v>
      </c>
      <c r="B309" s="23" t="s">
        <v>1429</v>
      </c>
      <c r="C309" s="23" t="s">
        <v>1307</v>
      </c>
      <c r="D309" s="23">
        <v>31</v>
      </c>
      <c r="E309" s="23">
        <v>2</v>
      </c>
      <c r="G309" s="23" t="s">
        <v>1430</v>
      </c>
      <c r="J309" s="23" t="s">
        <v>27</v>
      </c>
      <c r="K309" s="23" t="s">
        <v>200</v>
      </c>
      <c r="L309" s="23">
        <v>2</v>
      </c>
      <c r="N309" s="73">
        <v>3</v>
      </c>
      <c r="O309" s="75">
        <v>1</v>
      </c>
      <c r="P309" s="76">
        <v>1</v>
      </c>
      <c r="Q309" s="77"/>
      <c r="U309" s="75"/>
      <c r="V309" s="78"/>
      <c r="W309" s="79"/>
      <c r="X309" s="80"/>
      <c r="AA309" s="81"/>
      <c r="AB309" s="23" t="s">
        <v>1092</v>
      </c>
      <c r="AD309" s="23" t="s">
        <v>279</v>
      </c>
      <c r="AE309" s="23"/>
      <c r="AF309" s="23" t="s">
        <v>1431</v>
      </c>
      <c r="AP309" s="73"/>
      <c r="AQ309" s="75"/>
      <c r="AR309" s="76"/>
      <c r="AS309" s="77"/>
      <c r="AV309" s="75"/>
      <c r="AW309" s="83"/>
      <c r="AX309" s="84"/>
      <c r="AY309" s="80"/>
      <c r="BB309" s="81"/>
    </row>
    <row r="310" spans="1:59" ht="15" customHeight="1">
      <c r="A310" s="23" t="s">
        <v>1303</v>
      </c>
      <c r="B310" s="23" t="s">
        <v>1432</v>
      </c>
      <c r="C310" s="23" t="s">
        <v>1307</v>
      </c>
      <c r="D310" s="23">
        <v>32</v>
      </c>
      <c r="E310" s="23">
        <v>2</v>
      </c>
      <c r="G310" s="23" t="s">
        <v>1433</v>
      </c>
      <c r="J310" s="23" t="s">
        <v>257</v>
      </c>
      <c r="K310" s="23" t="s">
        <v>202</v>
      </c>
      <c r="L310" s="23">
        <v>0</v>
      </c>
      <c r="N310" s="73">
        <v>1</v>
      </c>
      <c r="O310" s="75"/>
      <c r="P310" s="76"/>
      <c r="Q310" s="77">
        <v>1</v>
      </c>
      <c r="U310" s="75"/>
      <c r="V310" s="78"/>
      <c r="W310" s="79"/>
      <c r="X310" s="80"/>
      <c r="AA310" s="81"/>
      <c r="AB310" s="23" t="s">
        <v>206</v>
      </c>
      <c r="AC310" s="23" t="s">
        <v>258</v>
      </c>
      <c r="AD310" s="23" t="s">
        <v>298</v>
      </c>
      <c r="AE310" s="23"/>
      <c r="AF310" s="23" t="s">
        <v>1434</v>
      </c>
      <c r="AP310" s="73"/>
      <c r="AQ310" s="75"/>
      <c r="AR310" s="76"/>
      <c r="AS310" s="77"/>
      <c r="AV310" s="75"/>
      <c r="AW310" s="83"/>
      <c r="AX310" s="84"/>
      <c r="AY310" s="80"/>
      <c r="BB310" s="81"/>
    </row>
    <row r="311" spans="1:59" ht="15" customHeight="1">
      <c r="A311" s="23" t="s">
        <v>1303</v>
      </c>
      <c r="B311" s="23" t="s">
        <v>1435</v>
      </c>
      <c r="C311" s="23" t="s">
        <v>1307</v>
      </c>
      <c r="D311" s="23">
        <v>33</v>
      </c>
      <c r="E311" s="23">
        <v>2</v>
      </c>
      <c r="G311" s="23" t="s">
        <v>1436</v>
      </c>
      <c r="H311" s="23" t="s">
        <v>1437</v>
      </c>
      <c r="I311" s="23" t="s">
        <v>223</v>
      </c>
      <c r="J311" s="23" t="s">
        <v>257</v>
      </c>
      <c r="K311" s="23" t="s">
        <v>202</v>
      </c>
      <c r="L311" s="23">
        <v>0</v>
      </c>
      <c r="N311" s="73">
        <v>3</v>
      </c>
      <c r="O311" s="75">
        <v>1</v>
      </c>
      <c r="P311" s="76"/>
      <c r="Q311" s="77"/>
      <c r="T311" s="68">
        <v>1</v>
      </c>
      <c r="U311" s="75">
        <v>2</v>
      </c>
      <c r="V311" s="78"/>
      <c r="W311" s="79"/>
      <c r="X311" s="80"/>
      <c r="AA311" s="81"/>
      <c r="AB311" s="23" t="s">
        <v>204</v>
      </c>
      <c r="AC311" s="23" t="s">
        <v>25</v>
      </c>
      <c r="AD311" s="23" t="s">
        <v>330</v>
      </c>
      <c r="AE311" s="23"/>
      <c r="AF311" s="23" t="s">
        <v>1438</v>
      </c>
      <c r="AP311" s="73"/>
      <c r="AQ311" s="75"/>
      <c r="AR311" s="76"/>
      <c r="AS311" s="77"/>
      <c r="AV311" s="75"/>
      <c r="AW311" s="83"/>
      <c r="AX311" s="84"/>
      <c r="AY311" s="80"/>
      <c r="BB311" s="81"/>
    </row>
    <row r="312" spans="1:59" ht="15" customHeight="1">
      <c r="A312" s="23" t="s">
        <v>1303</v>
      </c>
      <c r="B312" s="23" t="s">
        <v>1439</v>
      </c>
      <c r="C312" s="23" t="s">
        <v>1307</v>
      </c>
      <c r="D312" s="23">
        <v>34</v>
      </c>
      <c r="E312" s="23">
        <v>2</v>
      </c>
      <c r="G312" s="23" t="s">
        <v>1440</v>
      </c>
      <c r="J312" s="23" t="s">
        <v>27</v>
      </c>
      <c r="K312" s="23" t="s">
        <v>202</v>
      </c>
      <c r="L312" s="23">
        <v>0</v>
      </c>
      <c r="N312" s="73">
        <v>1</v>
      </c>
      <c r="O312" s="75"/>
      <c r="P312" s="76">
        <v>1</v>
      </c>
      <c r="Q312" s="77"/>
      <c r="R312" s="66">
        <v>1</v>
      </c>
      <c r="U312" s="75"/>
      <c r="V312" s="78"/>
      <c r="W312" s="79"/>
      <c r="X312" s="80"/>
      <c r="AA312" s="81"/>
      <c r="AB312" s="23" t="s">
        <v>1089</v>
      </c>
      <c r="AD312" s="23" t="s">
        <v>1412</v>
      </c>
      <c r="AE312" s="23"/>
      <c r="AF312" s="23" t="s">
        <v>1441</v>
      </c>
      <c r="AP312" s="73"/>
      <c r="AQ312" s="75"/>
      <c r="AR312" s="76"/>
      <c r="AS312" s="77"/>
      <c r="AV312" s="75"/>
      <c r="AW312" s="83"/>
      <c r="AX312" s="84"/>
      <c r="AY312" s="80"/>
      <c r="BB312" s="81"/>
    </row>
    <row r="313" spans="1:59" ht="15" customHeight="1">
      <c r="A313" s="23" t="s">
        <v>1303</v>
      </c>
      <c r="B313" s="23" t="s">
        <v>1442</v>
      </c>
      <c r="C313" s="23" t="s">
        <v>1307</v>
      </c>
      <c r="D313" s="23">
        <v>35</v>
      </c>
      <c r="E313" s="23">
        <v>2</v>
      </c>
      <c r="G313" s="23" t="s">
        <v>1436</v>
      </c>
      <c r="H313" s="23" t="s">
        <v>1437</v>
      </c>
      <c r="I313" s="23" t="s">
        <v>223</v>
      </c>
      <c r="J313" s="23" t="s">
        <v>257</v>
      </c>
      <c r="K313" s="23" t="s">
        <v>202</v>
      </c>
      <c r="L313" s="23">
        <v>2</v>
      </c>
      <c r="N313" s="73">
        <v>3</v>
      </c>
      <c r="O313" s="75">
        <v>1</v>
      </c>
      <c r="P313" s="76"/>
      <c r="Q313" s="77"/>
      <c r="T313" s="68">
        <v>1</v>
      </c>
      <c r="U313" s="75">
        <v>3</v>
      </c>
      <c r="V313" s="78"/>
      <c r="W313" s="79"/>
      <c r="X313" s="80"/>
      <c r="AA313" s="81"/>
      <c r="AB313" s="23" t="s">
        <v>204</v>
      </c>
      <c r="AC313" s="23" t="s">
        <v>25</v>
      </c>
      <c r="AD313" s="23" t="s">
        <v>330</v>
      </c>
      <c r="AE313" s="23"/>
      <c r="AF313" s="23" t="s">
        <v>1443</v>
      </c>
      <c r="AP313" s="73"/>
      <c r="AQ313" s="75"/>
      <c r="AR313" s="76"/>
      <c r="AS313" s="77"/>
      <c r="AV313" s="75"/>
      <c r="AW313" s="83"/>
      <c r="AX313" s="84"/>
      <c r="AY313" s="80"/>
      <c r="BB313" s="81"/>
    </row>
    <row r="314" spans="1:59" ht="15" customHeight="1">
      <c r="A314" s="23" t="s">
        <v>1303</v>
      </c>
      <c r="B314" s="23" t="s">
        <v>1444</v>
      </c>
      <c r="C314" s="23" t="s">
        <v>1307</v>
      </c>
      <c r="D314" s="23">
        <v>36</v>
      </c>
      <c r="E314" s="23">
        <v>2</v>
      </c>
      <c r="G314" s="23" t="s">
        <v>1445</v>
      </c>
      <c r="J314" s="23" t="s">
        <v>257</v>
      </c>
      <c r="K314" s="23" t="s">
        <v>26</v>
      </c>
      <c r="L314" s="23">
        <v>0</v>
      </c>
      <c r="N314" s="73">
        <v>2</v>
      </c>
      <c r="O314" s="75"/>
      <c r="P314" s="76"/>
      <c r="Q314" s="77">
        <v>1</v>
      </c>
      <c r="U314" s="75"/>
      <c r="V314" s="78"/>
      <c r="W314" s="79"/>
      <c r="X314" s="80"/>
      <c r="AA314" s="81"/>
      <c r="AB314" s="23" t="s">
        <v>206</v>
      </c>
      <c r="AC314" s="23" t="s">
        <v>258</v>
      </c>
      <c r="AD314" s="23" t="s">
        <v>298</v>
      </c>
      <c r="AE314" s="23"/>
      <c r="AF314" s="23" t="s">
        <v>1446</v>
      </c>
      <c r="AP314" s="73"/>
      <c r="AQ314" s="75"/>
      <c r="AR314" s="76"/>
      <c r="AS314" s="77"/>
      <c r="AV314" s="75"/>
      <c r="AW314" s="83"/>
      <c r="AX314" s="84"/>
      <c r="AY314" s="80"/>
      <c r="BB314" s="81"/>
    </row>
    <row r="315" spans="1:59" ht="15" customHeight="1">
      <c r="A315" s="23" t="s">
        <v>1303</v>
      </c>
      <c r="B315" s="23" t="s">
        <v>1447</v>
      </c>
      <c r="C315" s="23" t="s">
        <v>1307</v>
      </c>
      <c r="D315" s="23">
        <v>37</v>
      </c>
      <c r="E315" s="23">
        <v>2</v>
      </c>
      <c r="G315" s="23" t="s">
        <v>1448</v>
      </c>
      <c r="J315" s="23" t="s">
        <v>28</v>
      </c>
      <c r="K315" s="23" t="s">
        <v>26</v>
      </c>
      <c r="M315" s="23" t="s">
        <v>691</v>
      </c>
      <c r="N315" s="73"/>
      <c r="O315" s="75"/>
      <c r="P315" s="76"/>
      <c r="Q315" s="77"/>
      <c r="U315" s="75"/>
      <c r="V315" s="78"/>
      <c r="W315" s="79"/>
      <c r="X315" s="80"/>
      <c r="AA315" s="81"/>
      <c r="AD315" s="23" t="s">
        <v>1449</v>
      </c>
      <c r="AE315" s="24" t="s">
        <v>1978</v>
      </c>
      <c r="AF315" s="23" t="s">
        <v>2115</v>
      </c>
      <c r="AP315" s="73"/>
      <c r="AQ315" s="75"/>
      <c r="AR315" s="76"/>
      <c r="AS315" s="77"/>
      <c r="AV315" s="75"/>
      <c r="AW315" s="83"/>
      <c r="AX315" s="84"/>
      <c r="AY315" s="80"/>
      <c r="BB315" s="81"/>
    </row>
    <row r="316" spans="1:59" ht="15" customHeight="1">
      <c r="A316" s="23" t="s">
        <v>1303</v>
      </c>
      <c r="B316" s="23" t="s">
        <v>1450</v>
      </c>
      <c r="C316" s="23" t="s">
        <v>1307</v>
      </c>
      <c r="D316" s="23">
        <v>38</v>
      </c>
      <c r="E316" s="23">
        <v>2</v>
      </c>
      <c r="G316" s="23" t="s">
        <v>1451</v>
      </c>
      <c r="J316" s="23" t="s">
        <v>28</v>
      </c>
      <c r="K316" s="23" t="s">
        <v>26</v>
      </c>
      <c r="M316" s="23" t="s">
        <v>691</v>
      </c>
      <c r="N316" s="73"/>
      <c r="O316" s="75"/>
      <c r="P316" s="76"/>
      <c r="Q316" s="77"/>
      <c r="U316" s="75"/>
      <c r="V316" s="78"/>
      <c r="W316" s="79"/>
      <c r="X316" s="80"/>
      <c r="AA316" s="81"/>
      <c r="AD316" s="23" t="s">
        <v>1452</v>
      </c>
      <c r="AE316" s="23"/>
      <c r="AF316" s="23" t="s">
        <v>1453</v>
      </c>
      <c r="AP316" s="73"/>
      <c r="AQ316" s="75"/>
      <c r="AR316" s="76"/>
      <c r="AS316" s="77"/>
      <c r="AV316" s="75"/>
      <c r="AW316" s="83"/>
      <c r="AX316" s="84"/>
      <c r="AY316" s="80"/>
      <c r="BB316" s="81"/>
    </row>
    <row r="317" spans="1:59" ht="15" customHeight="1">
      <c r="A317" s="23" t="s">
        <v>1303</v>
      </c>
      <c r="B317" s="23" t="s">
        <v>1454</v>
      </c>
      <c r="C317" s="23" t="s">
        <v>1307</v>
      </c>
      <c r="D317" s="23">
        <v>39</v>
      </c>
      <c r="E317" s="23">
        <v>2</v>
      </c>
      <c r="G317" s="23" t="s">
        <v>1455</v>
      </c>
      <c r="J317" s="23" t="s">
        <v>28</v>
      </c>
      <c r="K317" s="23" t="s">
        <v>26</v>
      </c>
      <c r="M317" s="23" t="s">
        <v>691</v>
      </c>
      <c r="N317" s="73"/>
      <c r="O317" s="75"/>
      <c r="P317" s="76"/>
      <c r="Q317" s="77"/>
      <c r="U317" s="75"/>
      <c r="V317" s="78"/>
      <c r="W317" s="79"/>
      <c r="X317" s="80"/>
      <c r="AA317" s="81"/>
      <c r="AD317" s="23" t="s">
        <v>284</v>
      </c>
      <c r="AE317" s="23"/>
      <c r="AF317" s="23" t="s">
        <v>1456</v>
      </c>
      <c r="AP317" s="73"/>
      <c r="AQ317" s="75"/>
      <c r="AR317" s="76"/>
      <c r="AS317" s="77"/>
      <c r="AV317" s="75"/>
      <c r="AW317" s="83"/>
      <c r="AX317" s="84"/>
      <c r="AY317" s="80"/>
      <c r="BB317" s="81"/>
    </row>
    <row r="318" spans="1:59" ht="15" customHeight="1">
      <c r="A318" s="23" t="s">
        <v>1303</v>
      </c>
      <c r="B318" s="23" t="s">
        <v>1457</v>
      </c>
      <c r="C318" s="23" t="s">
        <v>1307</v>
      </c>
      <c r="D318" s="23">
        <v>40</v>
      </c>
      <c r="E318" s="23">
        <v>1</v>
      </c>
      <c r="F318" s="23" t="s">
        <v>1458</v>
      </c>
      <c r="G318" s="23" t="s">
        <v>1459</v>
      </c>
      <c r="H318" s="23" t="s">
        <v>1460</v>
      </c>
      <c r="I318" s="23" t="s">
        <v>223</v>
      </c>
      <c r="J318" s="23" t="s">
        <v>257</v>
      </c>
      <c r="K318" s="23" t="s">
        <v>26</v>
      </c>
      <c r="N318" s="73">
        <v>2</v>
      </c>
      <c r="O318" s="75"/>
      <c r="P318" s="76"/>
      <c r="Q318" s="77"/>
      <c r="S318" s="113">
        <v>2</v>
      </c>
      <c r="T318" s="68">
        <v>2</v>
      </c>
      <c r="U318" s="75">
        <v>2</v>
      </c>
      <c r="V318" s="78"/>
      <c r="W318" s="79"/>
      <c r="X318" s="80"/>
      <c r="AA318" s="81"/>
      <c r="AB318" s="23" t="s">
        <v>1082</v>
      </c>
      <c r="AC318" s="23" t="s">
        <v>25</v>
      </c>
      <c r="AD318" s="23" t="s">
        <v>330</v>
      </c>
      <c r="AE318" s="23"/>
      <c r="AF318" s="23" t="s">
        <v>1461</v>
      </c>
      <c r="AP318" s="73"/>
      <c r="AQ318" s="75"/>
      <c r="AR318" s="76"/>
      <c r="AS318" s="77"/>
      <c r="AV318" s="75"/>
      <c r="AW318" s="83"/>
      <c r="AX318" s="84"/>
      <c r="AY318" s="80"/>
      <c r="BB318" s="81"/>
    </row>
    <row r="319" spans="1:59" ht="15" customHeight="1">
      <c r="A319" s="23" t="s">
        <v>1303</v>
      </c>
      <c r="B319" s="23" t="s">
        <v>1462</v>
      </c>
      <c r="C319" s="23" t="s">
        <v>1307</v>
      </c>
      <c r="D319" s="23">
        <v>41</v>
      </c>
      <c r="E319" s="23">
        <v>1</v>
      </c>
      <c r="F319" s="23" t="s">
        <v>1463</v>
      </c>
      <c r="G319" s="23" t="s">
        <v>1463</v>
      </c>
      <c r="J319" s="23" t="s">
        <v>618</v>
      </c>
      <c r="N319" s="73"/>
      <c r="O319" s="75"/>
      <c r="P319" s="76"/>
      <c r="Q319" s="77"/>
      <c r="U319" s="75"/>
      <c r="V319" s="78"/>
      <c r="W319" s="79"/>
      <c r="X319" s="80"/>
      <c r="AA319" s="81"/>
      <c r="AE319" s="23"/>
      <c r="AF319" s="23" t="s">
        <v>1464</v>
      </c>
      <c r="AI319" s="23" t="s">
        <v>1463</v>
      </c>
      <c r="AL319" s="23" t="s">
        <v>618</v>
      </c>
      <c r="AP319" s="73"/>
      <c r="AQ319" s="75"/>
      <c r="AR319" s="76"/>
      <c r="AS319" s="77"/>
      <c r="AV319" s="75"/>
      <c r="AW319" s="83"/>
      <c r="AX319" s="84"/>
      <c r="AY319" s="80"/>
      <c r="BB319" s="81"/>
      <c r="BG319" s="23" t="s">
        <v>1465</v>
      </c>
    </row>
    <row r="320" spans="1:59" ht="15" customHeight="1">
      <c r="A320" s="23" t="s">
        <v>1303</v>
      </c>
      <c r="B320" s="23" t="s">
        <v>1466</v>
      </c>
      <c r="C320" s="23" t="s">
        <v>1307</v>
      </c>
      <c r="D320" s="23">
        <v>42</v>
      </c>
      <c r="E320" s="23">
        <v>1</v>
      </c>
      <c r="F320" s="23" t="s">
        <v>1463</v>
      </c>
      <c r="G320" s="23" t="s">
        <v>1467</v>
      </c>
      <c r="J320" s="23" t="s">
        <v>619</v>
      </c>
      <c r="L320" s="23">
        <v>1</v>
      </c>
      <c r="N320" s="73"/>
      <c r="O320" s="75"/>
      <c r="P320" s="76"/>
      <c r="Q320" s="77"/>
      <c r="U320" s="75"/>
      <c r="V320" s="78"/>
      <c r="W320" s="79"/>
      <c r="X320" s="80"/>
      <c r="Z320" s="68">
        <v>7</v>
      </c>
      <c r="AA320" s="81"/>
      <c r="AE320" s="23"/>
      <c r="AI320" s="23" t="s">
        <v>1467</v>
      </c>
      <c r="AL320" s="23" t="s">
        <v>619</v>
      </c>
      <c r="AN320" s="23">
        <v>1</v>
      </c>
      <c r="AP320" s="73"/>
      <c r="AQ320" s="75"/>
      <c r="AR320" s="76"/>
      <c r="AS320" s="77"/>
      <c r="AV320" s="75"/>
      <c r="AW320" s="83"/>
      <c r="AX320" s="84"/>
      <c r="AY320" s="80"/>
      <c r="BB320" s="81"/>
      <c r="BG320" s="23" t="s">
        <v>1468</v>
      </c>
    </row>
    <row r="321" spans="1:59" ht="15" customHeight="1">
      <c r="A321" s="23" t="s">
        <v>1303</v>
      </c>
      <c r="B321" s="23" t="s">
        <v>1469</v>
      </c>
      <c r="C321" s="23" t="s">
        <v>1307</v>
      </c>
      <c r="D321" s="23">
        <v>43</v>
      </c>
      <c r="E321" s="23">
        <v>1</v>
      </c>
      <c r="F321" s="23" t="s">
        <v>1463</v>
      </c>
      <c r="G321" s="23" t="s">
        <v>1470</v>
      </c>
      <c r="J321" s="23" t="s">
        <v>619</v>
      </c>
      <c r="L321" s="23">
        <v>2</v>
      </c>
      <c r="N321" s="73"/>
      <c r="O321" s="75"/>
      <c r="P321" s="76"/>
      <c r="Q321" s="77"/>
      <c r="U321" s="75"/>
      <c r="V321" s="78"/>
      <c r="W321" s="79"/>
      <c r="X321" s="80"/>
      <c r="Z321" s="68">
        <v>3</v>
      </c>
      <c r="AA321" s="81"/>
      <c r="AE321" s="23"/>
      <c r="AF321" s="23" t="s">
        <v>1471</v>
      </c>
      <c r="AI321" s="23" t="s">
        <v>1470</v>
      </c>
      <c r="AL321" s="23" t="s">
        <v>619</v>
      </c>
      <c r="AN321" s="23">
        <v>2</v>
      </c>
      <c r="AP321" s="73"/>
      <c r="AQ321" s="75"/>
      <c r="AR321" s="76"/>
      <c r="AS321" s="77"/>
      <c r="AV321" s="75"/>
      <c r="AW321" s="83"/>
      <c r="AX321" s="84"/>
      <c r="AY321" s="80"/>
      <c r="BB321" s="81"/>
      <c r="BG321" s="23" t="s">
        <v>1472</v>
      </c>
    </row>
    <row r="322" spans="1:59" ht="15" customHeight="1">
      <c r="A322" s="23" t="s">
        <v>1303</v>
      </c>
      <c r="B322" s="23" t="s">
        <v>1473</v>
      </c>
      <c r="C322" s="23" t="s">
        <v>1307</v>
      </c>
      <c r="D322" s="23">
        <v>44</v>
      </c>
      <c r="E322" s="23">
        <v>1</v>
      </c>
      <c r="F322" s="23" t="s">
        <v>1463</v>
      </c>
      <c r="G322" s="23" t="s">
        <v>1474</v>
      </c>
      <c r="J322" s="23" t="s">
        <v>619</v>
      </c>
      <c r="L322" s="23">
        <v>3</v>
      </c>
      <c r="N322" s="73"/>
      <c r="O322" s="75"/>
      <c r="P322" s="76"/>
      <c r="Q322" s="77"/>
      <c r="U322" s="75"/>
      <c r="V322" s="78"/>
      <c r="W322" s="79"/>
      <c r="X322" s="80"/>
      <c r="Z322" s="68">
        <v>2</v>
      </c>
      <c r="AA322" s="81"/>
      <c r="AE322" s="23"/>
      <c r="AF322" s="23" t="s">
        <v>1475</v>
      </c>
      <c r="AI322" s="23" t="s">
        <v>1474</v>
      </c>
      <c r="AL322" s="23" t="s">
        <v>619</v>
      </c>
      <c r="AN322" s="23">
        <v>3</v>
      </c>
      <c r="AP322" s="73"/>
      <c r="AQ322" s="75"/>
      <c r="AR322" s="76"/>
      <c r="AS322" s="77"/>
      <c r="AV322" s="75"/>
      <c r="AW322" s="83"/>
      <c r="AX322" s="84"/>
      <c r="AY322" s="80"/>
      <c r="BB322" s="81"/>
      <c r="BG322" s="23" t="s">
        <v>1476</v>
      </c>
    </row>
    <row r="323" spans="1:59" ht="15" customHeight="1">
      <c r="A323" s="23" t="s">
        <v>1303</v>
      </c>
      <c r="B323" s="23" t="s">
        <v>1477</v>
      </c>
      <c r="C323" s="23" t="s">
        <v>1307</v>
      </c>
      <c r="D323" s="23">
        <v>45</v>
      </c>
      <c r="E323" s="23">
        <v>1</v>
      </c>
      <c r="F323" s="23" t="s">
        <v>1463</v>
      </c>
      <c r="G323" s="23" t="s">
        <v>1478</v>
      </c>
      <c r="J323" s="23" t="s">
        <v>621</v>
      </c>
      <c r="L323" s="23">
        <v>1</v>
      </c>
      <c r="N323" s="73"/>
      <c r="O323" s="75"/>
      <c r="P323" s="76"/>
      <c r="Q323" s="77"/>
      <c r="U323" s="75"/>
      <c r="V323" s="78"/>
      <c r="W323" s="79"/>
      <c r="X323" s="80"/>
      <c r="Y323" s="66" t="s">
        <v>1696</v>
      </c>
      <c r="AA323" s="81"/>
      <c r="AE323" s="23"/>
      <c r="AI323" s="23" t="s">
        <v>1478</v>
      </c>
      <c r="AL323" s="23" t="s">
        <v>621</v>
      </c>
      <c r="AN323" s="23">
        <v>1</v>
      </c>
      <c r="AP323" s="73"/>
      <c r="AQ323" s="75"/>
      <c r="AR323" s="76"/>
      <c r="AS323" s="77"/>
      <c r="AV323" s="75"/>
      <c r="AW323" s="83"/>
      <c r="AX323" s="84"/>
      <c r="AY323" s="80"/>
      <c r="BB323" s="81"/>
      <c r="BG323" s="23" t="s">
        <v>1479</v>
      </c>
    </row>
    <row r="324" spans="1:59" ht="15" customHeight="1">
      <c r="A324" s="23" t="s">
        <v>1303</v>
      </c>
      <c r="B324" s="23" t="s">
        <v>1480</v>
      </c>
      <c r="C324" s="23" t="s">
        <v>1307</v>
      </c>
      <c r="D324" s="23">
        <v>46</v>
      </c>
      <c r="E324" s="23">
        <v>1</v>
      </c>
      <c r="F324" s="23" t="s">
        <v>1463</v>
      </c>
      <c r="G324" s="23" t="s">
        <v>1481</v>
      </c>
      <c r="J324" s="23" t="s">
        <v>621</v>
      </c>
      <c r="L324" s="23">
        <v>2</v>
      </c>
      <c r="N324" s="73"/>
      <c r="O324" s="75"/>
      <c r="P324" s="76"/>
      <c r="Q324" s="77"/>
      <c r="U324" s="75"/>
      <c r="V324" s="78"/>
      <c r="W324" s="79"/>
      <c r="X324" s="80"/>
      <c r="Y324" s="66">
        <v>0</v>
      </c>
      <c r="AA324" s="81"/>
      <c r="AE324" s="23"/>
      <c r="AF324" s="23" t="s">
        <v>1482</v>
      </c>
      <c r="AI324" s="23" t="s">
        <v>1481</v>
      </c>
      <c r="AL324" s="23" t="s">
        <v>621</v>
      </c>
      <c r="AN324" s="23">
        <v>2</v>
      </c>
      <c r="AP324" s="73"/>
      <c r="AQ324" s="75"/>
      <c r="AR324" s="76"/>
      <c r="AS324" s="77"/>
      <c r="AV324" s="75"/>
      <c r="AW324" s="83"/>
      <c r="AX324" s="84"/>
      <c r="AY324" s="80"/>
      <c r="BB324" s="81"/>
      <c r="BG324" s="23" t="s">
        <v>1483</v>
      </c>
    </row>
    <row r="325" spans="1:59" ht="15" customHeight="1">
      <c r="A325" s="23" t="s">
        <v>1303</v>
      </c>
      <c r="B325" s="23" t="s">
        <v>1484</v>
      </c>
      <c r="C325" s="23" t="s">
        <v>1307</v>
      </c>
      <c r="D325" s="23">
        <v>47</v>
      </c>
      <c r="E325" s="23">
        <v>1</v>
      </c>
      <c r="F325" s="23" t="s">
        <v>1463</v>
      </c>
      <c r="G325" s="23" t="s">
        <v>1485</v>
      </c>
      <c r="J325" s="23" t="s">
        <v>621</v>
      </c>
      <c r="L325" s="23">
        <v>3</v>
      </c>
      <c r="N325" s="73"/>
      <c r="O325" s="75"/>
      <c r="P325" s="76"/>
      <c r="Q325" s="77"/>
      <c r="U325" s="75"/>
      <c r="V325" s="78"/>
      <c r="W325" s="79"/>
      <c r="X325" s="80"/>
      <c r="Y325" s="66">
        <v>0</v>
      </c>
      <c r="AA325" s="81"/>
      <c r="AE325" s="23"/>
      <c r="AF325" s="23" t="s">
        <v>1486</v>
      </c>
      <c r="AI325" s="23" t="s">
        <v>1485</v>
      </c>
      <c r="AL325" s="23" t="s">
        <v>621</v>
      </c>
      <c r="AN325" s="23">
        <v>3</v>
      </c>
      <c r="AP325" s="73"/>
      <c r="AQ325" s="75"/>
      <c r="AR325" s="76"/>
      <c r="AS325" s="77"/>
      <c r="AV325" s="75"/>
      <c r="AW325" s="83"/>
      <c r="AX325" s="84"/>
      <c r="AY325" s="80"/>
      <c r="BB325" s="81"/>
      <c r="BG325" s="23" t="s">
        <v>1487</v>
      </c>
    </row>
    <row r="326" spans="1:59" ht="15" customHeight="1">
      <c r="A326" s="23" t="s">
        <v>1303</v>
      </c>
      <c r="B326" s="23" t="s">
        <v>1488</v>
      </c>
      <c r="C326" s="23" t="s">
        <v>1307</v>
      </c>
      <c r="D326" s="23">
        <v>48</v>
      </c>
      <c r="E326" s="23">
        <v>1</v>
      </c>
      <c r="F326" s="23" t="s">
        <v>1463</v>
      </c>
      <c r="G326" s="23" t="s">
        <v>1489</v>
      </c>
      <c r="J326" s="23" t="s">
        <v>31</v>
      </c>
      <c r="N326" s="73"/>
      <c r="O326" s="75"/>
      <c r="P326" s="76"/>
      <c r="Q326" s="77"/>
      <c r="U326" s="75"/>
      <c r="V326" s="78"/>
      <c r="W326" s="79"/>
      <c r="X326" s="80"/>
      <c r="AA326" s="81"/>
      <c r="AD326" s="23" t="s">
        <v>242</v>
      </c>
      <c r="AE326" s="23"/>
      <c r="AI326" s="23" t="s">
        <v>1489</v>
      </c>
      <c r="AL326" s="23" t="s">
        <v>31</v>
      </c>
      <c r="AP326" s="73"/>
      <c r="AQ326" s="75"/>
      <c r="AR326" s="76"/>
      <c r="AS326" s="77"/>
      <c r="AV326" s="75"/>
      <c r="AW326" s="83"/>
      <c r="AX326" s="84"/>
      <c r="AY326" s="80">
        <v>3</v>
      </c>
      <c r="AZ326" s="66">
        <v>0</v>
      </c>
      <c r="BB326" s="81"/>
      <c r="BE326" s="23" t="s">
        <v>242</v>
      </c>
      <c r="BG326" s="23" t="s">
        <v>1490</v>
      </c>
    </row>
    <row r="327" spans="1:59" ht="15" customHeight="1">
      <c r="A327" s="23" t="s">
        <v>1303</v>
      </c>
      <c r="B327" s="23" t="s">
        <v>1491</v>
      </c>
      <c r="C327" s="23" t="s">
        <v>1307</v>
      </c>
      <c r="D327" s="23">
        <v>49</v>
      </c>
      <c r="E327" s="23">
        <v>1</v>
      </c>
      <c r="F327" s="23" t="s">
        <v>1463</v>
      </c>
      <c r="G327" s="23" t="s">
        <v>1492</v>
      </c>
      <c r="J327" s="23" t="s">
        <v>31</v>
      </c>
      <c r="N327" s="73"/>
      <c r="O327" s="75"/>
      <c r="P327" s="76"/>
      <c r="Q327" s="77"/>
      <c r="U327" s="75"/>
      <c r="V327" s="78"/>
      <c r="W327" s="79"/>
      <c r="X327" s="80"/>
      <c r="AA327" s="81"/>
      <c r="AD327" s="23" t="s">
        <v>242</v>
      </c>
      <c r="AE327" s="23"/>
      <c r="AI327" s="23" t="s">
        <v>1492</v>
      </c>
      <c r="AL327" s="23" t="s">
        <v>31</v>
      </c>
      <c r="AP327" s="73"/>
      <c r="AQ327" s="75"/>
      <c r="AR327" s="76"/>
      <c r="AS327" s="77"/>
      <c r="AV327" s="75"/>
      <c r="AW327" s="83"/>
      <c r="AX327" s="84"/>
      <c r="AY327" s="80">
        <v>3</v>
      </c>
      <c r="AZ327" s="66" t="s">
        <v>1697</v>
      </c>
      <c r="BB327" s="81"/>
      <c r="BE327" s="23" t="s">
        <v>242</v>
      </c>
      <c r="BG327" s="23" t="s">
        <v>1493</v>
      </c>
    </row>
    <row r="328" spans="1:59" ht="15" customHeight="1">
      <c r="A328" s="23" t="s">
        <v>1303</v>
      </c>
      <c r="B328" s="23" t="s">
        <v>1494</v>
      </c>
      <c r="C328" s="23" t="s">
        <v>1307</v>
      </c>
      <c r="D328" s="23">
        <v>50</v>
      </c>
      <c r="E328" s="23">
        <v>1</v>
      </c>
      <c r="F328" s="23" t="s">
        <v>1463</v>
      </c>
      <c r="G328" s="23" t="s">
        <v>1495</v>
      </c>
      <c r="J328" s="23" t="s">
        <v>31</v>
      </c>
      <c r="N328" s="73"/>
      <c r="O328" s="75"/>
      <c r="P328" s="76"/>
      <c r="Q328" s="77"/>
      <c r="U328" s="75"/>
      <c r="V328" s="78"/>
      <c r="W328" s="79"/>
      <c r="X328" s="80"/>
      <c r="AA328" s="81"/>
      <c r="AD328" s="23" t="s">
        <v>242</v>
      </c>
      <c r="AE328" s="23"/>
      <c r="AI328" s="23" t="s">
        <v>1495</v>
      </c>
      <c r="AL328" s="23" t="s">
        <v>31</v>
      </c>
      <c r="AP328" s="73"/>
      <c r="AQ328" s="75"/>
      <c r="AR328" s="76"/>
      <c r="AS328" s="77"/>
      <c r="AV328" s="75"/>
      <c r="AW328" s="83"/>
      <c r="AX328" s="84"/>
      <c r="AY328" s="80">
        <v>3</v>
      </c>
      <c r="AZ328" s="66" t="s">
        <v>1071</v>
      </c>
      <c r="BB328" s="81">
        <v>1</v>
      </c>
      <c r="BE328" s="23" t="s">
        <v>242</v>
      </c>
      <c r="BG328" s="23" t="s">
        <v>1496</v>
      </c>
    </row>
    <row r="329" spans="1:59" ht="15" customHeight="1">
      <c r="A329" s="23" t="s">
        <v>1303</v>
      </c>
      <c r="B329" s="23" t="s">
        <v>1497</v>
      </c>
      <c r="C329" s="23" t="s">
        <v>1307</v>
      </c>
      <c r="D329" s="23">
        <v>51</v>
      </c>
      <c r="E329" s="23">
        <v>1</v>
      </c>
      <c r="F329" s="23" t="s">
        <v>1463</v>
      </c>
      <c r="G329" s="23" t="s">
        <v>1498</v>
      </c>
      <c r="J329" s="23" t="s">
        <v>31</v>
      </c>
      <c r="N329" s="73"/>
      <c r="O329" s="75"/>
      <c r="P329" s="76"/>
      <c r="Q329" s="77"/>
      <c r="U329" s="75"/>
      <c r="V329" s="78"/>
      <c r="W329" s="79"/>
      <c r="X329" s="80"/>
      <c r="AA329" s="81"/>
      <c r="AD329" s="23" t="s">
        <v>242</v>
      </c>
      <c r="AE329" s="23"/>
      <c r="AI329" s="23" t="s">
        <v>1498</v>
      </c>
      <c r="AL329" s="23" t="s">
        <v>31</v>
      </c>
      <c r="AP329" s="73"/>
      <c r="AQ329" s="75"/>
      <c r="AR329" s="76"/>
      <c r="AS329" s="77"/>
      <c r="AV329" s="75"/>
      <c r="AW329" s="83"/>
      <c r="AX329" s="84"/>
      <c r="AY329" s="80">
        <v>1</v>
      </c>
      <c r="AZ329" s="66">
        <v>2</v>
      </c>
      <c r="BB329" s="81"/>
      <c r="BE329" s="23" t="s">
        <v>242</v>
      </c>
      <c r="BG329" s="23" t="s">
        <v>1499</v>
      </c>
    </row>
    <row r="330" spans="1:59" ht="15" customHeight="1">
      <c r="A330" s="23" t="s">
        <v>1303</v>
      </c>
      <c r="B330" s="23" t="s">
        <v>1500</v>
      </c>
      <c r="C330" s="23" t="s">
        <v>1307</v>
      </c>
      <c r="D330" s="23">
        <v>52</v>
      </c>
      <c r="E330" s="23">
        <v>1</v>
      </c>
      <c r="F330" s="23" t="s">
        <v>1463</v>
      </c>
      <c r="G330" s="23" t="s">
        <v>1501</v>
      </c>
      <c r="J330" s="23" t="s">
        <v>31</v>
      </c>
      <c r="N330" s="73"/>
      <c r="O330" s="75"/>
      <c r="P330" s="76"/>
      <c r="Q330" s="77"/>
      <c r="U330" s="75"/>
      <c r="V330" s="78"/>
      <c r="W330" s="79"/>
      <c r="X330" s="80"/>
      <c r="AA330" s="81"/>
      <c r="AD330" s="23" t="s">
        <v>242</v>
      </c>
      <c r="AE330" s="23"/>
      <c r="AF330" s="23" t="s">
        <v>1502</v>
      </c>
      <c r="AI330" s="23" t="s">
        <v>1501</v>
      </c>
      <c r="AL330" s="23" t="s">
        <v>31</v>
      </c>
      <c r="AP330" s="73"/>
      <c r="AQ330" s="75"/>
      <c r="AR330" s="76"/>
      <c r="AS330" s="77"/>
      <c r="AV330" s="75"/>
      <c r="AW330" s="83"/>
      <c r="AX330" s="84"/>
      <c r="AY330" s="80">
        <v>1</v>
      </c>
      <c r="AZ330" s="66" t="s">
        <v>1696</v>
      </c>
      <c r="BB330" s="81">
        <v>1</v>
      </c>
      <c r="BE330" s="23" t="s">
        <v>242</v>
      </c>
      <c r="BG330" s="23" t="s">
        <v>1503</v>
      </c>
    </row>
    <row r="331" spans="1:59" ht="15" customHeight="1">
      <c r="A331" s="23" t="s">
        <v>1303</v>
      </c>
      <c r="B331" s="23" t="s">
        <v>1504</v>
      </c>
      <c r="C331" s="23" t="s">
        <v>1307</v>
      </c>
      <c r="D331" s="23">
        <v>53</v>
      </c>
      <c r="E331" s="23">
        <v>1</v>
      </c>
      <c r="F331" s="23" t="s">
        <v>1463</v>
      </c>
      <c r="G331" s="23" t="s">
        <v>1700</v>
      </c>
      <c r="J331" s="23" t="s">
        <v>31</v>
      </c>
      <c r="N331" s="73"/>
      <c r="O331" s="75"/>
      <c r="P331" s="76"/>
      <c r="Q331" s="77"/>
      <c r="U331" s="75"/>
      <c r="V331" s="78"/>
      <c r="W331" s="79"/>
      <c r="X331" s="80"/>
      <c r="AA331" s="81"/>
      <c r="AD331" s="23" t="s">
        <v>242</v>
      </c>
      <c r="AE331" s="23"/>
      <c r="AI331" s="23" t="s">
        <v>1700</v>
      </c>
      <c r="AL331" s="23" t="s">
        <v>31</v>
      </c>
      <c r="AP331" s="73"/>
      <c r="AQ331" s="75"/>
      <c r="AR331" s="76"/>
      <c r="AS331" s="77"/>
      <c r="AV331" s="75"/>
      <c r="AW331" s="83"/>
      <c r="AX331" s="84"/>
      <c r="AY331" s="80">
        <v>4</v>
      </c>
      <c r="AZ331" s="66" t="s">
        <v>1071</v>
      </c>
      <c r="BB331" s="81"/>
      <c r="BE331" s="23" t="s">
        <v>242</v>
      </c>
      <c r="BG331" s="23" t="s">
        <v>1505</v>
      </c>
    </row>
    <row r="332" spans="1:59" ht="15" customHeight="1">
      <c r="A332" s="23" t="s">
        <v>1303</v>
      </c>
      <c r="B332" s="23" t="s">
        <v>1506</v>
      </c>
      <c r="C332" s="23" t="s">
        <v>1307</v>
      </c>
      <c r="D332" s="23">
        <v>54</v>
      </c>
      <c r="E332" s="23">
        <v>1</v>
      </c>
      <c r="F332" s="23" t="s">
        <v>1463</v>
      </c>
      <c r="G332" s="23" t="s">
        <v>1507</v>
      </c>
      <c r="J332" s="23" t="s">
        <v>31</v>
      </c>
      <c r="N332" s="73"/>
      <c r="O332" s="75"/>
      <c r="P332" s="76"/>
      <c r="Q332" s="77"/>
      <c r="U332" s="75"/>
      <c r="V332" s="78"/>
      <c r="W332" s="79"/>
      <c r="X332" s="80"/>
      <c r="AA332" s="81"/>
      <c r="AD332" s="23" t="s">
        <v>242</v>
      </c>
      <c r="AE332" s="23"/>
      <c r="AF332" s="23" t="s">
        <v>1508</v>
      </c>
      <c r="AI332" s="23" t="s">
        <v>1507</v>
      </c>
      <c r="AJ332" s="23" t="s">
        <v>1509</v>
      </c>
      <c r="AL332" s="23" t="s">
        <v>31</v>
      </c>
      <c r="AP332" s="73"/>
      <c r="AQ332" s="75"/>
      <c r="AR332" s="76"/>
      <c r="AS332" s="77"/>
      <c r="AV332" s="75"/>
      <c r="AW332" s="83"/>
      <c r="AX332" s="84"/>
      <c r="AY332" s="80">
        <v>2</v>
      </c>
      <c r="AZ332" s="66" t="s">
        <v>1697</v>
      </c>
      <c r="BB332" s="81">
        <v>1</v>
      </c>
      <c r="BE332" s="23" t="s">
        <v>242</v>
      </c>
      <c r="BG332" s="23" t="s">
        <v>1510</v>
      </c>
    </row>
    <row r="333" spans="1:59" ht="15" customHeight="1">
      <c r="A333" s="23" t="s">
        <v>1303</v>
      </c>
      <c r="B333" s="23" t="s">
        <v>1511</v>
      </c>
      <c r="C333" s="23" t="s">
        <v>1307</v>
      </c>
      <c r="D333" s="23">
        <v>55</v>
      </c>
      <c r="E333" s="23">
        <v>1</v>
      </c>
      <c r="F333" s="23" t="s">
        <v>1463</v>
      </c>
      <c r="G333" s="23" t="s">
        <v>1507</v>
      </c>
      <c r="J333" s="23" t="s">
        <v>31</v>
      </c>
      <c r="N333" s="73"/>
      <c r="O333" s="75"/>
      <c r="P333" s="76"/>
      <c r="Q333" s="77"/>
      <c r="U333" s="75"/>
      <c r="V333" s="78"/>
      <c r="W333" s="79"/>
      <c r="X333" s="80"/>
      <c r="AA333" s="81"/>
      <c r="AD333" s="23" t="s">
        <v>242</v>
      </c>
      <c r="AE333" s="23"/>
      <c r="AF333" s="23" t="s">
        <v>1508</v>
      </c>
      <c r="AI333" s="23" t="s">
        <v>1507</v>
      </c>
      <c r="AJ333" s="23" t="s">
        <v>1512</v>
      </c>
      <c r="AL333" s="23" t="s">
        <v>31</v>
      </c>
      <c r="AP333" s="73"/>
      <c r="AQ333" s="75"/>
      <c r="AR333" s="76"/>
      <c r="AS333" s="77"/>
      <c r="AV333" s="75"/>
      <c r="AW333" s="83"/>
      <c r="AX333" s="84"/>
      <c r="AY333" s="80">
        <v>2</v>
      </c>
      <c r="AZ333" s="66">
        <v>0</v>
      </c>
      <c r="BB333" s="81"/>
      <c r="BE333" s="23" t="s">
        <v>242</v>
      </c>
    </row>
    <row r="334" spans="1:59" ht="15" customHeight="1">
      <c r="A334" s="23" t="s">
        <v>1303</v>
      </c>
      <c r="B334" s="23" t="s">
        <v>1513</v>
      </c>
      <c r="C334" s="23" t="s">
        <v>1307</v>
      </c>
      <c r="D334" s="23">
        <v>56</v>
      </c>
      <c r="E334" s="23">
        <v>1</v>
      </c>
      <c r="F334" s="23" t="s">
        <v>1463</v>
      </c>
      <c r="G334" s="23" t="s">
        <v>1514</v>
      </c>
      <c r="J334" s="23" t="s">
        <v>31</v>
      </c>
      <c r="N334" s="73"/>
      <c r="O334" s="75"/>
      <c r="P334" s="76"/>
      <c r="Q334" s="77"/>
      <c r="U334" s="75"/>
      <c r="V334" s="78"/>
      <c r="W334" s="79"/>
      <c r="X334" s="80"/>
      <c r="AA334" s="81"/>
      <c r="AD334" s="23" t="s">
        <v>242</v>
      </c>
      <c r="AE334" s="23"/>
      <c r="AI334" s="23" t="s">
        <v>1514</v>
      </c>
      <c r="AL334" s="23" t="s">
        <v>31</v>
      </c>
      <c r="AP334" s="73"/>
      <c r="AQ334" s="75"/>
      <c r="AR334" s="76"/>
      <c r="AS334" s="77"/>
      <c r="AV334" s="75"/>
      <c r="AW334" s="83"/>
      <c r="AX334" s="84"/>
      <c r="AY334" s="80">
        <v>2</v>
      </c>
      <c r="AZ334" s="66" t="s">
        <v>1071</v>
      </c>
      <c r="BB334" s="81"/>
      <c r="BE334" s="23" t="s">
        <v>242</v>
      </c>
      <c r="BG334" s="23" t="s">
        <v>1515</v>
      </c>
    </row>
    <row r="335" spans="1:59" ht="15" customHeight="1">
      <c r="A335" s="23" t="s">
        <v>1303</v>
      </c>
      <c r="B335" s="23" t="s">
        <v>1516</v>
      </c>
      <c r="C335" s="23" t="s">
        <v>1307</v>
      </c>
      <c r="D335" s="23">
        <v>57</v>
      </c>
      <c r="E335" s="23">
        <v>1</v>
      </c>
      <c r="F335" s="23" t="s">
        <v>1463</v>
      </c>
      <c r="G335" s="23" t="s">
        <v>1517</v>
      </c>
      <c r="J335" s="23" t="s">
        <v>31</v>
      </c>
      <c r="N335" s="73"/>
      <c r="O335" s="75"/>
      <c r="P335" s="76"/>
      <c r="Q335" s="77"/>
      <c r="U335" s="75"/>
      <c r="V335" s="78"/>
      <c r="W335" s="79"/>
      <c r="X335" s="80"/>
      <c r="AA335" s="81"/>
      <c r="AD335" s="23" t="s">
        <v>242</v>
      </c>
      <c r="AE335" s="23"/>
      <c r="AF335" s="23" t="s">
        <v>1518</v>
      </c>
      <c r="AI335" s="23" t="s">
        <v>1517</v>
      </c>
      <c r="AL335" s="23" t="s">
        <v>31</v>
      </c>
      <c r="AP335" s="73"/>
      <c r="AQ335" s="75"/>
      <c r="AR335" s="76"/>
      <c r="AS335" s="77"/>
      <c r="AV335" s="75"/>
      <c r="AW335" s="83"/>
      <c r="AX335" s="84"/>
      <c r="AY335" s="80">
        <v>5</v>
      </c>
      <c r="AZ335" s="66">
        <v>0</v>
      </c>
      <c r="BB335" s="81"/>
      <c r="BE335" s="23" t="s">
        <v>242</v>
      </c>
      <c r="BG335" s="23" t="s">
        <v>1519</v>
      </c>
    </row>
    <row r="336" spans="1:59" ht="15" customHeight="1">
      <c r="A336" s="23" t="s">
        <v>1303</v>
      </c>
      <c r="B336" s="23" t="s">
        <v>1520</v>
      </c>
      <c r="C336" s="23" t="s">
        <v>1307</v>
      </c>
      <c r="D336" s="23">
        <v>58</v>
      </c>
      <c r="E336" s="23">
        <v>1</v>
      </c>
      <c r="F336" s="23" t="s">
        <v>1463</v>
      </c>
      <c r="G336" s="23" t="s">
        <v>1521</v>
      </c>
      <c r="H336" s="23" t="s">
        <v>1522</v>
      </c>
      <c r="I336" s="23" t="s">
        <v>223</v>
      </c>
      <c r="J336" s="23" t="s">
        <v>29</v>
      </c>
      <c r="N336" s="73"/>
      <c r="O336" s="75"/>
      <c r="P336" s="76"/>
      <c r="Q336" s="77">
        <v>4</v>
      </c>
      <c r="R336" s="66">
        <v>2</v>
      </c>
      <c r="T336" s="68">
        <v>7</v>
      </c>
      <c r="U336" s="75"/>
      <c r="V336" s="78">
        <v>2</v>
      </c>
      <c r="W336" s="79">
        <v>2</v>
      </c>
      <c r="X336" s="80"/>
      <c r="AA336" s="81">
        <v>2</v>
      </c>
      <c r="AD336" s="23" t="s">
        <v>1523</v>
      </c>
      <c r="AE336" s="23"/>
      <c r="AF336" s="23" t="s">
        <v>1524</v>
      </c>
      <c r="AP336" s="73"/>
      <c r="AQ336" s="75"/>
      <c r="AR336" s="76"/>
      <c r="AS336" s="77"/>
      <c r="AV336" s="75"/>
      <c r="AW336" s="83"/>
      <c r="AX336" s="84"/>
      <c r="AY336" s="80"/>
      <c r="BB336" s="81"/>
    </row>
    <row r="337" spans="1:62" ht="15" customHeight="1">
      <c r="A337" s="23" t="s">
        <v>1303</v>
      </c>
      <c r="B337" s="23" t="s">
        <v>1525</v>
      </c>
      <c r="C337" s="23" t="s">
        <v>1307</v>
      </c>
      <c r="D337" s="23">
        <v>59</v>
      </c>
      <c r="E337" s="23">
        <v>1</v>
      </c>
      <c r="F337" s="23" t="s">
        <v>1463</v>
      </c>
      <c r="G337" s="23" t="s">
        <v>1526</v>
      </c>
      <c r="J337" s="23" t="s">
        <v>257</v>
      </c>
      <c r="K337" s="23" t="s">
        <v>26</v>
      </c>
      <c r="N337" s="73"/>
      <c r="O337" s="75"/>
      <c r="P337" s="76"/>
      <c r="Q337" s="77"/>
      <c r="U337" s="75"/>
      <c r="V337" s="78"/>
      <c r="W337" s="79"/>
      <c r="X337" s="80"/>
      <c r="AA337" s="81"/>
      <c r="AD337" s="23" t="s">
        <v>1398</v>
      </c>
      <c r="AE337" s="23"/>
      <c r="AF337" s="23" t="s">
        <v>1527</v>
      </c>
      <c r="AP337" s="73"/>
      <c r="AQ337" s="75"/>
      <c r="AR337" s="76"/>
      <c r="AS337" s="77"/>
      <c r="AV337" s="75"/>
      <c r="AW337" s="83"/>
      <c r="AX337" s="84"/>
      <c r="AY337" s="80"/>
      <c r="BB337" s="81"/>
      <c r="BJ337" s="23" t="s">
        <v>1982</v>
      </c>
    </row>
    <row r="338" spans="1:62" ht="15" customHeight="1">
      <c r="A338" s="23" t="s">
        <v>1303</v>
      </c>
      <c r="B338" s="23" t="s">
        <v>1528</v>
      </c>
      <c r="C338" s="23" t="s">
        <v>1307</v>
      </c>
      <c r="D338" s="23">
        <v>60</v>
      </c>
      <c r="E338" s="23">
        <v>1</v>
      </c>
      <c r="F338" s="23" t="s">
        <v>1463</v>
      </c>
      <c r="G338" s="23" t="s">
        <v>1529</v>
      </c>
      <c r="H338" s="23" t="s">
        <v>1530</v>
      </c>
      <c r="I338" s="23" t="s">
        <v>223</v>
      </c>
      <c r="J338" s="23" t="s">
        <v>257</v>
      </c>
      <c r="K338" s="23" t="s">
        <v>26</v>
      </c>
      <c r="N338" s="73"/>
      <c r="O338" s="75"/>
      <c r="P338" s="76"/>
      <c r="Q338" s="77"/>
      <c r="T338" s="68">
        <v>2</v>
      </c>
      <c r="U338" s="75">
        <v>2</v>
      </c>
      <c r="V338" s="78"/>
      <c r="W338" s="79"/>
      <c r="X338" s="80"/>
      <c r="AA338" s="81"/>
      <c r="AD338" s="23" t="s">
        <v>330</v>
      </c>
      <c r="AE338" s="23"/>
      <c r="AF338" s="23" t="s">
        <v>1531</v>
      </c>
      <c r="AP338" s="73"/>
      <c r="AQ338" s="75"/>
      <c r="AR338" s="76"/>
      <c r="AS338" s="77"/>
      <c r="AV338" s="75"/>
      <c r="AW338" s="83"/>
      <c r="AX338" s="84"/>
      <c r="AY338" s="80"/>
      <c r="BB338" s="81"/>
      <c r="BJ338" s="23" t="s">
        <v>1982</v>
      </c>
    </row>
    <row r="339" spans="1:62" ht="15" customHeight="1">
      <c r="A339" s="23" t="s">
        <v>1303</v>
      </c>
      <c r="B339" s="23" t="s">
        <v>1532</v>
      </c>
      <c r="C339" s="23" t="s">
        <v>1307</v>
      </c>
      <c r="D339" s="23">
        <v>61</v>
      </c>
      <c r="E339" s="23">
        <v>1</v>
      </c>
      <c r="F339" s="23" t="s">
        <v>1463</v>
      </c>
      <c r="G339" s="23" t="s">
        <v>1533</v>
      </c>
      <c r="H339" s="23" t="s">
        <v>1534</v>
      </c>
      <c r="I339" s="23" t="s">
        <v>223</v>
      </c>
      <c r="J339" s="23" t="s">
        <v>257</v>
      </c>
      <c r="K339" s="23" t="s">
        <v>26</v>
      </c>
      <c r="N339" s="73">
        <v>3</v>
      </c>
      <c r="O339" s="75"/>
      <c r="P339" s="76">
        <v>1</v>
      </c>
      <c r="Q339" s="77"/>
      <c r="S339" s="113">
        <v>1</v>
      </c>
      <c r="T339" s="68">
        <v>2</v>
      </c>
      <c r="U339" s="75">
        <v>3</v>
      </c>
      <c r="V339" s="78"/>
      <c r="W339" s="79"/>
      <c r="X339" s="80"/>
      <c r="AA339" s="81"/>
      <c r="AB339" s="23" t="s">
        <v>1178</v>
      </c>
      <c r="AC339" s="23" t="s">
        <v>25</v>
      </c>
      <c r="AD339" s="23" t="s">
        <v>330</v>
      </c>
      <c r="AE339" s="23"/>
      <c r="AF339" s="23" t="s">
        <v>1535</v>
      </c>
      <c r="AP339" s="73"/>
      <c r="AQ339" s="75"/>
      <c r="AR339" s="76"/>
      <c r="AS339" s="77"/>
      <c r="AV339" s="75"/>
      <c r="AW339" s="83"/>
      <c r="AX339" s="84"/>
      <c r="AY339" s="80"/>
      <c r="BB339" s="81"/>
    </row>
    <row r="340" spans="1:62" ht="15" customHeight="1">
      <c r="A340" s="23" t="s">
        <v>1303</v>
      </c>
      <c r="B340" s="23" t="s">
        <v>1536</v>
      </c>
      <c r="C340" s="23" t="s">
        <v>1307</v>
      </c>
      <c r="D340" s="23">
        <v>62</v>
      </c>
      <c r="E340" s="23">
        <v>1</v>
      </c>
      <c r="F340" s="23" t="s">
        <v>1537</v>
      </c>
      <c r="G340" s="23" t="s">
        <v>1537</v>
      </c>
      <c r="J340" s="23" t="s">
        <v>618</v>
      </c>
      <c r="N340" s="73"/>
      <c r="O340" s="75"/>
      <c r="P340" s="76"/>
      <c r="Q340" s="77"/>
      <c r="U340" s="75"/>
      <c r="V340" s="78"/>
      <c r="W340" s="79"/>
      <c r="X340" s="80"/>
      <c r="AA340" s="81"/>
      <c r="AE340" s="23"/>
      <c r="AF340" s="23" t="s">
        <v>1538</v>
      </c>
      <c r="AI340" s="23" t="s">
        <v>1537</v>
      </c>
      <c r="AL340" s="23" t="s">
        <v>618</v>
      </c>
      <c r="AP340" s="73"/>
      <c r="AQ340" s="75"/>
      <c r="AR340" s="76"/>
      <c r="AS340" s="77"/>
      <c r="AV340" s="75"/>
      <c r="AW340" s="83"/>
      <c r="AX340" s="84"/>
      <c r="AY340" s="80"/>
      <c r="BB340" s="81"/>
      <c r="BG340" s="23" t="s">
        <v>1539</v>
      </c>
    </row>
    <row r="341" spans="1:62" ht="15" customHeight="1">
      <c r="A341" s="23" t="s">
        <v>1303</v>
      </c>
      <c r="B341" s="23" t="s">
        <v>1540</v>
      </c>
      <c r="C341" s="23" t="s">
        <v>1307</v>
      </c>
      <c r="D341" s="23">
        <v>63</v>
      </c>
      <c r="E341" s="23">
        <v>1</v>
      </c>
      <c r="F341" s="23" t="s">
        <v>1537</v>
      </c>
      <c r="G341" s="23" t="s">
        <v>1541</v>
      </c>
      <c r="J341" s="23" t="s">
        <v>619</v>
      </c>
      <c r="L341" s="23">
        <v>1</v>
      </c>
      <c r="N341" s="73"/>
      <c r="O341" s="75"/>
      <c r="P341" s="76"/>
      <c r="Q341" s="77"/>
      <c r="U341" s="75"/>
      <c r="V341" s="78"/>
      <c r="W341" s="79"/>
      <c r="X341" s="80"/>
      <c r="Z341" s="68">
        <v>4</v>
      </c>
      <c r="AA341" s="81"/>
      <c r="AE341" s="23"/>
      <c r="AF341" s="23" t="s">
        <v>1542</v>
      </c>
      <c r="AI341" s="23" t="s">
        <v>1701</v>
      </c>
      <c r="AL341" s="23" t="s">
        <v>619</v>
      </c>
      <c r="AN341" s="23">
        <v>1</v>
      </c>
      <c r="AP341" s="73"/>
      <c r="AQ341" s="75"/>
      <c r="AR341" s="76"/>
      <c r="AS341" s="77"/>
      <c r="AV341" s="75"/>
      <c r="AW341" s="83"/>
      <c r="AX341" s="84"/>
      <c r="AY341" s="80"/>
      <c r="BB341" s="81"/>
      <c r="BG341" s="23" t="s">
        <v>1543</v>
      </c>
    </row>
    <row r="342" spans="1:62" ht="15" customHeight="1">
      <c r="A342" s="23" t="s">
        <v>1303</v>
      </c>
      <c r="B342" s="23" t="s">
        <v>1544</v>
      </c>
      <c r="C342" s="23" t="s">
        <v>1307</v>
      </c>
      <c r="D342" s="23">
        <v>64</v>
      </c>
      <c r="E342" s="23">
        <v>1</v>
      </c>
      <c r="F342" s="23" t="s">
        <v>1537</v>
      </c>
      <c r="G342" s="23" t="s">
        <v>1545</v>
      </c>
      <c r="J342" s="23" t="s">
        <v>619</v>
      </c>
      <c r="L342" s="23">
        <v>2</v>
      </c>
      <c r="N342" s="73"/>
      <c r="O342" s="75"/>
      <c r="P342" s="76"/>
      <c r="Q342" s="77"/>
      <c r="U342" s="75"/>
      <c r="V342" s="78"/>
      <c r="W342" s="79"/>
      <c r="X342" s="80"/>
      <c r="Z342" s="68">
        <v>3</v>
      </c>
      <c r="AA342" s="81"/>
      <c r="AE342" s="23"/>
      <c r="AI342" s="23" t="s">
        <v>1702</v>
      </c>
      <c r="AL342" s="23" t="s">
        <v>619</v>
      </c>
      <c r="AN342" s="23">
        <v>2</v>
      </c>
      <c r="AP342" s="73"/>
      <c r="AQ342" s="75"/>
      <c r="AR342" s="76"/>
      <c r="AS342" s="77"/>
      <c r="AV342" s="75"/>
      <c r="AW342" s="83"/>
      <c r="AX342" s="84"/>
      <c r="AY342" s="80"/>
      <c r="BB342" s="81"/>
      <c r="BG342" s="23" t="s">
        <v>1546</v>
      </c>
    </row>
    <row r="343" spans="1:62" ht="15" customHeight="1">
      <c r="A343" s="23" t="s">
        <v>1303</v>
      </c>
      <c r="B343" s="23" t="s">
        <v>1547</v>
      </c>
      <c r="C343" s="23" t="s">
        <v>1307</v>
      </c>
      <c r="D343" s="23">
        <v>65</v>
      </c>
      <c r="E343" s="23">
        <v>1</v>
      </c>
      <c r="F343" s="23" t="s">
        <v>1537</v>
      </c>
      <c r="G343" s="23" t="s">
        <v>1548</v>
      </c>
      <c r="J343" s="23" t="s">
        <v>619</v>
      </c>
      <c r="L343" s="23">
        <v>3</v>
      </c>
      <c r="N343" s="73"/>
      <c r="O343" s="75"/>
      <c r="P343" s="76"/>
      <c r="Q343" s="77"/>
      <c r="U343" s="75"/>
      <c r="V343" s="78"/>
      <c r="W343" s="79"/>
      <c r="X343" s="80"/>
      <c r="Z343" s="68">
        <v>7</v>
      </c>
      <c r="AA343" s="81"/>
      <c r="AE343" s="23"/>
      <c r="AF343" s="23" t="s">
        <v>1549</v>
      </c>
      <c r="AI343" s="23" t="s">
        <v>1703</v>
      </c>
      <c r="AL343" s="23" t="s">
        <v>619</v>
      </c>
      <c r="AN343" s="23">
        <v>3</v>
      </c>
      <c r="AP343" s="73"/>
      <c r="AQ343" s="75"/>
      <c r="AR343" s="76"/>
      <c r="AS343" s="77"/>
      <c r="AV343" s="75"/>
      <c r="AW343" s="83"/>
      <c r="AX343" s="84"/>
      <c r="AY343" s="80"/>
      <c r="BB343" s="81"/>
      <c r="BG343" s="23" t="s">
        <v>1550</v>
      </c>
    </row>
    <row r="344" spans="1:62" ht="15" customHeight="1">
      <c r="A344" s="23" t="s">
        <v>1303</v>
      </c>
      <c r="B344" s="23" t="s">
        <v>1551</v>
      </c>
      <c r="C344" s="23" t="s">
        <v>1307</v>
      </c>
      <c r="D344" s="23">
        <v>66</v>
      </c>
      <c r="E344" s="23">
        <v>1</v>
      </c>
      <c r="F344" s="23" t="s">
        <v>1537</v>
      </c>
      <c r="G344" s="23" t="s">
        <v>1552</v>
      </c>
      <c r="J344" s="23" t="s">
        <v>621</v>
      </c>
      <c r="L344" s="23">
        <v>1</v>
      </c>
      <c r="N344" s="73"/>
      <c r="O344" s="75"/>
      <c r="P344" s="76"/>
      <c r="Q344" s="77"/>
      <c r="U344" s="75"/>
      <c r="V344" s="78"/>
      <c r="W344" s="79"/>
      <c r="X344" s="80"/>
      <c r="Y344" s="66" t="s">
        <v>1698</v>
      </c>
      <c r="AA344" s="81"/>
      <c r="AE344" s="23"/>
      <c r="AF344" s="23" t="s">
        <v>1553</v>
      </c>
      <c r="AI344" s="23" t="s">
        <v>1704</v>
      </c>
      <c r="AL344" s="23" t="s">
        <v>621</v>
      </c>
      <c r="AN344" s="23">
        <v>1</v>
      </c>
      <c r="AP344" s="73"/>
      <c r="AQ344" s="75"/>
      <c r="AR344" s="76"/>
      <c r="AS344" s="77"/>
      <c r="AV344" s="75"/>
      <c r="AW344" s="83"/>
      <c r="AX344" s="84"/>
      <c r="AY344" s="80"/>
      <c r="BB344" s="81"/>
      <c r="BG344" s="23" t="s">
        <v>1554</v>
      </c>
    </row>
    <row r="345" spans="1:62" ht="15" customHeight="1">
      <c r="A345" s="23" t="s">
        <v>1303</v>
      </c>
      <c r="B345" s="23" t="s">
        <v>1555</v>
      </c>
      <c r="C345" s="23" t="s">
        <v>1307</v>
      </c>
      <c r="D345" s="23">
        <v>67</v>
      </c>
      <c r="E345" s="23">
        <v>1</v>
      </c>
      <c r="F345" s="23" t="s">
        <v>1537</v>
      </c>
      <c r="G345" s="23" t="s">
        <v>1556</v>
      </c>
      <c r="J345" s="23" t="s">
        <v>621</v>
      </c>
      <c r="L345" s="23">
        <v>2</v>
      </c>
      <c r="N345" s="73"/>
      <c r="O345" s="75"/>
      <c r="P345" s="76"/>
      <c r="Q345" s="77"/>
      <c r="U345" s="75"/>
      <c r="V345" s="78"/>
      <c r="W345" s="79"/>
      <c r="X345" s="80"/>
      <c r="Y345" s="66" t="s">
        <v>1697</v>
      </c>
      <c r="AA345" s="81"/>
      <c r="AE345" s="23"/>
      <c r="AF345" s="23" t="s">
        <v>1557</v>
      </c>
      <c r="AI345" s="23" t="s">
        <v>1705</v>
      </c>
      <c r="AL345" s="23" t="s">
        <v>621</v>
      </c>
      <c r="AN345" s="23">
        <v>2</v>
      </c>
      <c r="AP345" s="73"/>
      <c r="AQ345" s="75"/>
      <c r="AR345" s="76"/>
      <c r="AS345" s="77"/>
      <c r="AV345" s="75"/>
      <c r="AW345" s="83"/>
      <c r="AX345" s="84"/>
      <c r="AY345" s="80"/>
      <c r="BB345" s="81"/>
      <c r="BG345" s="23" t="s">
        <v>1558</v>
      </c>
    </row>
    <row r="346" spans="1:62" ht="15" customHeight="1">
      <c r="A346" s="23" t="s">
        <v>1303</v>
      </c>
      <c r="B346" s="23" t="s">
        <v>1559</v>
      </c>
      <c r="C346" s="23" t="s">
        <v>1307</v>
      </c>
      <c r="D346" s="23">
        <v>68</v>
      </c>
      <c r="E346" s="23">
        <v>1</v>
      </c>
      <c r="F346" s="23" t="s">
        <v>1537</v>
      </c>
      <c r="G346" s="23" t="s">
        <v>1560</v>
      </c>
      <c r="J346" s="23" t="s">
        <v>621</v>
      </c>
      <c r="L346" s="23">
        <v>3</v>
      </c>
      <c r="N346" s="73"/>
      <c r="O346" s="75"/>
      <c r="P346" s="76"/>
      <c r="Q346" s="77"/>
      <c r="U346" s="75"/>
      <c r="V346" s="78"/>
      <c r="W346" s="79"/>
      <c r="X346" s="80"/>
      <c r="Y346" s="66">
        <v>0</v>
      </c>
      <c r="AA346" s="81"/>
      <c r="AE346" s="23"/>
      <c r="AF346" s="23" t="s">
        <v>1561</v>
      </c>
      <c r="AI346" s="23" t="s">
        <v>1706</v>
      </c>
      <c r="AL346" s="23" t="s">
        <v>621</v>
      </c>
      <c r="AN346" s="23">
        <v>3</v>
      </c>
      <c r="AP346" s="73"/>
      <c r="AQ346" s="75"/>
      <c r="AR346" s="76"/>
      <c r="AS346" s="77"/>
      <c r="AV346" s="75"/>
      <c r="AW346" s="83"/>
      <c r="AX346" s="84"/>
      <c r="AY346" s="80"/>
      <c r="BB346" s="81"/>
      <c r="BG346" s="23" t="s">
        <v>1562</v>
      </c>
    </row>
    <row r="347" spans="1:62" ht="15" customHeight="1">
      <c r="A347" s="23" t="s">
        <v>1303</v>
      </c>
      <c r="B347" s="23" t="s">
        <v>1563</v>
      </c>
      <c r="C347" s="23" t="s">
        <v>1307</v>
      </c>
      <c r="D347" s="23">
        <v>69</v>
      </c>
      <c r="E347" s="23">
        <v>1</v>
      </c>
      <c r="F347" s="23" t="s">
        <v>1537</v>
      </c>
      <c r="G347" s="23" t="s">
        <v>1564</v>
      </c>
      <c r="J347" s="23" t="s">
        <v>621</v>
      </c>
      <c r="L347" s="23">
        <v>3</v>
      </c>
      <c r="N347" s="73"/>
      <c r="O347" s="75"/>
      <c r="P347" s="76"/>
      <c r="Q347" s="77"/>
      <c r="U347" s="75"/>
      <c r="V347" s="78"/>
      <c r="W347" s="79"/>
      <c r="X347" s="80"/>
      <c r="Y347" s="66">
        <v>0</v>
      </c>
      <c r="AA347" s="81"/>
      <c r="AE347" s="23"/>
      <c r="AF347" s="23" t="s">
        <v>1565</v>
      </c>
      <c r="AI347" s="23" t="s">
        <v>1707</v>
      </c>
      <c r="AL347" s="23" t="s">
        <v>621</v>
      </c>
      <c r="AN347" s="23">
        <v>3</v>
      </c>
      <c r="AP347" s="73"/>
      <c r="AQ347" s="75"/>
      <c r="AR347" s="76"/>
      <c r="AS347" s="77"/>
      <c r="AV347" s="75"/>
      <c r="AW347" s="83"/>
      <c r="AX347" s="84"/>
      <c r="AY347" s="80"/>
      <c r="BB347" s="81"/>
      <c r="BG347" s="23" t="s">
        <v>1566</v>
      </c>
    </row>
    <row r="348" spans="1:62" ht="15" customHeight="1">
      <c r="A348" s="23" t="s">
        <v>1303</v>
      </c>
      <c r="B348" s="23" t="s">
        <v>1567</v>
      </c>
      <c r="C348" s="23" t="s">
        <v>1307</v>
      </c>
      <c r="D348" s="24">
        <v>70</v>
      </c>
      <c r="E348" s="23">
        <v>1</v>
      </c>
      <c r="F348" s="23" t="s">
        <v>1537</v>
      </c>
      <c r="G348" s="23" t="s">
        <v>1568</v>
      </c>
      <c r="J348" s="23" t="s">
        <v>31</v>
      </c>
      <c r="AD348" s="23" t="s">
        <v>463</v>
      </c>
      <c r="AI348" s="23" t="s">
        <v>1568</v>
      </c>
      <c r="AL348" s="23" t="s">
        <v>31</v>
      </c>
      <c r="AP348" s="73"/>
      <c r="AQ348" s="75"/>
      <c r="AR348" s="76"/>
      <c r="AS348" s="77"/>
      <c r="AV348" s="75"/>
      <c r="AW348" s="83"/>
      <c r="AX348" s="84"/>
      <c r="AY348" s="80">
        <v>2</v>
      </c>
      <c r="AZ348" s="66" t="s">
        <v>1071</v>
      </c>
      <c r="BB348" s="81"/>
      <c r="BE348" s="23" t="s">
        <v>463</v>
      </c>
      <c r="BG348" s="23" t="s">
        <v>1569</v>
      </c>
    </row>
    <row r="349" spans="1:62" ht="15" customHeight="1">
      <c r="A349" s="23" t="s">
        <v>1303</v>
      </c>
      <c r="B349" s="23" t="s">
        <v>1570</v>
      </c>
      <c r="C349" s="23" t="s">
        <v>1307</v>
      </c>
      <c r="D349" s="24">
        <v>71</v>
      </c>
      <c r="E349" s="23">
        <v>1</v>
      </c>
      <c r="F349" s="23" t="s">
        <v>1537</v>
      </c>
      <c r="G349" s="23" t="s">
        <v>1571</v>
      </c>
      <c r="J349" s="23" t="s">
        <v>31</v>
      </c>
      <c r="AD349" s="23" t="s">
        <v>1572</v>
      </c>
      <c r="AI349" s="23" t="s">
        <v>1571</v>
      </c>
      <c r="AL349" s="23" t="s">
        <v>31</v>
      </c>
      <c r="AP349" s="73"/>
      <c r="AQ349" s="75"/>
      <c r="AR349" s="76"/>
      <c r="AS349" s="77"/>
      <c r="AV349" s="75"/>
      <c r="AW349" s="83"/>
      <c r="AX349" s="84"/>
      <c r="AY349" s="80">
        <v>2</v>
      </c>
      <c r="AZ349" s="66">
        <v>0</v>
      </c>
      <c r="BB349" s="81"/>
      <c r="BE349" s="23" t="s">
        <v>1572</v>
      </c>
      <c r="BG349" s="23" t="s">
        <v>1573</v>
      </c>
    </row>
    <row r="350" spans="1:62" ht="15" customHeight="1">
      <c r="A350" s="23" t="s">
        <v>1303</v>
      </c>
      <c r="B350" s="23" t="s">
        <v>1574</v>
      </c>
      <c r="C350" s="23" t="s">
        <v>1307</v>
      </c>
      <c r="D350" s="24">
        <v>72</v>
      </c>
      <c r="E350" s="23">
        <v>1</v>
      </c>
      <c r="F350" s="23" t="s">
        <v>1537</v>
      </c>
      <c r="G350" s="23" t="s">
        <v>1575</v>
      </c>
      <c r="J350" s="23" t="s">
        <v>31</v>
      </c>
      <c r="AD350" s="23" t="s">
        <v>1572</v>
      </c>
      <c r="AI350" s="23" t="s">
        <v>1575</v>
      </c>
      <c r="AL350" s="23" t="s">
        <v>31</v>
      </c>
      <c r="AP350" s="73"/>
      <c r="AQ350" s="75"/>
      <c r="AR350" s="76"/>
      <c r="AS350" s="77"/>
      <c r="AV350" s="75"/>
      <c r="AW350" s="83"/>
      <c r="AX350" s="84"/>
      <c r="AY350" s="80">
        <v>3</v>
      </c>
      <c r="AZ350" s="66">
        <v>0</v>
      </c>
      <c r="BB350" s="81"/>
      <c r="BE350" s="23" t="s">
        <v>1572</v>
      </c>
      <c r="BG350" s="23" t="s">
        <v>1576</v>
      </c>
    </row>
    <row r="351" spans="1:62" ht="15" customHeight="1">
      <c r="A351" s="23" t="s">
        <v>1303</v>
      </c>
      <c r="B351" s="23" t="s">
        <v>1577</v>
      </c>
      <c r="C351" s="23" t="s">
        <v>1307</v>
      </c>
      <c r="D351" s="24">
        <v>73</v>
      </c>
      <c r="E351" s="23">
        <v>1</v>
      </c>
      <c r="F351" s="23" t="s">
        <v>1537</v>
      </c>
      <c r="G351" s="23" t="s">
        <v>1578</v>
      </c>
      <c r="J351" s="23" t="s">
        <v>31</v>
      </c>
      <c r="AD351" s="23" t="s">
        <v>1572</v>
      </c>
      <c r="AI351" s="23" t="s">
        <v>1578</v>
      </c>
      <c r="AL351" s="23" t="s">
        <v>31</v>
      </c>
      <c r="AP351" s="73"/>
      <c r="AQ351" s="75"/>
      <c r="AR351" s="76"/>
      <c r="AS351" s="77"/>
      <c r="AV351" s="75"/>
      <c r="AW351" s="83"/>
      <c r="AX351" s="84"/>
      <c r="AY351" s="80">
        <v>3</v>
      </c>
      <c r="AZ351" s="66">
        <v>0</v>
      </c>
      <c r="BB351" s="81"/>
      <c r="BE351" s="23" t="s">
        <v>1572</v>
      </c>
      <c r="BG351" s="23" t="s">
        <v>1579</v>
      </c>
    </row>
    <row r="352" spans="1:62" ht="15" customHeight="1">
      <c r="A352" s="23" t="s">
        <v>1303</v>
      </c>
      <c r="B352" s="23" t="s">
        <v>1580</v>
      </c>
      <c r="C352" s="23" t="s">
        <v>1307</v>
      </c>
      <c r="D352" s="24">
        <v>74</v>
      </c>
      <c r="E352" s="23">
        <v>1</v>
      </c>
      <c r="F352" s="23" t="s">
        <v>1537</v>
      </c>
      <c r="G352" s="23" t="s">
        <v>1581</v>
      </c>
      <c r="J352" s="23" t="s">
        <v>31</v>
      </c>
      <c r="AD352" s="23" t="s">
        <v>1572</v>
      </c>
      <c r="AI352" s="23" t="s">
        <v>1581</v>
      </c>
      <c r="AL352" s="23" t="s">
        <v>31</v>
      </c>
      <c r="AP352" s="73"/>
      <c r="AQ352" s="75"/>
      <c r="AR352" s="76"/>
      <c r="AS352" s="77"/>
      <c r="AV352" s="75"/>
      <c r="AW352" s="83"/>
      <c r="AX352" s="84"/>
      <c r="AY352" s="80">
        <v>4</v>
      </c>
      <c r="AZ352" s="66">
        <v>0</v>
      </c>
      <c r="BB352" s="81"/>
      <c r="BE352" s="23" t="s">
        <v>1572</v>
      </c>
      <c r="BG352" s="23" t="s">
        <v>1582</v>
      </c>
    </row>
    <row r="353" spans="1:62" ht="15" customHeight="1">
      <c r="A353" s="23" t="s">
        <v>1303</v>
      </c>
      <c r="B353" s="23" t="s">
        <v>1583</v>
      </c>
      <c r="C353" s="23" t="s">
        <v>1307</v>
      </c>
      <c r="D353" s="24">
        <v>75</v>
      </c>
      <c r="E353" s="23">
        <v>1</v>
      </c>
      <c r="F353" s="23" t="s">
        <v>1537</v>
      </c>
      <c r="G353" s="23" t="s">
        <v>1699</v>
      </c>
      <c r="J353" s="23" t="s">
        <v>31</v>
      </c>
      <c r="AD353" s="23" t="s">
        <v>1572</v>
      </c>
      <c r="AI353" s="23" t="s">
        <v>1584</v>
      </c>
      <c r="AL353" s="23" t="s">
        <v>31</v>
      </c>
      <c r="AP353" s="73"/>
      <c r="AQ353" s="75"/>
      <c r="AR353" s="76"/>
      <c r="AS353" s="77"/>
      <c r="AV353" s="75"/>
      <c r="AW353" s="83"/>
      <c r="AX353" s="84"/>
      <c r="AY353" s="80">
        <v>2</v>
      </c>
      <c r="AZ353" s="66" t="s">
        <v>1071</v>
      </c>
      <c r="BB353" s="81">
        <v>1</v>
      </c>
      <c r="BE353" s="23" t="s">
        <v>1572</v>
      </c>
      <c r="BG353" s="23" t="s">
        <v>1585</v>
      </c>
    </row>
    <row r="354" spans="1:62" ht="15" customHeight="1">
      <c r="A354" s="23" t="s">
        <v>1303</v>
      </c>
      <c r="B354" s="23" t="s">
        <v>1586</v>
      </c>
      <c r="C354" s="23" t="s">
        <v>1307</v>
      </c>
      <c r="D354" s="24">
        <v>76</v>
      </c>
      <c r="E354" s="23">
        <v>1</v>
      </c>
      <c r="F354" s="23" t="s">
        <v>1537</v>
      </c>
      <c r="G354" s="23" t="s">
        <v>1699</v>
      </c>
      <c r="J354" s="23" t="s">
        <v>31</v>
      </c>
      <c r="AD354" s="23" t="s">
        <v>1572</v>
      </c>
      <c r="AI354" s="23" t="s">
        <v>1587</v>
      </c>
      <c r="AL354" s="23" t="s">
        <v>31</v>
      </c>
      <c r="AP354" s="73"/>
      <c r="AQ354" s="75"/>
      <c r="AR354" s="76"/>
      <c r="AS354" s="77"/>
      <c r="AV354" s="75"/>
      <c r="AW354" s="83"/>
      <c r="AX354" s="84"/>
      <c r="AY354" s="80">
        <v>3</v>
      </c>
      <c r="AZ354" s="66" t="s">
        <v>1071</v>
      </c>
      <c r="BB354" s="81">
        <v>1</v>
      </c>
      <c r="BE354" s="23" t="s">
        <v>1572</v>
      </c>
      <c r="BG354" s="23" t="s">
        <v>1588</v>
      </c>
    </row>
    <row r="355" spans="1:62" ht="15" customHeight="1">
      <c r="A355" s="23" t="s">
        <v>1303</v>
      </c>
      <c r="B355" s="23" t="s">
        <v>1589</v>
      </c>
      <c r="C355" s="23" t="s">
        <v>1307</v>
      </c>
      <c r="D355" s="24">
        <v>77</v>
      </c>
      <c r="E355" s="23">
        <v>1</v>
      </c>
      <c r="F355" s="23" t="s">
        <v>1537</v>
      </c>
      <c r="G355" s="23" t="s">
        <v>1699</v>
      </c>
      <c r="J355" s="23" t="s">
        <v>31</v>
      </c>
      <c r="AD355" s="23" t="s">
        <v>1572</v>
      </c>
      <c r="AI355" s="23" t="s">
        <v>1590</v>
      </c>
      <c r="AL355" s="23" t="s">
        <v>31</v>
      </c>
      <c r="AP355" s="73"/>
      <c r="AQ355" s="75"/>
      <c r="AR355" s="76"/>
      <c r="AS355" s="77"/>
      <c r="AV355" s="75"/>
      <c r="AW355" s="83"/>
      <c r="AX355" s="84"/>
      <c r="AY355" s="80">
        <v>1</v>
      </c>
      <c r="AZ355" s="66" t="s">
        <v>1071</v>
      </c>
      <c r="BB355" s="81">
        <v>1</v>
      </c>
      <c r="BE355" s="23" t="s">
        <v>1572</v>
      </c>
      <c r="BG355" s="23" t="s">
        <v>1591</v>
      </c>
    </row>
    <row r="356" spans="1:62" ht="15" customHeight="1">
      <c r="A356" s="23" t="s">
        <v>1303</v>
      </c>
      <c r="B356" s="23" t="s">
        <v>1592</v>
      </c>
      <c r="C356" s="23" t="s">
        <v>1307</v>
      </c>
      <c r="D356" s="24">
        <v>78</v>
      </c>
      <c r="E356" s="23">
        <v>1</v>
      </c>
      <c r="F356" s="23" t="s">
        <v>1537</v>
      </c>
      <c r="G356" s="23" t="s">
        <v>1593</v>
      </c>
      <c r="J356" s="23" t="s">
        <v>29</v>
      </c>
      <c r="Q356" s="65">
        <v>3</v>
      </c>
      <c r="R356" s="66">
        <v>3</v>
      </c>
      <c r="T356" s="68">
        <v>4</v>
      </c>
      <c r="V356" s="69">
        <v>2</v>
      </c>
      <c r="W356" s="70">
        <v>0</v>
      </c>
      <c r="AA356" s="72">
        <v>1</v>
      </c>
      <c r="AD356" s="23" t="s">
        <v>1594</v>
      </c>
      <c r="AF356" s="23" t="s">
        <v>1595</v>
      </c>
      <c r="AP356" s="73"/>
      <c r="AQ356" s="75"/>
      <c r="AR356" s="76"/>
      <c r="AS356" s="77"/>
      <c r="AV356" s="75"/>
      <c r="AW356" s="83"/>
      <c r="AX356" s="84"/>
      <c r="AY356" s="80"/>
      <c r="BB356" s="81"/>
    </row>
    <row r="357" spans="1:62" ht="15" customHeight="1">
      <c r="A357" s="23" t="s">
        <v>1303</v>
      </c>
      <c r="B357" s="23" t="s">
        <v>1596</v>
      </c>
      <c r="C357" s="23" t="s">
        <v>1307</v>
      </c>
      <c r="D357" s="24">
        <v>79</v>
      </c>
      <c r="E357" s="23">
        <v>1</v>
      </c>
      <c r="F357" s="23" t="s">
        <v>1537</v>
      </c>
      <c r="G357" s="23" t="s">
        <v>1597</v>
      </c>
      <c r="H357" s="23" t="s">
        <v>1598</v>
      </c>
      <c r="I357" s="23" t="s">
        <v>223</v>
      </c>
      <c r="J357" s="23" t="s">
        <v>257</v>
      </c>
      <c r="K357" s="23" t="s">
        <v>26</v>
      </c>
      <c r="T357" s="68">
        <v>3</v>
      </c>
      <c r="U357" s="63">
        <v>2</v>
      </c>
      <c r="AD357" s="23" t="s">
        <v>1599</v>
      </c>
      <c r="AF357" s="23" t="s">
        <v>1600</v>
      </c>
      <c r="AP357" s="73"/>
      <c r="AQ357" s="75"/>
      <c r="AR357" s="76"/>
      <c r="AS357" s="77"/>
      <c r="AV357" s="75"/>
      <c r="AW357" s="83"/>
      <c r="AX357" s="84"/>
      <c r="AY357" s="80"/>
      <c r="BB357" s="81"/>
      <c r="BJ357" s="23" t="s">
        <v>1982</v>
      </c>
    </row>
    <row r="358" spans="1:62" ht="15" customHeight="1">
      <c r="A358" s="23" t="s">
        <v>1303</v>
      </c>
      <c r="B358" s="23" t="s">
        <v>1601</v>
      </c>
      <c r="C358" s="23" t="s">
        <v>1307</v>
      </c>
      <c r="D358" s="24">
        <v>80</v>
      </c>
      <c r="E358" s="23">
        <v>1</v>
      </c>
      <c r="F358" s="23" t="s">
        <v>1537</v>
      </c>
      <c r="G358" s="23" t="s">
        <v>1602</v>
      </c>
      <c r="H358" s="23" t="s">
        <v>1603</v>
      </c>
      <c r="I358" s="23" t="s">
        <v>223</v>
      </c>
      <c r="J358" s="23" t="s">
        <v>257</v>
      </c>
      <c r="K358" s="23" t="s">
        <v>26</v>
      </c>
      <c r="N358" s="62">
        <v>3</v>
      </c>
      <c r="Q358" s="65">
        <v>1</v>
      </c>
      <c r="S358" s="113">
        <v>1</v>
      </c>
      <c r="T358" s="68">
        <v>4</v>
      </c>
      <c r="U358" s="63">
        <v>1</v>
      </c>
      <c r="AB358" s="23" t="s">
        <v>1093</v>
      </c>
      <c r="AC358" s="23" t="s">
        <v>25</v>
      </c>
      <c r="AD358" s="23" t="s">
        <v>330</v>
      </c>
      <c r="AF358" s="23" t="s">
        <v>1604</v>
      </c>
      <c r="AP358" s="73"/>
      <c r="AQ358" s="75"/>
      <c r="AR358" s="76"/>
      <c r="AS358" s="77"/>
      <c r="AV358" s="75"/>
      <c r="AW358" s="83"/>
      <c r="AX358" s="84"/>
      <c r="AY358" s="80"/>
      <c r="BB358" s="81"/>
    </row>
    <row r="359" spans="1:62" ht="15" customHeight="1">
      <c r="A359" s="23" t="s">
        <v>1303</v>
      </c>
      <c r="B359" s="23" t="s">
        <v>1605</v>
      </c>
      <c r="C359" s="23" t="s">
        <v>1307</v>
      </c>
      <c r="D359" s="24">
        <v>81</v>
      </c>
      <c r="E359" s="23">
        <v>2</v>
      </c>
      <c r="F359" s="23" t="s">
        <v>1537</v>
      </c>
      <c r="G359" s="23" t="s">
        <v>1606</v>
      </c>
      <c r="J359" s="23" t="s">
        <v>28</v>
      </c>
      <c r="AD359" s="23" t="s">
        <v>1607</v>
      </c>
      <c r="AF359" s="23" t="s">
        <v>1608</v>
      </c>
      <c r="AP359" s="73"/>
      <c r="AQ359" s="75"/>
      <c r="AR359" s="76"/>
      <c r="AS359" s="77"/>
      <c r="AV359" s="75"/>
      <c r="AW359" s="83"/>
      <c r="AX359" s="84"/>
      <c r="AY359" s="80"/>
      <c r="BB359" s="81"/>
    </row>
    <row r="360" spans="1:62" ht="15" customHeight="1">
      <c r="A360" s="23" t="s">
        <v>1303</v>
      </c>
      <c r="B360" s="23" t="s">
        <v>1609</v>
      </c>
      <c r="C360" s="23" t="s">
        <v>1307</v>
      </c>
      <c r="D360" s="24">
        <v>82</v>
      </c>
      <c r="E360" s="23">
        <v>2</v>
      </c>
      <c r="F360" s="23" t="s">
        <v>1537</v>
      </c>
      <c r="G360" s="23" t="s">
        <v>1610</v>
      </c>
      <c r="J360" s="23" t="s">
        <v>28</v>
      </c>
      <c r="AF360" s="23" t="s">
        <v>1611</v>
      </c>
      <c r="AP360" s="73"/>
      <c r="AQ360" s="75"/>
      <c r="AR360" s="76"/>
      <c r="AS360" s="77"/>
      <c r="AV360" s="75"/>
      <c r="AW360" s="83"/>
      <c r="AX360" s="84"/>
      <c r="AY360" s="80"/>
      <c r="BB360" s="81"/>
    </row>
    <row r="361" spans="1:62" ht="15" customHeight="1">
      <c r="A361" s="23" t="s">
        <v>1303</v>
      </c>
      <c r="B361" s="23" t="s">
        <v>1612</v>
      </c>
      <c r="C361" s="23" t="s">
        <v>1307</v>
      </c>
      <c r="D361" s="24">
        <v>83</v>
      </c>
      <c r="E361" s="23">
        <v>3</v>
      </c>
      <c r="F361" s="23" t="s">
        <v>1613</v>
      </c>
      <c r="G361" s="23" t="s">
        <v>1614</v>
      </c>
      <c r="J361" s="23" t="s">
        <v>28</v>
      </c>
      <c r="AD361" s="23" t="s">
        <v>486</v>
      </c>
      <c r="AF361" s="23" t="s">
        <v>1615</v>
      </c>
      <c r="AP361" s="73"/>
      <c r="AQ361" s="75"/>
      <c r="AR361" s="76"/>
      <c r="AS361" s="77"/>
      <c r="AV361" s="75"/>
      <c r="AW361" s="83"/>
      <c r="AX361" s="84"/>
      <c r="AY361" s="80"/>
      <c r="BB361" s="81"/>
    </row>
    <row r="362" spans="1:62" ht="15" customHeight="1">
      <c r="A362" s="23" t="s">
        <v>1303</v>
      </c>
      <c r="B362" s="23" t="s">
        <v>1616</v>
      </c>
      <c r="C362" s="23" t="s">
        <v>1307</v>
      </c>
      <c r="D362" s="24">
        <v>84</v>
      </c>
      <c r="E362" s="23">
        <v>3</v>
      </c>
      <c r="F362" s="23" t="s">
        <v>1613</v>
      </c>
      <c r="G362" s="23" t="s">
        <v>1617</v>
      </c>
      <c r="J362" s="23" t="s">
        <v>28</v>
      </c>
      <c r="AD362" s="23" t="s">
        <v>486</v>
      </c>
      <c r="AF362" s="23" t="s">
        <v>1618</v>
      </c>
      <c r="AP362" s="73"/>
      <c r="AQ362" s="75"/>
      <c r="AR362" s="76"/>
      <c r="AS362" s="77"/>
      <c r="AV362" s="75"/>
      <c r="AW362" s="83"/>
      <c r="AX362" s="84"/>
      <c r="AY362" s="80"/>
      <c r="BB362" s="81"/>
    </row>
    <row r="363" spans="1:62" ht="15" customHeight="1">
      <c r="A363" s="23" t="s">
        <v>1303</v>
      </c>
      <c r="B363" s="23" t="s">
        <v>1619</v>
      </c>
      <c r="C363" s="23" t="s">
        <v>1307</v>
      </c>
      <c r="D363" s="24">
        <v>85</v>
      </c>
      <c r="E363" s="23">
        <v>2</v>
      </c>
      <c r="F363" s="23" t="s">
        <v>1620</v>
      </c>
      <c r="G363" s="23" t="s">
        <v>1621</v>
      </c>
      <c r="J363" s="23" t="s">
        <v>28</v>
      </c>
      <c r="AD363" s="23" t="s">
        <v>1622</v>
      </c>
      <c r="AF363" s="23" t="s">
        <v>1623</v>
      </c>
      <c r="AP363" s="73"/>
      <c r="AQ363" s="75"/>
      <c r="AR363" s="76"/>
      <c r="AS363" s="77"/>
      <c r="AV363" s="75"/>
      <c r="AW363" s="83"/>
      <c r="AX363" s="84"/>
      <c r="AY363" s="80"/>
      <c r="BB363" s="81"/>
    </row>
    <row r="364" spans="1:62" ht="15" customHeight="1">
      <c r="A364" s="23" t="s">
        <v>1303</v>
      </c>
      <c r="B364" s="23" t="s">
        <v>1624</v>
      </c>
      <c r="C364" s="23" t="s">
        <v>1307</v>
      </c>
      <c r="D364" s="24">
        <v>86</v>
      </c>
      <c r="E364" s="23">
        <v>3</v>
      </c>
      <c r="F364" s="23" t="s">
        <v>1620</v>
      </c>
      <c r="G364" s="23" t="s">
        <v>1625</v>
      </c>
      <c r="J364" s="23" t="s">
        <v>29</v>
      </c>
      <c r="Q364" s="65">
        <v>2</v>
      </c>
      <c r="R364" s="66">
        <v>2</v>
      </c>
      <c r="T364" s="68">
        <v>2</v>
      </c>
      <c r="V364" s="69">
        <v>1</v>
      </c>
      <c r="W364" s="70">
        <v>1</v>
      </c>
      <c r="AD364" s="23" t="s">
        <v>1626</v>
      </c>
      <c r="AF364" s="23" t="s">
        <v>1627</v>
      </c>
      <c r="AP364" s="73"/>
      <c r="AQ364" s="75"/>
      <c r="AR364" s="76"/>
      <c r="AS364" s="77"/>
      <c r="AV364" s="75"/>
      <c r="AW364" s="83"/>
      <c r="AX364" s="84"/>
      <c r="AY364" s="80"/>
      <c r="BB364" s="81"/>
    </row>
    <row r="365" spans="1:62" ht="15" customHeight="1">
      <c r="A365" s="23" t="s">
        <v>1303</v>
      </c>
      <c r="B365" s="23" t="s">
        <v>1628</v>
      </c>
      <c r="C365" s="23" t="s">
        <v>1307</v>
      </c>
      <c r="D365" s="24">
        <v>87</v>
      </c>
      <c r="E365" s="23">
        <v>1</v>
      </c>
      <c r="F365" s="23" t="s">
        <v>1620</v>
      </c>
      <c r="G365" s="23" t="s">
        <v>1629</v>
      </c>
      <c r="J365" s="23" t="s">
        <v>29</v>
      </c>
      <c r="Q365" s="65">
        <v>4</v>
      </c>
      <c r="R365" s="66">
        <v>3</v>
      </c>
      <c r="T365" s="68">
        <v>3</v>
      </c>
      <c r="V365" s="69">
        <v>1</v>
      </c>
      <c r="W365" s="70">
        <v>2</v>
      </c>
      <c r="AA365" s="72">
        <v>1</v>
      </c>
      <c r="AD365" s="23" t="s">
        <v>1630</v>
      </c>
      <c r="AF365" s="23" t="s">
        <v>1631</v>
      </c>
      <c r="AP365" s="73"/>
      <c r="AQ365" s="75"/>
      <c r="AR365" s="76"/>
      <c r="AS365" s="77"/>
      <c r="AV365" s="75"/>
      <c r="AW365" s="83"/>
      <c r="AX365" s="84"/>
      <c r="AY365" s="80"/>
      <c r="BB365" s="81"/>
    </row>
    <row r="366" spans="1:62" ht="15" customHeight="1">
      <c r="A366" s="23" t="s">
        <v>1303</v>
      </c>
      <c r="B366" s="23" t="s">
        <v>1632</v>
      </c>
      <c r="C366" s="23" t="s">
        <v>1307</v>
      </c>
      <c r="D366" s="24">
        <v>88</v>
      </c>
      <c r="E366" s="23">
        <v>2</v>
      </c>
      <c r="F366" s="23" t="s">
        <v>1633</v>
      </c>
      <c r="G366" s="23" t="s">
        <v>1634</v>
      </c>
      <c r="J366" s="23" t="s">
        <v>28</v>
      </c>
      <c r="AD366" s="23" t="s">
        <v>481</v>
      </c>
      <c r="AF366" s="23" t="s">
        <v>1635</v>
      </c>
      <c r="AP366" s="73"/>
      <c r="AQ366" s="75"/>
      <c r="AR366" s="76"/>
      <c r="AS366" s="77"/>
      <c r="AV366" s="75"/>
      <c r="AW366" s="83"/>
      <c r="AX366" s="84"/>
      <c r="AY366" s="80"/>
      <c r="BB366" s="81"/>
    </row>
    <row r="367" spans="1:62" ht="15" customHeight="1">
      <c r="A367" s="23" t="s">
        <v>1303</v>
      </c>
      <c r="B367" s="23" t="s">
        <v>1636</v>
      </c>
      <c r="C367" s="23" t="s">
        <v>1307</v>
      </c>
      <c r="D367" s="24">
        <v>89</v>
      </c>
      <c r="E367" s="23">
        <v>2</v>
      </c>
      <c r="F367" s="23" t="s">
        <v>1633</v>
      </c>
      <c r="G367" s="23" t="s">
        <v>1637</v>
      </c>
      <c r="J367" s="23" t="s">
        <v>28</v>
      </c>
      <c r="AD367" s="23" t="s">
        <v>481</v>
      </c>
      <c r="AF367" s="23" t="s">
        <v>1638</v>
      </c>
      <c r="AP367" s="73"/>
      <c r="AQ367" s="75"/>
      <c r="AR367" s="76"/>
      <c r="AS367" s="77"/>
      <c r="AV367" s="75"/>
      <c r="AW367" s="83"/>
      <c r="AX367" s="84"/>
      <c r="AY367" s="80"/>
      <c r="BB367" s="81"/>
    </row>
    <row r="368" spans="1:62" ht="15" customHeight="1">
      <c r="A368" s="23" t="s">
        <v>1303</v>
      </c>
      <c r="B368" s="23" t="s">
        <v>1639</v>
      </c>
      <c r="C368" s="23" t="s">
        <v>1307</v>
      </c>
      <c r="D368" s="24">
        <v>90</v>
      </c>
      <c r="E368" s="23">
        <v>3</v>
      </c>
      <c r="F368" s="23" t="s">
        <v>1640</v>
      </c>
      <c r="G368" s="23" t="s">
        <v>1641</v>
      </c>
      <c r="J368" s="23" t="s">
        <v>29</v>
      </c>
      <c r="Q368" s="65">
        <v>2</v>
      </c>
      <c r="R368" s="66">
        <v>4</v>
      </c>
      <c r="T368" s="68">
        <v>1</v>
      </c>
      <c r="V368" s="69">
        <v>0</v>
      </c>
      <c r="W368" s="70">
        <v>1</v>
      </c>
      <c r="AD368" s="23" t="s">
        <v>30</v>
      </c>
      <c r="AF368" s="23" t="s">
        <v>1642</v>
      </c>
      <c r="AP368" s="73"/>
      <c r="AQ368" s="75"/>
      <c r="AR368" s="76"/>
      <c r="AS368" s="77"/>
      <c r="AV368" s="75"/>
      <c r="AW368" s="83"/>
      <c r="AX368" s="84"/>
      <c r="AY368" s="80"/>
      <c r="BB368" s="81"/>
    </row>
    <row r="369" spans="1:54" ht="15" customHeight="1">
      <c r="A369" s="23" t="s">
        <v>1303</v>
      </c>
      <c r="B369" s="23" t="s">
        <v>1643</v>
      </c>
      <c r="C369" s="23" t="s">
        <v>1307</v>
      </c>
      <c r="D369" s="24">
        <v>91</v>
      </c>
      <c r="E369" s="23">
        <v>2</v>
      </c>
      <c r="F369" s="23" t="s">
        <v>1640</v>
      </c>
      <c r="G369" s="23" t="s">
        <v>1644</v>
      </c>
      <c r="J369" s="23" t="s">
        <v>28</v>
      </c>
      <c r="AD369" s="23" t="s">
        <v>492</v>
      </c>
      <c r="AF369" s="23" t="s">
        <v>1645</v>
      </c>
      <c r="AP369" s="73"/>
      <c r="AQ369" s="75"/>
      <c r="AR369" s="76"/>
      <c r="AS369" s="77"/>
      <c r="AV369" s="75"/>
      <c r="AW369" s="83"/>
      <c r="AX369" s="84"/>
      <c r="AY369" s="80"/>
      <c r="BB369" s="81"/>
    </row>
    <row r="370" spans="1:54" ht="15" customHeight="1">
      <c r="A370" s="23" t="s">
        <v>1303</v>
      </c>
      <c r="B370" s="23" t="s">
        <v>1646</v>
      </c>
      <c r="C370" s="23" t="s">
        <v>1307</v>
      </c>
      <c r="D370" s="24">
        <v>92</v>
      </c>
      <c r="E370" s="23">
        <v>3</v>
      </c>
      <c r="F370" s="23" t="s">
        <v>1647</v>
      </c>
      <c r="G370" s="23" t="s">
        <v>1648</v>
      </c>
      <c r="J370" s="23" t="s">
        <v>28</v>
      </c>
      <c r="AD370" s="23" t="s">
        <v>492</v>
      </c>
      <c r="AF370" s="23" t="s">
        <v>1649</v>
      </c>
      <c r="AP370" s="73"/>
      <c r="AQ370" s="75"/>
      <c r="AR370" s="76"/>
      <c r="AS370" s="77"/>
      <c r="AV370" s="75"/>
      <c r="AW370" s="83"/>
      <c r="AX370" s="84"/>
      <c r="AY370" s="80"/>
      <c r="BB370" s="81"/>
    </row>
    <row r="371" spans="1:54" ht="15" customHeight="1">
      <c r="A371" s="23" t="s">
        <v>1303</v>
      </c>
      <c r="B371" s="23" t="s">
        <v>1650</v>
      </c>
      <c r="C371" s="23" t="s">
        <v>1307</v>
      </c>
      <c r="D371" s="24">
        <v>93</v>
      </c>
      <c r="E371" s="23">
        <v>3</v>
      </c>
      <c r="F371" s="23" t="s">
        <v>1647</v>
      </c>
      <c r="G371" s="23" t="s">
        <v>1651</v>
      </c>
      <c r="J371" s="23" t="s">
        <v>28</v>
      </c>
      <c r="AD371" s="23" t="s">
        <v>492</v>
      </c>
      <c r="AF371" s="23" t="s">
        <v>1652</v>
      </c>
      <c r="AP371" s="73"/>
      <c r="AQ371" s="75"/>
      <c r="AR371" s="76"/>
      <c r="AS371" s="77"/>
      <c r="AV371" s="75"/>
      <c r="AW371" s="83"/>
      <c r="AX371" s="84"/>
      <c r="AY371" s="80"/>
      <c r="BB371" s="81"/>
    </row>
    <row r="372" spans="1:54" ht="15" customHeight="1">
      <c r="A372" s="23" t="s">
        <v>1303</v>
      </c>
      <c r="B372" s="23" t="s">
        <v>1653</v>
      </c>
      <c r="C372" s="23" t="s">
        <v>1307</v>
      </c>
      <c r="D372" s="24">
        <v>94</v>
      </c>
      <c r="E372" s="23">
        <v>2</v>
      </c>
      <c r="F372" s="23" t="s">
        <v>1654</v>
      </c>
      <c r="G372" s="23" t="s">
        <v>1655</v>
      </c>
      <c r="J372" s="23" t="s">
        <v>29</v>
      </c>
      <c r="Q372" s="65">
        <v>5</v>
      </c>
      <c r="R372" s="66">
        <v>3</v>
      </c>
      <c r="T372" s="68">
        <v>4</v>
      </c>
      <c r="V372" s="69">
        <v>1</v>
      </c>
      <c r="W372" s="70">
        <v>1</v>
      </c>
      <c r="AD372" s="23" t="s">
        <v>1656</v>
      </c>
      <c r="AF372" s="23" t="s">
        <v>1657</v>
      </c>
      <c r="AP372" s="73"/>
      <c r="AQ372" s="75"/>
      <c r="AR372" s="76"/>
      <c r="AS372" s="77"/>
      <c r="AV372" s="75"/>
      <c r="AW372" s="83"/>
      <c r="AX372" s="84"/>
      <c r="AY372" s="80"/>
      <c r="BB372" s="81"/>
    </row>
    <row r="373" spans="1:54" ht="15" customHeight="1">
      <c r="A373" s="23" t="s">
        <v>1303</v>
      </c>
      <c r="B373" s="23" t="s">
        <v>1658</v>
      </c>
      <c r="C373" s="23" t="s">
        <v>1307</v>
      </c>
      <c r="D373" s="24">
        <v>95</v>
      </c>
      <c r="E373" s="23">
        <v>2</v>
      </c>
      <c r="F373" s="23" t="s">
        <v>1654</v>
      </c>
      <c r="G373" s="23" t="s">
        <v>1659</v>
      </c>
      <c r="J373" s="23" t="s">
        <v>29</v>
      </c>
      <c r="Q373" s="65">
        <v>4</v>
      </c>
      <c r="R373" s="66">
        <v>4</v>
      </c>
      <c r="T373" s="68">
        <v>3</v>
      </c>
      <c r="V373" s="69">
        <v>1</v>
      </c>
      <c r="W373" s="70">
        <v>1</v>
      </c>
      <c r="AD373" s="23" t="s">
        <v>1656</v>
      </c>
      <c r="AF373" s="23" t="s">
        <v>1660</v>
      </c>
      <c r="AP373" s="73"/>
      <c r="AQ373" s="75"/>
      <c r="AR373" s="76"/>
      <c r="AS373" s="77"/>
      <c r="AV373" s="75"/>
      <c r="AW373" s="83"/>
      <c r="AX373" s="84"/>
      <c r="AY373" s="80"/>
      <c r="BB373" s="81"/>
    </row>
    <row r="374" spans="1:54" ht="15" customHeight="1">
      <c r="A374" s="23" t="s">
        <v>1303</v>
      </c>
      <c r="B374" s="23" t="s">
        <v>1661</v>
      </c>
      <c r="C374" s="23" t="s">
        <v>1307</v>
      </c>
      <c r="D374" s="24">
        <v>96</v>
      </c>
      <c r="E374" s="23">
        <v>2</v>
      </c>
      <c r="F374" s="23" t="s">
        <v>1654</v>
      </c>
      <c r="G374" s="23" t="s">
        <v>1662</v>
      </c>
      <c r="J374" s="23" t="s">
        <v>28</v>
      </c>
      <c r="AD374" s="23" t="s">
        <v>1663</v>
      </c>
      <c r="AF374" s="23" t="s">
        <v>1664</v>
      </c>
      <c r="AP374" s="73"/>
      <c r="AQ374" s="75"/>
      <c r="AR374" s="76"/>
      <c r="AS374" s="77"/>
      <c r="AV374" s="75"/>
      <c r="AW374" s="83"/>
      <c r="AX374" s="84"/>
      <c r="AY374" s="80"/>
      <c r="BB374" s="81"/>
    </row>
    <row r="375" spans="1:54" ht="15" customHeight="1">
      <c r="A375" s="23" t="s">
        <v>1303</v>
      </c>
      <c r="B375" s="23" t="s">
        <v>1665</v>
      </c>
      <c r="C375" s="23" t="s">
        <v>1307</v>
      </c>
      <c r="D375" s="24">
        <v>97</v>
      </c>
      <c r="E375" s="23">
        <v>2</v>
      </c>
      <c r="F375" s="23" t="s">
        <v>1666</v>
      </c>
      <c r="G375" s="23" t="s">
        <v>1667</v>
      </c>
      <c r="J375" s="23" t="s">
        <v>29</v>
      </c>
      <c r="Q375" s="65">
        <v>4</v>
      </c>
      <c r="R375" s="66">
        <v>2</v>
      </c>
      <c r="T375" s="68">
        <v>2</v>
      </c>
      <c r="V375" s="69">
        <v>2</v>
      </c>
      <c r="W375" s="70">
        <v>0</v>
      </c>
      <c r="AD375" s="23" t="s">
        <v>1668</v>
      </c>
      <c r="AF375" s="23" t="s">
        <v>1669</v>
      </c>
      <c r="AP375" s="73"/>
      <c r="AQ375" s="75"/>
      <c r="AR375" s="76"/>
      <c r="AS375" s="77"/>
      <c r="AV375" s="75"/>
      <c r="AW375" s="83"/>
      <c r="AX375" s="84"/>
      <c r="AY375" s="80"/>
      <c r="BB375" s="81"/>
    </row>
    <row r="376" spans="1:54" ht="15" customHeight="1">
      <c r="A376" s="23" t="s">
        <v>1303</v>
      </c>
      <c r="B376" s="23" t="s">
        <v>1670</v>
      </c>
      <c r="C376" s="23" t="s">
        <v>1307</v>
      </c>
      <c r="D376" s="24">
        <v>98</v>
      </c>
      <c r="E376" s="23">
        <v>2</v>
      </c>
      <c r="F376" s="23" t="s">
        <v>1666</v>
      </c>
      <c r="G376" s="23" t="s">
        <v>1671</v>
      </c>
      <c r="J376" s="23" t="s">
        <v>29</v>
      </c>
      <c r="Q376" s="65">
        <v>2</v>
      </c>
      <c r="R376" s="66">
        <v>2</v>
      </c>
      <c r="T376" s="68">
        <v>2</v>
      </c>
      <c r="V376" s="69">
        <v>1</v>
      </c>
      <c r="W376" s="70">
        <v>0</v>
      </c>
      <c r="AD376" s="23" t="s">
        <v>1668</v>
      </c>
      <c r="AF376" s="23" t="s">
        <v>1672</v>
      </c>
      <c r="AP376" s="73"/>
      <c r="AQ376" s="75"/>
      <c r="AR376" s="76"/>
      <c r="AS376" s="77"/>
      <c r="AV376" s="75"/>
      <c r="AW376" s="83"/>
      <c r="AX376" s="84"/>
      <c r="AY376" s="80"/>
      <c r="BB376" s="81"/>
    </row>
    <row r="377" spans="1:54" ht="15" customHeight="1">
      <c r="A377" s="23" t="s">
        <v>1303</v>
      </c>
      <c r="B377" s="23" t="s">
        <v>1673</v>
      </c>
      <c r="C377" s="23" t="s">
        <v>1307</v>
      </c>
      <c r="D377" s="24">
        <v>99</v>
      </c>
      <c r="E377" s="23">
        <v>2</v>
      </c>
      <c r="F377" s="23" t="s">
        <v>1666</v>
      </c>
      <c r="G377" s="23" t="s">
        <v>1674</v>
      </c>
      <c r="J377" s="23" t="s">
        <v>28</v>
      </c>
      <c r="AD377" s="23" t="s">
        <v>307</v>
      </c>
      <c r="AF377" s="23" t="s">
        <v>1675</v>
      </c>
      <c r="AP377" s="73"/>
      <c r="AQ377" s="75"/>
      <c r="AR377" s="76"/>
      <c r="AS377" s="77"/>
      <c r="AV377" s="75"/>
      <c r="AW377" s="83"/>
      <c r="AX377" s="84"/>
      <c r="AY377" s="80"/>
      <c r="BB377" s="81"/>
    </row>
    <row r="378" spans="1:54" ht="15" customHeight="1">
      <c r="A378" s="23" t="s">
        <v>1303</v>
      </c>
      <c r="B378" s="23" t="s">
        <v>1676</v>
      </c>
      <c r="C378" s="23" t="s">
        <v>1307</v>
      </c>
      <c r="D378" s="24">
        <v>100</v>
      </c>
      <c r="E378" s="23">
        <v>2</v>
      </c>
      <c r="F378" s="23" t="s">
        <v>1677</v>
      </c>
      <c r="G378" s="23" t="s">
        <v>1678</v>
      </c>
      <c r="J378" s="23" t="s">
        <v>28</v>
      </c>
      <c r="AD378" s="23" t="s">
        <v>486</v>
      </c>
      <c r="AF378" s="23" t="s">
        <v>1679</v>
      </c>
      <c r="AP378" s="73"/>
      <c r="AQ378" s="75"/>
      <c r="AR378" s="76"/>
      <c r="AS378" s="77"/>
      <c r="AV378" s="75"/>
      <c r="AW378" s="83"/>
      <c r="AX378" s="84"/>
      <c r="AY378" s="80"/>
      <c r="BB378" s="81"/>
    </row>
    <row r="379" spans="1:54" ht="15" customHeight="1">
      <c r="A379" s="23" t="s">
        <v>1303</v>
      </c>
      <c r="B379" s="23" t="s">
        <v>1680</v>
      </c>
      <c r="C379" s="23" t="s">
        <v>1307</v>
      </c>
      <c r="D379" s="24">
        <v>101</v>
      </c>
      <c r="E379" s="23">
        <v>2</v>
      </c>
      <c r="F379" s="23" t="s">
        <v>1677</v>
      </c>
      <c r="G379" s="23" t="s">
        <v>1681</v>
      </c>
      <c r="J379" s="23" t="s">
        <v>28</v>
      </c>
      <c r="AD379" s="23" t="s">
        <v>1682</v>
      </c>
      <c r="AF379" s="23" t="s">
        <v>1683</v>
      </c>
      <c r="AP379" s="73"/>
      <c r="AQ379" s="75"/>
      <c r="AR379" s="76"/>
      <c r="AS379" s="77"/>
      <c r="AV379" s="75"/>
      <c r="AW379" s="83"/>
      <c r="AX379" s="84"/>
      <c r="AY379" s="80"/>
      <c r="BB379" s="81"/>
    </row>
    <row r="380" spans="1:54" ht="15" customHeight="1">
      <c r="A380" s="23" t="s">
        <v>1303</v>
      </c>
      <c r="B380" s="23" t="s">
        <v>1684</v>
      </c>
      <c r="C380" s="23" t="s">
        <v>1307</v>
      </c>
      <c r="D380" s="24">
        <v>102</v>
      </c>
      <c r="E380" s="23">
        <v>2</v>
      </c>
      <c r="F380" s="23" t="s">
        <v>1677</v>
      </c>
      <c r="G380" s="23" t="s">
        <v>1685</v>
      </c>
      <c r="J380" s="23" t="s">
        <v>28</v>
      </c>
      <c r="AD380" s="23" t="s">
        <v>1686</v>
      </c>
      <c r="AF380" s="23" t="s">
        <v>1687</v>
      </c>
      <c r="AP380" s="73"/>
      <c r="AQ380" s="75"/>
      <c r="AR380" s="76"/>
      <c r="AS380" s="77"/>
      <c r="AV380" s="75"/>
      <c r="AW380" s="83"/>
      <c r="AX380" s="84"/>
      <c r="AY380" s="80"/>
      <c r="BB380" s="81"/>
    </row>
    <row r="381" spans="1:54" ht="15" customHeight="1">
      <c r="A381" s="23" t="s">
        <v>1303</v>
      </c>
      <c r="B381" s="23" t="s">
        <v>1688</v>
      </c>
      <c r="C381" s="23" t="s">
        <v>1307</v>
      </c>
      <c r="D381" s="24">
        <v>103</v>
      </c>
      <c r="E381" s="23">
        <v>2</v>
      </c>
      <c r="F381" s="23" t="s">
        <v>1689</v>
      </c>
      <c r="G381" s="23" t="s">
        <v>1690</v>
      </c>
      <c r="J381" s="23" t="s">
        <v>29</v>
      </c>
      <c r="Q381" s="65">
        <v>1</v>
      </c>
      <c r="R381" s="66">
        <v>4</v>
      </c>
      <c r="T381" s="68">
        <v>6</v>
      </c>
      <c r="V381" s="69">
        <v>1</v>
      </c>
      <c r="W381" s="70">
        <v>1</v>
      </c>
      <c r="AD381" s="23" t="s">
        <v>1691</v>
      </c>
      <c r="AF381" s="23" t="s">
        <v>1692</v>
      </c>
      <c r="AP381" s="73"/>
      <c r="AQ381" s="75"/>
      <c r="AR381" s="76"/>
      <c r="AS381" s="77"/>
      <c r="AV381" s="75"/>
      <c r="AW381" s="83"/>
      <c r="AX381" s="84"/>
      <c r="AY381" s="80"/>
      <c r="BB381" s="81"/>
    </row>
    <row r="382" spans="1:54" ht="15" customHeight="1">
      <c r="A382" s="23" t="s">
        <v>1303</v>
      </c>
      <c r="B382" s="23" t="s">
        <v>1693</v>
      </c>
      <c r="C382" s="23" t="s">
        <v>1307</v>
      </c>
      <c r="D382" s="24">
        <v>104</v>
      </c>
      <c r="E382" s="23">
        <v>1</v>
      </c>
      <c r="F382" s="23" t="s">
        <v>1689</v>
      </c>
      <c r="G382" s="23" t="s">
        <v>1694</v>
      </c>
      <c r="J382" s="23" t="s">
        <v>29</v>
      </c>
      <c r="Q382" s="65">
        <v>4</v>
      </c>
      <c r="R382" s="66">
        <v>2</v>
      </c>
      <c r="T382" s="68">
        <v>5</v>
      </c>
      <c r="V382" s="69">
        <v>2</v>
      </c>
      <c r="W382" s="70">
        <v>2</v>
      </c>
      <c r="AA382" s="72">
        <v>1</v>
      </c>
      <c r="AD382" s="23" t="s">
        <v>1691</v>
      </c>
      <c r="AF382" s="23" t="s">
        <v>1695</v>
      </c>
      <c r="AP382" s="73"/>
      <c r="AQ382" s="75"/>
      <c r="AR382" s="76"/>
      <c r="AS382" s="77"/>
      <c r="AV382" s="75"/>
      <c r="AW382" s="83"/>
      <c r="AX382" s="84"/>
      <c r="AY382" s="80"/>
      <c r="BB382" s="81"/>
    </row>
    <row r="383" spans="1:54" ht="15" customHeight="1">
      <c r="A383" s="23" t="s">
        <v>1303</v>
      </c>
      <c r="B383" s="28" t="s">
        <v>1708</v>
      </c>
      <c r="C383" s="28" t="s">
        <v>1307</v>
      </c>
      <c r="D383" s="31">
        <v>995</v>
      </c>
      <c r="E383" s="28">
        <v>1</v>
      </c>
      <c r="F383" s="28"/>
      <c r="G383" s="23" t="s">
        <v>1308</v>
      </c>
      <c r="J383" s="23" t="s">
        <v>861</v>
      </c>
      <c r="K383" s="23" t="s">
        <v>198</v>
      </c>
      <c r="N383" s="73"/>
      <c r="O383" s="75"/>
      <c r="P383" s="76"/>
      <c r="Q383" s="77"/>
      <c r="U383" s="75"/>
      <c r="V383" s="83"/>
      <c r="W383" s="84"/>
      <c r="X383" s="80"/>
      <c r="AA383" s="81"/>
      <c r="AB383" s="42"/>
      <c r="AE383" s="23"/>
      <c r="AI383" s="23" t="s">
        <v>1308</v>
      </c>
      <c r="AL383" s="23" t="s">
        <v>861</v>
      </c>
      <c r="AP383" s="73"/>
      <c r="AQ383" s="75"/>
      <c r="AR383" s="76"/>
      <c r="AS383" s="77"/>
      <c r="AV383" s="75"/>
      <c r="AW383" s="83"/>
      <c r="AX383" s="84"/>
      <c r="AY383" s="80"/>
      <c r="BB383" s="81"/>
    </row>
    <row r="384" spans="1:54" ht="15" customHeight="1">
      <c r="A384" s="23" t="s">
        <v>1303</v>
      </c>
      <c r="B384" s="23" t="s">
        <v>1709</v>
      </c>
      <c r="C384" s="23" t="s">
        <v>1307</v>
      </c>
      <c r="D384" s="24">
        <v>996</v>
      </c>
      <c r="E384" s="23">
        <v>1</v>
      </c>
      <c r="G384" s="23" t="s">
        <v>1315</v>
      </c>
      <c r="J384" s="23" t="s">
        <v>861</v>
      </c>
      <c r="K384" s="23" t="s">
        <v>199</v>
      </c>
      <c r="N384" s="73"/>
      <c r="O384" s="75"/>
      <c r="P384" s="76"/>
      <c r="Q384" s="77"/>
      <c r="U384" s="75"/>
      <c r="V384" s="83"/>
      <c r="W384" s="84"/>
      <c r="X384" s="80"/>
      <c r="AA384" s="81"/>
      <c r="AB384" s="42"/>
      <c r="AE384" s="23"/>
      <c r="AI384" s="23" t="s">
        <v>1315</v>
      </c>
      <c r="AL384" s="23" t="s">
        <v>861</v>
      </c>
      <c r="AP384" s="73"/>
      <c r="AQ384" s="75"/>
      <c r="AR384" s="76"/>
      <c r="AS384" s="77"/>
      <c r="AV384" s="75"/>
      <c r="AW384" s="83"/>
      <c r="AX384" s="84"/>
      <c r="AY384" s="80"/>
      <c r="BB384" s="81"/>
    </row>
    <row r="385" spans="1:68" ht="15" customHeight="1">
      <c r="A385" s="23" t="s">
        <v>1303</v>
      </c>
      <c r="B385" s="23" t="s">
        <v>1710</v>
      </c>
      <c r="C385" s="23" t="s">
        <v>1307</v>
      </c>
      <c r="D385" s="24">
        <v>997</v>
      </c>
      <c r="E385" s="23">
        <v>1</v>
      </c>
      <c r="G385" s="23" t="s">
        <v>1322</v>
      </c>
      <c r="J385" s="23" t="s">
        <v>861</v>
      </c>
      <c r="K385" s="23" t="s">
        <v>201</v>
      </c>
      <c r="N385" s="73"/>
      <c r="O385" s="75"/>
      <c r="P385" s="76"/>
      <c r="Q385" s="77"/>
      <c r="U385" s="75"/>
      <c r="V385" s="83"/>
      <c r="W385" s="84"/>
      <c r="X385" s="80"/>
      <c r="AA385" s="81"/>
      <c r="AB385" s="42"/>
      <c r="AE385" s="23"/>
      <c r="AI385" s="23" t="s">
        <v>1322</v>
      </c>
      <c r="AL385" s="23" t="s">
        <v>861</v>
      </c>
      <c r="AP385" s="73"/>
      <c r="AQ385" s="75"/>
      <c r="AR385" s="76"/>
      <c r="AS385" s="77"/>
      <c r="AV385" s="75"/>
      <c r="AW385" s="83"/>
      <c r="AX385" s="84"/>
      <c r="AY385" s="80"/>
      <c r="BB385" s="81"/>
    </row>
    <row r="386" spans="1:68" ht="15" customHeight="1">
      <c r="A386" s="23" t="s">
        <v>1303</v>
      </c>
      <c r="B386" s="30" t="s">
        <v>1711</v>
      </c>
      <c r="C386" s="23" t="s">
        <v>1307</v>
      </c>
      <c r="D386" s="24">
        <v>998</v>
      </c>
      <c r="E386" s="23">
        <v>1</v>
      </c>
      <c r="G386" s="23" t="s">
        <v>1328</v>
      </c>
      <c r="J386" s="23" t="s">
        <v>861</v>
      </c>
      <c r="K386" s="23" t="s">
        <v>200</v>
      </c>
      <c r="N386" s="73"/>
      <c r="O386" s="75"/>
      <c r="P386" s="76"/>
      <c r="Q386" s="77"/>
      <c r="U386" s="75"/>
      <c r="V386" s="83"/>
      <c r="W386" s="84"/>
      <c r="X386" s="80"/>
      <c r="AA386" s="81"/>
      <c r="AB386" s="42"/>
      <c r="AE386" s="23"/>
      <c r="AI386" s="23" t="s">
        <v>1328</v>
      </c>
      <c r="AL386" s="23" t="s">
        <v>861</v>
      </c>
      <c r="AP386" s="73"/>
      <c r="AQ386" s="75"/>
      <c r="AR386" s="76"/>
      <c r="AS386" s="77"/>
      <c r="AV386" s="75"/>
      <c r="AW386" s="83"/>
      <c r="AX386" s="84"/>
      <c r="AY386" s="80"/>
      <c r="BB386" s="81"/>
    </row>
    <row r="387" spans="1:68" s="32" customFormat="1" ht="15" customHeight="1">
      <c r="A387" s="23" t="s">
        <v>1303</v>
      </c>
      <c r="B387" s="32" t="s">
        <v>1712</v>
      </c>
      <c r="C387" s="32" t="s">
        <v>1307</v>
      </c>
      <c r="D387" s="32">
        <v>999</v>
      </c>
      <c r="E387" s="32">
        <v>1</v>
      </c>
      <c r="G387" s="23" t="s">
        <v>1334</v>
      </c>
      <c r="J387" s="32" t="s">
        <v>861</v>
      </c>
      <c r="K387" s="32" t="s">
        <v>202</v>
      </c>
      <c r="N387" s="85"/>
      <c r="O387" s="86"/>
      <c r="P387" s="87"/>
      <c r="Q387" s="88"/>
      <c r="R387" s="89"/>
      <c r="S387" s="113"/>
      <c r="T387" s="90"/>
      <c r="U387" s="86"/>
      <c r="V387" s="91"/>
      <c r="W387" s="92"/>
      <c r="X387" s="93"/>
      <c r="Y387" s="89"/>
      <c r="Z387" s="90"/>
      <c r="AA387" s="94"/>
      <c r="AI387" s="23" t="s">
        <v>1334</v>
      </c>
      <c r="AL387" s="32" t="s">
        <v>861</v>
      </c>
      <c r="AP387" s="85"/>
      <c r="AQ387" s="86"/>
      <c r="AR387" s="87"/>
      <c r="AS387" s="88"/>
      <c r="AT387" s="89"/>
      <c r="AU387" s="90"/>
      <c r="AV387" s="86"/>
      <c r="AW387" s="91"/>
      <c r="AX387" s="92"/>
      <c r="AY387" s="93"/>
      <c r="AZ387" s="89"/>
      <c r="BA387" s="90"/>
      <c r="BB387" s="94"/>
      <c r="BF387" s="25"/>
    </row>
    <row r="388" spans="1:68" ht="15" customHeight="1">
      <c r="A388" s="41" t="s">
        <v>1714</v>
      </c>
      <c r="B388" s="41" t="s">
        <v>1896</v>
      </c>
      <c r="C388" s="41" t="s">
        <v>1975</v>
      </c>
      <c r="D388" s="53">
        <v>105</v>
      </c>
      <c r="E388" s="54">
        <v>2</v>
      </c>
      <c r="F388" s="54"/>
      <c r="G388" s="54" t="s">
        <v>1720</v>
      </c>
      <c r="H388" s="33"/>
      <c r="I388" s="33"/>
      <c r="J388" s="33" t="s">
        <v>27</v>
      </c>
      <c r="K388" s="33" t="s">
        <v>198</v>
      </c>
      <c r="L388" s="33"/>
      <c r="M388" s="33"/>
      <c r="N388" s="104">
        <v>2</v>
      </c>
      <c r="O388" s="105"/>
      <c r="P388" s="106"/>
      <c r="Q388" s="107"/>
      <c r="R388" s="67"/>
      <c r="U388" s="105"/>
      <c r="V388" s="108"/>
      <c r="W388" s="109"/>
      <c r="X388" s="110"/>
      <c r="Y388" s="67"/>
      <c r="AA388" s="111"/>
      <c r="AB388" s="52" t="s">
        <v>1089</v>
      </c>
      <c r="AC388" s="33"/>
      <c r="AD388" s="33" t="s">
        <v>1721</v>
      </c>
      <c r="AF388" s="23" t="s">
        <v>1722</v>
      </c>
      <c r="AH388" s="33"/>
      <c r="AI388" s="33"/>
      <c r="AJ388" s="33"/>
      <c r="AK388" s="33"/>
      <c r="AL388" s="33"/>
      <c r="AM388" s="33"/>
      <c r="AN388" s="33"/>
      <c r="AO388" s="33"/>
      <c r="AP388" s="112"/>
      <c r="AQ388" s="105"/>
      <c r="AR388" s="106"/>
      <c r="AS388" s="107"/>
      <c r="AT388" s="67"/>
      <c r="AV388" s="105"/>
      <c r="AW388" s="108"/>
      <c r="AX388" s="109"/>
      <c r="AY388" s="110"/>
      <c r="AZ388" s="67"/>
      <c r="BB388" s="111"/>
      <c r="BC388" s="33"/>
      <c r="BD388" s="33"/>
      <c r="BE388" s="33"/>
      <c r="BI388" s="33"/>
      <c r="BJ388" s="33"/>
      <c r="BK388" s="33"/>
      <c r="BL388" s="33"/>
      <c r="BM388" s="33"/>
      <c r="BN388" s="33"/>
      <c r="BO388" s="33"/>
      <c r="BP388" s="33"/>
    </row>
    <row r="389" spans="1:68" ht="15" customHeight="1">
      <c r="A389" s="23" t="s">
        <v>1714</v>
      </c>
      <c r="B389" s="23" t="s">
        <v>1897</v>
      </c>
      <c r="C389" s="23" t="s">
        <v>1975</v>
      </c>
      <c r="D389" s="55">
        <v>106</v>
      </c>
      <c r="E389" s="33">
        <v>2</v>
      </c>
      <c r="F389" s="33"/>
      <c r="G389" s="33" t="s">
        <v>1723</v>
      </c>
      <c r="H389" s="33"/>
      <c r="I389" s="33" t="s">
        <v>223</v>
      </c>
      <c r="J389" s="33" t="s">
        <v>257</v>
      </c>
      <c r="K389" s="33" t="s">
        <v>198</v>
      </c>
      <c r="L389" s="33">
        <v>1</v>
      </c>
      <c r="M389" s="33"/>
      <c r="N389" s="104">
        <v>5</v>
      </c>
      <c r="O389" s="105"/>
      <c r="P389" s="106"/>
      <c r="Q389" s="107"/>
      <c r="R389" s="67"/>
      <c r="T389" s="68">
        <v>3</v>
      </c>
      <c r="U389" s="105">
        <v>3</v>
      </c>
      <c r="V389" s="108"/>
      <c r="W389" s="109"/>
      <c r="X389" s="110"/>
      <c r="Y389" s="67"/>
      <c r="AA389" s="111"/>
      <c r="AB389" s="52" t="s">
        <v>204</v>
      </c>
      <c r="AC389" s="33" t="s">
        <v>25</v>
      </c>
      <c r="AD389" s="33" t="s">
        <v>1724</v>
      </c>
      <c r="AF389" s="23" t="s">
        <v>1725</v>
      </c>
      <c r="AH389" s="33"/>
      <c r="AI389" s="33"/>
      <c r="AJ389" s="33"/>
      <c r="AK389" s="33"/>
      <c r="AL389" s="33"/>
      <c r="AM389" s="33"/>
      <c r="AN389" s="33"/>
      <c r="AO389" s="33"/>
      <c r="AP389" s="112"/>
      <c r="AQ389" s="105"/>
      <c r="AR389" s="106"/>
      <c r="AS389" s="107"/>
      <c r="AT389" s="67"/>
      <c r="AV389" s="105"/>
      <c r="AW389" s="108"/>
      <c r="AX389" s="109"/>
      <c r="AY389" s="110"/>
      <c r="AZ389" s="67"/>
      <c r="BB389" s="111"/>
      <c r="BC389" s="33"/>
      <c r="BD389" s="33"/>
      <c r="BE389" s="33"/>
      <c r="BI389" s="33"/>
      <c r="BJ389" s="33"/>
      <c r="BK389" s="33"/>
      <c r="BL389" s="33"/>
      <c r="BM389" s="33"/>
      <c r="BN389" s="33"/>
      <c r="BO389" s="33"/>
      <c r="BP389" s="33"/>
    </row>
    <row r="390" spans="1:68" ht="15" customHeight="1">
      <c r="A390" s="23" t="s">
        <v>1714</v>
      </c>
      <c r="B390" s="23" t="s">
        <v>1898</v>
      </c>
      <c r="C390" s="23" t="s">
        <v>1975</v>
      </c>
      <c r="D390" s="55">
        <v>107</v>
      </c>
      <c r="E390" s="33">
        <v>2</v>
      </c>
      <c r="F390" s="33"/>
      <c r="G390" s="33" t="s">
        <v>1726</v>
      </c>
      <c r="H390" s="33"/>
      <c r="I390" s="33"/>
      <c r="J390" s="33" t="s">
        <v>27</v>
      </c>
      <c r="K390" s="33" t="s">
        <v>199</v>
      </c>
      <c r="L390" s="33"/>
      <c r="M390" s="33"/>
      <c r="N390" s="104">
        <v>3</v>
      </c>
      <c r="O390" s="105"/>
      <c r="P390" s="106"/>
      <c r="Q390" s="107"/>
      <c r="R390" s="67"/>
      <c r="U390" s="105"/>
      <c r="V390" s="108"/>
      <c r="W390" s="109"/>
      <c r="X390" s="110"/>
      <c r="Y390" s="67"/>
      <c r="AA390" s="111"/>
      <c r="AB390" s="52" t="s">
        <v>1091</v>
      </c>
      <c r="AC390" s="33"/>
      <c r="AD390" s="33" t="s">
        <v>344</v>
      </c>
      <c r="AF390" s="23" t="s">
        <v>1727</v>
      </c>
      <c r="AH390" s="33"/>
      <c r="AI390" s="33"/>
      <c r="AJ390" s="33"/>
      <c r="AK390" s="33"/>
      <c r="AL390" s="33"/>
      <c r="AM390" s="33"/>
      <c r="AN390" s="33"/>
      <c r="AO390" s="33"/>
      <c r="AP390" s="112"/>
      <c r="AQ390" s="105"/>
      <c r="AR390" s="106"/>
      <c r="AS390" s="107"/>
      <c r="AT390" s="67"/>
      <c r="AV390" s="105"/>
      <c r="AW390" s="108"/>
      <c r="AX390" s="109"/>
      <c r="AY390" s="110"/>
      <c r="AZ390" s="67"/>
      <c r="BB390" s="111"/>
      <c r="BC390" s="33"/>
      <c r="BD390" s="33"/>
      <c r="BE390" s="33"/>
      <c r="BI390" s="33"/>
      <c r="BJ390" s="33"/>
      <c r="BK390" s="33"/>
      <c r="BL390" s="33"/>
      <c r="BM390" s="33"/>
      <c r="BN390" s="33"/>
      <c r="BO390" s="33"/>
      <c r="BP390" s="33"/>
    </row>
    <row r="391" spans="1:68" ht="15" customHeight="1">
      <c r="A391" s="23" t="s">
        <v>1714</v>
      </c>
      <c r="B391" s="23" t="s">
        <v>1899</v>
      </c>
      <c r="C391" s="23" t="s">
        <v>1975</v>
      </c>
      <c r="D391" s="55">
        <v>108</v>
      </c>
      <c r="E391" s="33">
        <v>2</v>
      </c>
      <c r="F391" s="33"/>
      <c r="G391" s="33" t="s">
        <v>1728</v>
      </c>
      <c r="H391" s="33"/>
      <c r="I391" s="33"/>
      <c r="J391" s="33" t="s">
        <v>257</v>
      </c>
      <c r="K391" s="33" t="s">
        <v>199</v>
      </c>
      <c r="L391" s="33">
        <v>1</v>
      </c>
      <c r="M391" s="33"/>
      <c r="N391" s="104">
        <v>3</v>
      </c>
      <c r="O391" s="105"/>
      <c r="P391" s="106"/>
      <c r="Q391" s="107"/>
      <c r="R391" s="67"/>
      <c r="U391" s="105"/>
      <c r="V391" s="108"/>
      <c r="W391" s="109"/>
      <c r="X391" s="110"/>
      <c r="Y391" s="67"/>
      <c r="AA391" s="111"/>
      <c r="AB391" s="52" t="s">
        <v>207</v>
      </c>
      <c r="AC391" s="33"/>
      <c r="AD391" s="33" t="s">
        <v>289</v>
      </c>
      <c r="AF391" s="23" t="s">
        <v>1729</v>
      </c>
      <c r="AH391" s="33"/>
      <c r="AI391" s="33"/>
      <c r="AJ391" s="33"/>
      <c r="AK391" s="33"/>
      <c r="AL391" s="33"/>
      <c r="AM391" s="33"/>
      <c r="AN391" s="33"/>
      <c r="AO391" s="33"/>
      <c r="AP391" s="112"/>
      <c r="AQ391" s="105"/>
      <c r="AR391" s="106"/>
      <c r="AS391" s="107"/>
      <c r="AT391" s="67"/>
      <c r="AV391" s="105"/>
      <c r="AW391" s="108"/>
      <c r="AX391" s="109"/>
      <c r="AY391" s="110"/>
      <c r="AZ391" s="67"/>
      <c r="BB391" s="111"/>
      <c r="BC391" s="33"/>
      <c r="BD391" s="33"/>
      <c r="BE391" s="33"/>
      <c r="BI391" s="33"/>
      <c r="BJ391" s="33"/>
      <c r="BK391" s="33"/>
      <c r="BL391" s="33"/>
      <c r="BM391" s="33"/>
      <c r="BN391" s="33"/>
      <c r="BO391" s="33"/>
      <c r="BP391" s="33"/>
    </row>
    <row r="392" spans="1:68" ht="15" customHeight="1">
      <c r="A392" s="23" t="s">
        <v>1714</v>
      </c>
      <c r="B392" s="23" t="s">
        <v>1900</v>
      </c>
      <c r="C392" s="23" t="s">
        <v>1975</v>
      </c>
      <c r="D392" s="55">
        <v>109</v>
      </c>
      <c r="E392" s="33">
        <v>2</v>
      </c>
      <c r="F392" s="33"/>
      <c r="G392" s="33" t="s">
        <v>1730</v>
      </c>
      <c r="H392" s="33"/>
      <c r="I392" s="33"/>
      <c r="J392" s="33" t="s">
        <v>27</v>
      </c>
      <c r="K392" s="33" t="s">
        <v>201</v>
      </c>
      <c r="L392" s="33"/>
      <c r="M392" s="33"/>
      <c r="N392" s="104">
        <v>4</v>
      </c>
      <c r="O392" s="105"/>
      <c r="P392" s="106"/>
      <c r="Q392" s="107"/>
      <c r="R392" s="67"/>
      <c r="U392" s="105"/>
      <c r="V392" s="108"/>
      <c r="W392" s="109"/>
      <c r="X392" s="110"/>
      <c r="Y392" s="67"/>
      <c r="AA392" s="111"/>
      <c r="AB392" s="52" t="s">
        <v>1092</v>
      </c>
      <c r="AC392" s="33"/>
      <c r="AD392" s="33" t="s">
        <v>1731</v>
      </c>
      <c r="AF392" s="23" t="s">
        <v>1732</v>
      </c>
      <c r="AH392" s="33"/>
      <c r="AI392" s="33"/>
      <c r="AJ392" s="33"/>
      <c r="AK392" s="33"/>
      <c r="AL392" s="33"/>
      <c r="AM392" s="33"/>
      <c r="AN392" s="33"/>
      <c r="AO392" s="33"/>
      <c r="AP392" s="112"/>
      <c r="AQ392" s="105"/>
      <c r="AR392" s="106"/>
      <c r="AS392" s="107"/>
      <c r="AT392" s="67"/>
      <c r="AV392" s="105"/>
      <c r="AW392" s="108"/>
      <c r="AX392" s="109"/>
      <c r="AY392" s="110"/>
      <c r="AZ392" s="67"/>
      <c r="BB392" s="111"/>
      <c r="BC392" s="33"/>
      <c r="BD392" s="33"/>
      <c r="BE392" s="33"/>
      <c r="BI392" s="33"/>
      <c r="BJ392" s="33"/>
      <c r="BK392" s="33"/>
      <c r="BL392" s="33"/>
      <c r="BM392" s="33"/>
      <c r="BN392" s="33"/>
      <c r="BO392" s="33"/>
      <c r="BP392" s="33"/>
    </row>
    <row r="393" spans="1:68" ht="15" customHeight="1">
      <c r="A393" s="23" t="s">
        <v>1714</v>
      </c>
      <c r="B393" s="23" t="s">
        <v>1901</v>
      </c>
      <c r="C393" s="23" t="s">
        <v>1975</v>
      </c>
      <c r="D393" s="55">
        <v>110</v>
      </c>
      <c r="E393" s="33">
        <v>2</v>
      </c>
      <c r="F393" s="33"/>
      <c r="G393" s="33" t="s">
        <v>1733</v>
      </c>
      <c r="H393" s="33"/>
      <c r="I393" s="33"/>
      <c r="J393" s="33" t="s">
        <v>257</v>
      </c>
      <c r="K393" s="33" t="s">
        <v>201</v>
      </c>
      <c r="L393" s="33">
        <v>1</v>
      </c>
      <c r="M393" s="33"/>
      <c r="N393" s="104" t="s">
        <v>38</v>
      </c>
      <c r="O393" s="105"/>
      <c r="P393" s="106"/>
      <c r="Q393" s="107"/>
      <c r="R393" s="67"/>
      <c r="U393" s="105"/>
      <c r="V393" s="108"/>
      <c r="W393" s="109"/>
      <c r="X393" s="110"/>
      <c r="Y393" s="67"/>
      <c r="AA393" s="111"/>
      <c r="AB393" s="52"/>
      <c r="AC393" s="33"/>
      <c r="AD393" s="33" t="s">
        <v>289</v>
      </c>
      <c r="AE393" s="24" t="s">
        <v>1978</v>
      </c>
      <c r="AF393" s="23" t="s">
        <v>2378</v>
      </c>
      <c r="AH393" s="33"/>
      <c r="AI393" s="33"/>
      <c r="AJ393" s="33"/>
      <c r="AK393" s="33"/>
      <c r="AL393" s="33"/>
      <c r="AM393" s="33"/>
      <c r="AN393" s="33"/>
      <c r="AO393" s="33"/>
      <c r="AP393" s="112"/>
      <c r="AQ393" s="105"/>
      <c r="AR393" s="106"/>
      <c r="AS393" s="107"/>
      <c r="AT393" s="67"/>
      <c r="AV393" s="105"/>
      <c r="AW393" s="108"/>
      <c r="AX393" s="109"/>
      <c r="AY393" s="110"/>
      <c r="AZ393" s="67"/>
      <c r="BB393" s="111"/>
      <c r="BC393" s="33"/>
      <c r="BD393" s="33"/>
      <c r="BE393" s="33"/>
      <c r="BI393" s="33"/>
      <c r="BJ393" s="33"/>
      <c r="BK393" s="33"/>
      <c r="BL393" s="33"/>
      <c r="BM393" s="33"/>
      <c r="BN393" s="33"/>
      <c r="BO393" s="33"/>
      <c r="BP393" s="33"/>
    </row>
    <row r="394" spans="1:68" ht="15" customHeight="1">
      <c r="A394" s="23" t="s">
        <v>1714</v>
      </c>
      <c r="B394" s="23" t="s">
        <v>1902</v>
      </c>
      <c r="C394" s="23" t="s">
        <v>1975</v>
      </c>
      <c r="D394" s="55">
        <v>111</v>
      </c>
      <c r="E394" s="33">
        <v>2</v>
      </c>
      <c r="F394" s="33"/>
      <c r="G394" s="33" t="s">
        <v>1734</v>
      </c>
      <c r="H394" s="33"/>
      <c r="I394" s="33"/>
      <c r="J394" s="33" t="s">
        <v>27</v>
      </c>
      <c r="K394" s="33" t="s">
        <v>200</v>
      </c>
      <c r="L394" s="33"/>
      <c r="M394" s="33"/>
      <c r="N394" s="104">
        <v>1</v>
      </c>
      <c r="O394" s="105"/>
      <c r="P394" s="106"/>
      <c r="Q394" s="107"/>
      <c r="R394" s="67"/>
      <c r="U394" s="105"/>
      <c r="V394" s="108"/>
      <c r="W394" s="109"/>
      <c r="X394" s="110"/>
      <c r="Y394" s="67"/>
      <c r="AA394" s="111">
        <v>1</v>
      </c>
      <c r="AB394" s="52"/>
      <c r="AC394" s="33"/>
      <c r="AD394" s="33" t="s">
        <v>340</v>
      </c>
      <c r="AF394" s="23" t="s">
        <v>1735</v>
      </c>
      <c r="AH394" s="33"/>
      <c r="AI394" s="33"/>
      <c r="AJ394" s="33"/>
      <c r="AK394" s="33"/>
      <c r="AL394" s="33"/>
      <c r="AM394" s="33"/>
      <c r="AN394" s="33"/>
      <c r="AO394" s="33"/>
      <c r="AP394" s="112"/>
      <c r="AQ394" s="105"/>
      <c r="AR394" s="106"/>
      <c r="AS394" s="107"/>
      <c r="AT394" s="67"/>
      <c r="AV394" s="105"/>
      <c r="AW394" s="108"/>
      <c r="AX394" s="109"/>
      <c r="AY394" s="110"/>
      <c r="AZ394" s="67"/>
      <c r="BB394" s="111"/>
      <c r="BC394" s="33"/>
      <c r="BD394" s="33"/>
      <c r="BE394" s="33"/>
      <c r="BI394" s="33"/>
      <c r="BJ394" s="33"/>
      <c r="BK394" s="33"/>
      <c r="BL394" s="33"/>
      <c r="BM394" s="33"/>
      <c r="BN394" s="33"/>
      <c r="BO394" s="33"/>
      <c r="BP394" s="33"/>
    </row>
    <row r="395" spans="1:68" ht="15" customHeight="1">
      <c r="A395" s="23" t="s">
        <v>1714</v>
      </c>
      <c r="B395" s="23" t="s">
        <v>1903</v>
      </c>
      <c r="C395" s="23" t="s">
        <v>1975</v>
      </c>
      <c r="D395" s="55">
        <v>112</v>
      </c>
      <c r="E395" s="33">
        <v>2</v>
      </c>
      <c r="F395" s="33"/>
      <c r="G395" s="33" t="s">
        <v>1736</v>
      </c>
      <c r="H395" s="33"/>
      <c r="I395" s="33"/>
      <c r="J395" s="33" t="s">
        <v>257</v>
      </c>
      <c r="K395" s="33" t="s">
        <v>200</v>
      </c>
      <c r="L395" s="33">
        <v>2</v>
      </c>
      <c r="M395" s="33"/>
      <c r="N395" s="104">
        <v>2</v>
      </c>
      <c r="O395" s="105"/>
      <c r="P395" s="106"/>
      <c r="Q395" s="107"/>
      <c r="R395" s="67"/>
      <c r="U395" s="105"/>
      <c r="V395" s="108"/>
      <c r="W395" s="109"/>
      <c r="X395" s="110"/>
      <c r="Y395" s="67"/>
      <c r="AA395" s="111"/>
      <c r="AB395" s="52" t="s">
        <v>204</v>
      </c>
      <c r="AC395" s="33" t="s">
        <v>378</v>
      </c>
      <c r="AD395" s="33" t="s">
        <v>1119</v>
      </c>
      <c r="AF395" s="23" t="s">
        <v>1737</v>
      </c>
      <c r="AH395" s="33"/>
      <c r="AI395" s="33"/>
      <c r="AJ395" s="33"/>
      <c r="AK395" s="33"/>
      <c r="AL395" s="33"/>
      <c r="AM395" s="33"/>
      <c r="AN395" s="33"/>
      <c r="AO395" s="33"/>
      <c r="AP395" s="112"/>
      <c r="AQ395" s="105"/>
      <c r="AR395" s="106"/>
      <c r="AS395" s="107"/>
      <c r="AT395" s="67"/>
      <c r="AV395" s="105"/>
      <c r="AW395" s="108"/>
      <c r="AX395" s="109"/>
      <c r="AY395" s="110"/>
      <c r="AZ395" s="67"/>
      <c r="BB395" s="111"/>
      <c r="BC395" s="33"/>
      <c r="BD395" s="33"/>
      <c r="BE395" s="33"/>
      <c r="BI395" s="33"/>
      <c r="BJ395" s="33"/>
      <c r="BK395" s="33"/>
      <c r="BL395" s="33"/>
      <c r="BM395" s="33"/>
      <c r="BN395" s="33"/>
      <c r="BO395" s="33"/>
      <c r="BP395" s="33"/>
    </row>
    <row r="396" spans="1:68" ht="15" customHeight="1">
      <c r="A396" s="23" t="s">
        <v>1714</v>
      </c>
      <c r="B396" s="23" t="s">
        <v>1904</v>
      </c>
      <c r="C396" s="23" t="s">
        <v>1975</v>
      </c>
      <c r="D396" s="55">
        <v>113</v>
      </c>
      <c r="E396" s="33">
        <v>2</v>
      </c>
      <c r="F396" s="33"/>
      <c r="G396" s="33" t="s">
        <v>1738</v>
      </c>
      <c r="H396" s="33"/>
      <c r="I396" s="33"/>
      <c r="J396" s="33" t="s">
        <v>27</v>
      </c>
      <c r="K396" s="33" t="s">
        <v>202</v>
      </c>
      <c r="L396" s="33"/>
      <c r="M396" s="33"/>
      <c r="N396" s="104">
        <v>2</v>
      </c>
      <c r="O396" s="105"/>
      <c r="P396" s="106"/>
      <c r="Q396" s="107"/>
      <c r="R396" s="67"/>
      <c r="U396" s="105"/>
      <c r="V396" s="108"/>
      <c r="W396" s="109"/>
      <c r="X396" s="110"/>
      <c r="Y396" s="67"/>
      <c r="AA396" s="111"/>
      <c r="AB396" s="52" t="s">
        <v>1088</v>
      </c>
      <c r="AC396" s="33"/>
      <c r="AD396" s="33" t="s">
        <v>372</v>
      </c>
      <c r="AF396" s="23" t="s">
        <v>1739</v>
      </c>
      <c r="AH396" s="33"/>
      <c r="AI396" s="33"/>
      <c r="AJ396" s="33"/>
      <c r="AK396" s="33"/>
      <c r="AL396" s="33"/>
      <c r="AM396" s="33"/>
      <c r="AN396" s="33"/>
      <c r="AO396" s="33"/>
      <c r="AP396" s="112"/>
      <c r="AQ396" s="105"/>
      <c r="AR396" s="106"/>
      <c r="AS396" s="107"/>
      <c r="AT396" s="67"/>
      <c r="AV396" s="105"/>
      <c r="AW396" s="108"/>
      <c r="AX396" s="109"/>
      <c r="AY396" s="110"/>
      <c r="AZ396" s="67"/>
      <c r="BB396" s="111"/>
      <c r="BC396" s="33"/>
      <c r="BD396" s="33"/>
      <c r="BE396" s="33"/>
      <c r="BI396" s="33"/>
      <c r="BJ396" s="33"/>
      <c r="BK396" s="33"/>
      <c r="BL396" s="33"/>
      <c r="BM396" s="33"/>
      <c r="BN396" s="33"/>
      <c r="BO396" s="33"/>
      <c r="BP396" s="33"/>
    </row>
    <row r="397" spans="1:68" ht="15" customHeight="1">
      <c r="A397" s="23" t="s">
        <v>1714</v>
      </c>
      <c r="B397" s="23" t="s">
        <v>1905</v>
      </c>
      <c r="C397" s="23" t="s">
        <v>1975</v>
      </c>
      <c r="D397" s="55">
        <v>114</v>
      </c>
      <c r="E397" s="33">
        <v>2</v>
      </c>
      <c r="F397" s="33"/>
      <c r="G397" s="33" t="s">
        <v>1740</v>
      </c>
      <c r="H397" s="33"/>
      <c r="I397" s="33"/>
      <c r="J397" s="33" t="s">
        <v>257</v>
      </c>
      <c r="K397" s="33" t="s">
        <v>202</v>
      </c>
      <c r="L397" s="33">
        <v>1</v>
      </c>
      <c r="M397" s="33"/>
      <c r="N397" s="104">
        <v>2</v>
      </c>
      <c r="O397" s="105"/>
      <c r="P397" s="106"/>
      <c r="Q397" s="107"/>
      <c r="R397" s="67"/>
      <c r="U397" s="105"/>
      <c r="V397" s="108"/>
      <c r="W397" s="109"/>
      <c r="X397" s="110"/>
      <c r="Y397" s="67"/>
      <c r="AA397" s="111"/>
      <c r="AB397" s="52" t="s">
        <v>207</v>
      </c>
      <c r="AC397" s="33" t="s">
        <v>258</v>
      </c>
      <c r="AD397" s="33" t="s">
        <v>1741</v>
      </c>
      <c r="AF397" s="23" t="s">
        <v>1742</v>
      </c>
      <c r="AH397" s="33"/>
      <c r="AI397" s="33"/>
      <c r="AJ397" s="33"/>
      <c r="AK397" s="33"/>
      <c r="AL397" s="33"/>
      <c r="AM397" s="33"/>
      <c r="AN397" s="33"/>
      <c r="AO397" s="33"/>
      <c r="AP397" s="112"/>
      <c r="AQ397" s="105"/>
      <c r="AR397" s="106"/>
      <c r="AS397" s="107"/>
      <c r="AT397" s="67"/>
      <c r="AV397" s="105"/>
      <c r="AW397" s="108"/>
      <c r="AX397" s="109"/>
      <c r="AY397" s="110"/>
      <c r="AZ397" s="67"/>
      <c r="BB397" s="111"/>
      <c r="BC397" s="33"/>
      <c r="BD397" s="33"/>
      <c r="BE397" s="33"/>
      <c r="BI397" s="33"/>
      <c r="BJ397" s="33"/>
      <c r="BK397" s="33"/>
      <c r="BL397" s="33"/>
      <c r="BM397" s="33"/>
      <c r="BN397" s="33"/>
      <c r="BO397" s="33"/>
      <c r="BP397" s="33"/>
    </row>
    <row r="398" spans="1:68" ht="15" customHeight="1">
      <c r="A398" s="23" t="s">
        <v>1714</v>
      </c>
      <c r="B398" s="23" t="s">
        <v>1906</v>
      </c>
      <c r="C398" s="23" t="s">
        <v>1975</v>
      </c>
      <c r="D398" s="55">
        <v>115</v>
      </c>
      <c r="E398" s="33">
        <v>2</v>
      </c>
      <c r="F398" s="33"/>
      <c r="G398" s="33" t="s">
        <v>1743</v>
      </c>
      <c r="H398" s="33"/>
      <c r="I398" s="33"/>
      <c r="J398" s="33" t="s">
        <v>27</v>
      </c>
      <c r="K398" s="33" t="s">
        <v>202</v>
      </c>
      <c r="L398" s="33">
        <v>1</v>
      </c>
      <c r="M398" s="33"/>
      <c r="N398" s="104">
        <v>2</v>
      </c>
      <c r="O398" s="105"/>
      <c r="P398" s="106"/>
      <c r="Q398" s="107"/>
      <c r="R398" s="67"/>
      <c r="U398" s="105"/>
      <c r="V398" s="108"/>
      <c r="W398" s="109"/>
      <c r="X398" s="110"/>
      <c r="Y398" s="67"/>
      <c r="AA398" s="111"/>
      <c r="AB398" s="52" t="s">
        <v>208</v>
      </c>
      <c r="AC398" s="33"/>
      <c r="AD398" s="33" t="s">
        <v>307</v>
      </c>
      <c r="AF398" s="23" t="s">
        <v>1744</v>
      </c>
      <c r="AH398" s="33"/>
      <c r="AI398" s="33"/>
      <c r="AJ398" s="33"/>
      <c r="AK398" s="33"/>
      <c r="AL398" s="33"/>
      <c r="AM398" s="33"/>
      <c r="AN398" s="33"/>
      <c r="AO398" s="33"/>
      <c r="AP398" s="112"/>
      <c r="AQ398" s="105"/>
      <c r="AR398" s="106"/>
      <c r="AS398" s="107"/>
      <c r="AT398" s="67"/>
      <c r="AV398" s="105"/>
      <c r="AW398" s="108"/>
      <c r="AX398" s="109"/>
      <c r="AY398" s="110"/>
      <c r="AZ398" s="67"/>
      <c r="BB398" s="111"/>
      <c r="BC398" s="33"/>
      <c r="BD398" s="33"/>
      <c r="BE398" s="33"/>
      <c r="BI398" s="33"/>
      <c r="BJ398" s="33"/>
      <c r="BK398" s="33"/>
      <c r="BL398" s="33"/>
      <c r="BM398" s="33"/>
      <c r="BN398" s="33"/>
      <c r="BO398" s="33"/>
      <c r="BP398" s="33"/>
    </row>
    <row r="399" spans="1:68" ht="15" customHeight="1">
      <c r="A399" s="23" t="s">
        <v>1714</v>
      </c>
      <c r="B399" s="23" t="s">
        <v>1907</v>
      </c>
      <c r="C399" s="23" t="s">
        <v>1975</v>
      </c>
      <c r="D399" s="55">
        <v>116</v>
      </c>
      <c r="E399" s="33">
        <v>2</v>
      </c>
      <c r="F399" s="33"/>
      <c r="G399" s="33" t="s">
        <v>1745</v>
      </c>
      <c r="H399" s="33"/>
      <c r="I399" s="33"/>
      <c r="J399" s="33" t="s">
        <v>257</v>
      </c>
      <c r="K399" s="33" t="s">
        <v>26</v>
      </c>
      <c r="L399" s="33">
        <v>0</v>
      </c>
      <c r="M399" s="33"/>
      <c r="N399" s="104">
        <v>1</v>
      </c>
      <c r="O399" s="105"/>
      <c r="P399" s="106"/>
      <c r="Q399" s="107"/>
      <c r="R399" s="67"/>
      <c r="U399" s="105"/>
      <c r="V399" s="108"/>
      <c r="W399" s="109"/>
      <c r="X399" s="110"/>
      <c r="Y399" s="67"/>
      <c r="AA399" s="111"/>
      <c r="AB399" s="52" t="s">
        <v>204</v>
      </c>
      <c r="AC399" s="33"/>
      <c r="AD399" s="33" t="s">
        <v>265</v>
      </c>
      <c r="AF399" s="23" t="s">
        <v>1746</v>
      </c>
      <c r="AH399" s="33"/>
      <c r="AI399" s="33"/>
      <c r="AJ399" s="33"/>
      <c r="AK399" s="33"/>
      <c r="AL399" s="33"/>
      <c r="AM399" s="33"/>
      <c r="AN399" s="33"/>
      <c r="AO399" s="33"/>
      <c r="AP399" s="112"/>
      <c r="AQ399" s="105"/>
      <c r="AR399" s="106"/>
      <c r="AS399" s="107"/>
      <c r="AT399" s="67"/>
      <c r="AV399" s="105"/>
      <c r="AW399" s="108"/>
      <c r="AX399" s="109"/>
      <c r="AY399" s="110"/>
      <c r="AZ399" s="67"/>
      <c r="BB399" s="111"/>
      <c r="BC399" s="33"/>
      <c r="BD399" s="33"/>
      <c r="BE399" s="33"/>
      <c r="BI399" s="33"/>
      <c r="BJ399" s="33"/>
      <c r="BK399" s="33"/>
      <c r="BL399" s="33"/>
      <c r="BM399" s="33"/>
      <c r="BN399" s="33"/>
      <c r="BO399" s="33"/>
      <c r="BP399" s="33"/>
    </row>
    <row r="400" spans="1:68" ht="15" customHeight="1">
      <c r="A400" s="23" t="s">
        <v>1714</v>
      </c>
      <c r="B400" s="23" t="s">
        <v>1908</v>
      </c>
      <c r="C400" s="23" t="s">
        <v>1975</v>
      </c>
      <c r="D400" s="55">
        <v>117</v>
      </c>
      <c r="E400" s="33">
        <v>2</v>
      </c>
      <c r="F400" s="33"/>
      <c r="G400" s="33" t="s">
        <v>1747</v>
      </c>
      <c r="H400" s="33"/>
      <c r="I400" s="33"/>
      <c r="J400" s="33" t="s">
        <v>257</v>
      </c>
      <c r="K400" s="33" t="s">
        <v>26</v>
      </c>
      <c r="L400" s="33">
        <v>0</v>
      </c>
      <c r="M400" s="33"/>
      <c r="N400" s="104">
        <v>1</v>
      </c>
      <c r="O400" s="105"/>
      <c r="P400" s="106"/>
      <c r="Q400" s="107"/>
      <c r="R400" s="67"/>
      <c r="U400" s="105"/>
      <c r="V400" s="108"/>
      <c r="W400" s="109"/>
      <c r="X400" s="110"/>
      <c r="Y400" s="67"/>
      <c r="AA400" s="111"/>
      <c r="AB400" s="52" t="s">
        <v>204</v>
      </c>
      <c r="AC400" s="33"/>
      <c r="AD400" s="33" t="s">
        <v>265</v>
      </c>
      <c r="AF400" s="23" t="s">
        <v>1748</v>
      </c>
      <c r="AH400" s="33"/>
      <c r="AI400" s="33"/>
      <c r="AJ400" s="33"/>
      <c r="AK400" s="33"/>
      <c r="AL400" s="33"/>
      <c r="AM400" s="33"/>
      <c r="AN400" s="33"/>
      <c r="AO400" s="33"/>
      <c r="AP400" s="112"/>
      <c r="AQ400" s="105"/>
      <c r="AR400" s="106"/>
      <c r="AS400" s="107"/>
      <c r="AT400" s="67"/>
      <c r="AV400" s="105"/>
      <c r="AW400" s="108"/>
      <c r="AX400" s="109"/>
      <c r="AY400" s="110"/>
      <c r="AZ400" s="67"/>
      <c r="BB400" s="111"/>
      <c r="BC400" s="33"/>
      <c r="BD400" s="33"/>
      <c r="BE400" s="33"/>
      <c r="BI400" s="33"/>
      <c r="BJ400" s="33"/>
      <c r="BK400" s="33"/>
      <c r="BL400" s="33"/>
      <c r="BM400" s="33"/>
      <c r="BN400" s="33"/>
      <c r="BO400" s="33"/>
      <c r="BP400" s="33"/>
    </row>
    <row r="401" spans="1:68" ht="15" customHeight="1">
      <c r="A401" s="23" t="s">
        <v>1714</v>
      </c>
      <c r="B401" s="23" t="s">
        <v>1909</v>
      </c>
      <c r="C401" s="23" t="s">
        <v>1975</v>
      </c>
      <c r="D401" s="55">
        <v>118</v>
      </c>
      <c r="E401" s="33">
        <v>1</v>
      </c>
      <c r="F401" s="33" t="s">
        <v>1715</v>
      </c>
      <c r="G401" s="33" t="s">
        <v>1715</v>
      </c>
      <c r="H401" s="33" t="s">
        <v>709</v>
      </c>
      <c r="I401" s="33"/>
      <c r="J401" s="33" t="s">
        <v>618</v>
      </c>
      <c r="K401" s="33"/>
      <c r="L401" s="33"/>
      <c r="N401" s="104"/>
      <c r="O401" s="105"/>
      <c r="P401" s="106"/>
      <c r="Q401" s="107"/>
      <c r="R401" s="67"/>
      <c r="U401" s="105"/>
      <c r="V401" s="108"/>
      <c r="W401" s="109"/>
      <c r="X401" s="110"/>
      <c r="Y401" s="67"/>
      <c r="AA401" s="111"/>
      <c r="AB401" s="52"/>
      <c r="AC401" s="33"/>
      <c r="AD401" s="33"/>
      <c r="AF401" s="23" t="s">
        <v>1749</v>
      </c>
      <c r="AH401" s="33"/>
      <c r="AI401" s="33" t="s">
        <v>1715</v>
      </c>
      <c r="AJ401" s="33" t="s">
        <v>710</v>
      </c>
      <c r="AK401" s="33"/>
      <c r="AL401" s="33" t="s">
        <v>618</v>
      </c>
      <c r="AM401" s="33"/>
      <c r="AN401" s="33"/>
      <c r="AO401" s="33"/>
      <c r="AP401" s="112"/>
      <c r="AQ401" s="105"/>
      <c r="AR401" s="106"/>
      <c r="AS401" s="107"/>
      <c r="AT401" s="67"/>
      <c r="AV401" s="105"/>
      <c r="AW401" s="108"/>
      <c r="AX401" s="109"/>
      <c r="AY401" s="110"/>
      <c r="AZ401" s="67"/>
      <c r="BB401" s="111"/>
      <c r="BC401" s="33"/>
      <c r="BD401" s="33"/>
      <c r="BE401" s="33"/>
      <c r="BG401" s="23" t="s">
        <v>1862</v>
      </c>
      <c r="BI401" s="33"/>
      <c r="BJ401" s="33"/>
      <c r="BK401" s="33"/>
      <c r="BL401" s="33"/>
      <c r="BM401" s="33"/>
      <c r="BN401" s="33"/>
      <c r="BO401" s="33"/>
      <c r="BP401" s="33"/>
    </row>
    <row r="402" spans="1:68" ht="15" customHeight="1">
      <c r="A402" s="23" t="s">
        <v>1714</v>
      </c>
      <c r="B402" s="23" t="s">
        <v>1910</v>
      </c>
      <c r="C402" s="23" t="s">
        <v>1975</v>
      </c>
      <c r="D402" s="55">
        <v>119</v>
      </c>
      <c r="E402" s="33">
        <v>1</v>
      </c>
      <c r="F402" s="33" t="s">
        <v>1715</v>
      </c>
      <c r="G402" s="33" t="s">
        <v>1750</v>
      </c>
      <c r="H402" s="33"/>
      <c r="I402" s="33"/>
      <c r="J402" s="33" t="s">
        <v>619</v>
      </c>
      <c r="K402" s="33"/>
      <c r="L402" s="33">
        <v>1</v>
      </c>
      <c r="M402" s="33"/>
      <c r="N402" s="104"/>
      <c r="O402" s="105"/>
      <c r="P402" s="106"/>
      <c r="Q402" s="107"/>
      <c r="R402" s="67"/>
      <c r="U402" s="105"/>
      <c r="V402" s="108"/>
      <c r="W402" s="109"/>
      <c r="X402" s="110"/>
      <c r="Y402" s="67"/>
      <c r="Z402" s="68">
        <v>5</v>
      </c>
      <c r="AA402" s="111"/>
      <c r="AB402" s="52"/>
      <c r="AC402" s="33"/>
      <c r="AD402" s="33"/>
      <c r="AF402" s="23" t="s">
        <v>1751</v>
      </c>
      <c r="AH402" s="33"/>
      <c r="AI402" s="33" t="s">
        <v>1863</v>
      </c>
      <c r="AJ402" s="33"/>
      <c r="AK402" s="33"/>
      <c r="AL402" s="33" t="s">
        <v>619</v>
      </c>
      <c r="AM402" s="33"/>
      <c r="AN402" s="33">
        <v>1</v>
      </c>
      <c r="AO402" s="33"/>
      <c r="AP402" s="112"/>
      <c r="AQ402" s="105"/>
      <c r="AR402" s="106"/>
      <c r="AS402" s="107"/>
      <c r="AT402" s="67"/>
      <c r="AV402" s="105"/>
      <c r="AW402" s="108"/>
      <c r="AX402" s="109"/>
      <c r="AY402" s="110"/>
      <c r="AZ402" s="67"/>
      <c r="BB402" s="111"/>
      <c r="BC402" s="33"/>
      <c r="BD402" s="33"/>
      <c r="BE402" s="33"/>
      <c r="BG402" s="23" t="s">
        <v>1864</v>
      </c>
      <c r="BI402" s="33"/>
      <c r="BJ402" s="33"/>
      <c r="BK402" s="33"/>
      <c r="BL402" s="33"/>
      <c r="BM402" s="33"/>
      <c r="BN402" s="33"/>
      <c r="BO402" s="33"/>
      <c r="BP402" s="33"/>
    </row>
    <row r="403" spans="1:68" ht="15" customHeight="1">
      <c r="A403" s="23" t="s">
        <v>1714</v>
      </c>
      <c r="B403" s="23" t="s">
        <v>1911</v>
      </c>
      <c r="C403" s="23" t="s">
        <v>1975</v>
      </c>
      <c r="D403" s="55">
        <v>120</v>
      </c>
      <c r="E403" s="33">
        <v>1</v>
      </c>
      <c r="F403" s="33" t="s">
        <v>1715</v>
      </c>
      <c r="G403" s="33" t="s">
        <v>1752</v>
      </c>
      <c r="H403" s="33"/>
      <c r="I403" s="33"/>
      <c r="J403" s="33" t="s">
        <v>619</v>
      </c>
      <c r="K403" s="33"/>
      <c r="L403" s="33">
        <v>2</v>
      </c>
      <c r="M403" s="33"/>
      <c r="N403" s="104"/>
      <c r="O403" s="105"/>
      <c r="P403" s="106"/>
      <c r="Q403" s="107"/>
      <c r="R403" s="67"/>
      <c r="U403" s="105"/>
      <c r="V403" s="108"/>
      <c r="W403" s="109"/>
      <c r="X403" s="110"/>
      <c r="Y403" s="67"/>
      <c r="Z403" s="68">
        <v>7</v>
      </c>
      <c r="AA403" s="111"/>
      <c r="AB403" s="52"/>
      <c r="AC403" s="33"/>
      <c r="AD403" s="33"/>
      <c r="AF403" s="23" t="s">
        <v>1751</v>
      </c>
      <c r="AH403" s="33"/>
      <c r="AI403" s="33" t="s">
        <v>1674</v>
      </c>
      <c r="AJ403" s="33"/>
      <c r="AK403" s="33"/>
      <c r="AL403" s="33" t="s">
        <v>619</v>
      </c>
      <c r="AM403" s="33"/>
      <c r="AN403" s="33">
        <v>2</v>
      </c>
      <c r="AO403" s="33"/>
      <c r="AP403" s="112"/>
      <c r="AQ403" s="105"/>
      <c r="AR403" s="106"/>
      <c r="AS403" s="107"/>
      <c r="AT403" s="67"/>
      <c r="AV403" s="105"/>
      <c r="AW403" s="108"/>
      <c r="AX403" s="109"/>
      <c r="AY403" s="110"/>
      <c r="AZ403" s="67"/>
      <c r="BB403" s="111"/>
      <c r="BC403" s="33"/>
      <c r="BD403" s="33"/>
      <c r="BE403" s="33"/>
      <c r="BG403" s="23" t="s">
        <v>1864</v>
      </c>
      <c r="BI403" s="33"/>
      <c r="BJ403" s="33"/>
      <c r="BK403" s="33"/>
      <c r="BL403" s="33"/>
      <c r="BM403" s="33"/>
      <c r="BN403" s="33"/>
      <c r="BO403" s="33"/>
      <c r="BP403" s="33"/>
    </row>
    <row r="404" spans="1:68" ht="15" customHeight="1">
      <c r="A404" s="23" t="s">
        <v>1714</v>
      </c>
      <c r="B404" s="23" t="s">
        <v>1912</v>
      </c>
      <c r="C404" s="23" t="s">
        <v>1975</v>
      </c>
      <c r="D404" s="55">
        <v>121</v>
      </c>
      <c r="E404" s="33">
        <v>1</v>
      </c>
      <c r="F404" s="33" t="s">
        <v>1715</v>
      </c>
      <c r="G404" s="33" t="s">
        <v>1753</v>
      </c>
      <c r="H404" s="33"/>
      <c r="I404" s="33"/>
      <c r="J404" s="33" t="s">
        <v>619</v>
      </c>
      <c r="K404" s="33"/>
      <c r="L404" s="33">
        <v>3</v>
      </c>
      <c r="M404" s="33"/>
      <c r="N404" s="104"/>
      <c r="O404" s="105"/>
      <c r="P404" s="106"/>
      <c r="Q404" s="107"/>
      <c r="R404" s="67"/>
      <c r="U404" s="105"/>
      <c r="V404" s="108"/>
      <c r="W404" s="109"/>
      <c r="X404" s="110"/>
      <c r="Y404" s="67"/>
      <c r="Z404" s="68">
        <v>7</v>
      </c>
      <c r="AA404" s="111"/>
      <c r="AB404" s="52"/>
      <c r="AC404" s="33"/>
      <c r="AD404" s="33"/>
      <c r="AF404" s="23" t="s">
        <v>1751</v>
      </c>
      <c r="AH404" s="33"/>
      <c r="AI404" s="33" t="s">
        <v>1866</v>
      </c>
      <c r="AJ404" s="33"/>
      <c r="AK404" s="33"/>
      <c r="AL404" s="33" t="s">
        <v>619</v>
      </c>
      <c r="AM404" s="33"/>
      <c r="AN404" s="33">
        <v>3</v>
      </c>
      <c r="AO404" s="33"/>
      <c r="AP404" s="112"/>
      <c r="AQ404" s="105"/>
      <c r="AR404" s="106"/>
      <c r="AS404" s="107"/>
      <c r="AT404" s="67"/>
      <c r="AV404" s="105"/>
      <c r="AW404" s="108"/>
      <c r="AX404" s="109"/>
      <c r="AY404" s="110"/>
      <c r="AZ404" s="67"/>
      <c r="BB404" s="111"/>
      <c r="BC404" s="33"/>
      <c r="BD404" s="33"/>
      <c r="BE404" s="33"/>
      <c r="BG404" s="23" t="s">
        <v>1867</v>
      </c>
      <c r="BI404" s="33"/>
      <c r="BJ404" s="33"/>
      <c r="BK404" s="33"/>
      <c r="BL404" s="33"/>
      <c r="BM404" s="33"/>
      <c r="BN404" s="33"/>
      <c r="BO404" s="33"/>
      <c r="BP404" s="33"/>
    </row>
    <row r="405" spans="1:68" ht="15" customHeight="1">
      <c r="A405" s="23" t="s">
        <v>1714</v>
      </c>
      <c r="B405" s="23" t="s">
        <v>1913</v>
      </c>
      <c r="C405" s="23" t="s">
        <v>1975</v>
      </c>
      <c r="D405" s="55">
        <v>122</v>
      </c>
      <c r="E405" s="33">
        <v>1</v>
      </c>
      <c r="F405" s="33" t="s">
        <v>1715</v>
      </c>
      <c r="G405" s="33" t="s">
        <v>1754</v>
      </c>
      <c r="H405" s="33"/>
      <c r="I405" s="33"/>
      <c r="J405" s="33" t="s">
        <v>621</v>
      </c>
      <c r="K405" s="33"/>
      <c r="L405" s="33">
        <v>1</v>
      </c>
      <c r="M405" s="33"/>
      <c r="N405" s="104"/>
      <c r="O405" s="105"/>
      <c r="P405" s="106"/>
      <c r="Q405" s="107"/>
      <c r="R405" s="67"/>
      <c r="U405" s="105"/>
      <c r="V405" s="108"/>
      <c r="W405" s="109"/>
      <c r="X405" s="110"/>
      <c r="Y405" s="67">
        <v>2</v>
      </c>
      <c r="AA405" s="111"/>
      <c r="AB405" s="52"/>
      <c r="AC405" s="33"/>
      <c r="AD405" s="33"/>
      <c r="AH405" s="33"/>
      <c r="AI405" s="33" t="s">
        <v>1865</v>
      </c>
      <c r="AJ405" s="33"/>
      <c r="AK405" s="33"/>
      <c r="AL405" s="33" t="s">
        <v>621</v>
      </c>
      <c r="AM405" s="33"/>
      <c r="AN405" s="33">
        <v>1</v>
      </c>
      <c r="AO405" s="33"/>
      <c r="AP405" s="112"/>
      <c r="AQ405" s="105"/>
      <c r="AR405" s="106"/>
      <c r="AS405" s="107"/>
      <c r="AT405" s="67"/>
      <c r="AV405" s="105"/>
      <c r="AW405" s="108"/>
      <c r="AX405" s="109"/>
      <c r="AY405" s="110"/>
      <c r="AZ405" s="67"/>
      <c r="BB405" s="111"/>
      <c r="BC405" s="33"/>
      <c r="BD405" s="33"/>
      <c r="BE405" s="33"/>
      <c r="BG405" s="23" t="s">
        <v>1868</v>
      </c>
      <c r="BI405" s="33"/>
      <c r="BJ405" s="33"/>
      <c r="BK405" s="33"/>
      <c r="BL405" s="33"/>
      <c r="BM405" s="33"/>
      <c r="BN405" s="33"/>
      <c r="BO405" s="33"/>
      <c r="BP405" s="33"/>
    </row>
    <row r="406" spans="1:68" ht="15" customHeight="1">
      <c r="A406" s="23" t="s">
        <v>1714</v>
      </c>
      <c r="B406" s="23" t="s">
        <v>1914</v>
      </c>
      <c r="C406" s="23" t="s">
        <v>1975</v>
      </c>
      <c r="D406" s="55">
        <v>123</v>
      </c>
      <c r="E406" s="33">
        <v>1</v>
      </c>
      <c r="F406" s="33" t="s">
        <v>1715</v>
      </c>
      <c r="G406" s="33" t="s">
        <v>1755</v>
      </c>
      <c r="H406" s="33"/>
      <c r="I406" s="33"/>
      <c r="J406" s="33" t="s">
        <v>621</v>
      </c>
      <c r="K406" s="33"/>
      <c r="L406" s="33">
        <v>2</v>
      </c>
      <c r="M406" s="33"/>
      <c r="N406" s="104"/>
      <c r="O406" s="105"/>
      <c r="P406" s="106"/>
      <c r="Q406" s="107"/>
      <c r="R406" s="67"/>
      <c r="U406" s="105"/>
      <c r="V406" s="108"/>
      <c r="W406" s="109"/>
      <c r="X406" s="110"/>
      <c r="Y406" s="67" t="s">
        <v>38</v>
      </c>
      <c r="AA406" s="111"/>
      <c r="AB406" s="52"/>
      <c r="AC406" s="33"/>
      <c r="AD406" s="33"/>
      <c r="AF406" s="23" t="s">
        <v>1756</v>
      </c>
      <c r="AH406" s="33"/>
      <c r="AI406" s="33" t="s">
        <v>1869</v>
      </c>
      <c r="AJ406" s="33"/>
      <c r="AK406" s="33"/>
      <c r="AL406" s="33" t="s">
        <v>621</v>
      </c>
      <c r="AM406" s="33"/>
      <c r="AN406" s="33">
        <v>2</v>
      </c>
      <c r="AO406" s="33"/>
      <c r="AP406" s="112"/>
      <c r="AQ406" s="105"/>
      <c r="AR406" s="106"/>
      <c r="AS406" s="107"/>
      <c r="AT406" s="67"/>
      <c r="AV406" s="105"/>
      <c r="AW406" s="108"/>
      <c r="AX406" s="109"/>
      <c r="AY406" s="110"/>
      <c r="AZ406" s="67"/>
      <c r="BB406" s="111"/>
      <c r="BC406" s="33"/>
      <c r="BD406" s="33"/>
      <c r="BE406" s="33"/>
      <c r="BG406" s="23" t="s">
        <v>1870</v>
      </c>
      <c r="BI406" s="33"/>
      <c r="BJ406" s="33"/>
      <c r="BK406" s="33"/>
      <c r="BL406" s="33"/>
      <c r="BM406" s="33"/>
      <c r="BN406" s="33"/>
      <c r="BO406" s="33"/>
      <c r="BP406" s="33"/>
    </row>
    <row r="407" spans="1:68" ht="15" customHeight="1">
      <c r="A407" s="23" t="s">
        <v>1714</v>
      </c>
      <c r="B407" s="23" t="s">
        <v>1915</v>
      </c>
      <c r="C407" s="23" t="s">
        <v>1975</v>
      </c>
      <c r="D407" s="55">
        <v>124</v>
      </c>
      <c r="E407" s="33">
        <v>1</v>
      </c>
      <c r="F407" s="33" t="s">
        <v>1715</v>
      </c>
      <c r="G407" s="33" t="s">
        <v>1757</v>
      </c>
      <c r="H407" s="33"/>
      <c r="I407" s="33"/>
      <c r="J407" s="33" t="s">
        <v>621</v>
      </c>
      <c r="K407" s="33"/>
      <c r="L407" s="33">
        <v>2</v>
      </c>
      <c r="M407" s="33"/>
      <c r="N407" s="104"/>
      <c r="O407" s="105"/>
      <c r="P407" s="106"/>
      <c r="Q407" s="107"/>
      <c r="R407" s="67"/>
      <c r="U407" s="105"/>
      <c r="V407" s="108"/>
      <c r="W407" s="109"/>
      <c r="X407" s="110"/>
      <c r="Y407" s="67" t="s">
        <v>38</v>
      </c>
      <c r="AA407" s="111"/>
      <c r="AB407" s="52"/>
      <c r="AC407" s="33"/>
      <c r="AD407" s="33"/>
      <c r="AF407" s="23" t="s">
        <v>1756</v>
      </c>
      <c r="AH407" s="33"/>
      <c r="AI407" s="33" t="s">
        <v>1871</v>
      </c>
      <c r="AJ407" s="33"/>
      <c r="AK407" s="33"/>
      <c r="AL407" s="33" t="s">
        <v>621</v>
      </c>
      <c r="AM407" s="33"/>
      <c r="AN407" s="33">
        <v>2</v>
      </c>
      <c r="AO407" s="33"/>
      <c r="AP407" s="112"/>
      <c r="AQ407" s="105"/>
      <c r="AR407" s="106"/>
      <c r="AS407" s="107"/>
      <c r="AT407" s="67"/>
      <c r="AV407" s="105"/>
      <c r="AW407" s="108"/>
      <c r="AX407" s="109"/>
      <c r="AY407" s="110"/>
      <c r="AZ407" s="67"/>
      <c r="BB407" s="111"/>
      <c r="BC407" s="33"/>
      <c r="BD407" s="33"/>
      <c r="BE407" s="33"/>
      <c r="BG407" s="23" t="s">
        <v>1872</v>
      </c>
      <c r="BI407" s="33"/>
      <c r="BJ407" s="33"/>
      <c r="BK407" s="33"/>
      <c r="BL407" s="33"/>
      <c r="BM407" s="33"/>
      <c r="BN407" s="33"/>
      <c r="BO407" s="33"/>
      <c r="BP407" s="33"/>
    </row>
    <row r="408" spans="1:68" ht="15" customHeight="1">
      <c r="A408" s="23" t="s">
        <v>1714</v>
      </c>
      <c r="B408" s="23" t="s">
        <v>1916</v>
      </c>
      <c r="C408" s="23" t="s">
        <v>1975</v>
      </c>
      <c r="D408" s="55">
        <v>125</v>
      </c>
      <c r="E408" s="33">
        <v>1</v>
      </c>
      <c r="F408" s="33" t="s">
        <v>1715</v>
      </c>
      <c r="G408" s="33" t="s">
        <v>1758</v>
      </c>
      <c r="H408" s="33"/>
      <c r="I408" s="33"/>
      <c r="J408" s="33" t="s">
        <v>621</v>
      </c>
      <c r="K408" s="33"/>
      <c r="L408" s="33">
        <v>3</v>
      </c>
      <c r="M408" s="33"/>
      <c r="N408" s="104"/>
      <c r="O408" s="105"/>
      <c r="P408" s="106"/>
      <c r="Q408" s="107"/>
      <c r="R408" s="67"/>
      <c r="U408" s="105"/>
      <c r="V408" s="108"/>
      <c r="W408" s="109"/>
      <c r="X408" s="110"/>
      <c r="Y408" s="67" t="s">
        <v>38</v>
      </c>
      <c r="AA408" s="111"/>
      <c r="AB408" s="52"/>
      <c r="AC408" s="33"/>
      <c r="AD408" s="33"/>
      <c r="AF408" s="23" t="s">
        <v>1759</v>
      </c>
      <c r="AH408" s="33"/>
      <c r="AI408" s="33" t="s">
        <v>267</v>
      </c>
      <c r="AJ408" s="33"/>
      <c r="AK408" s="33"/>
      <c r="AL408" s="33" t="s">
        <v>621</v>
      </c>
      <c r="AM408" s="33"/>
      <c r="AN408" s="33">
        <v>3</v>
      </c>
      <c r="AO408" s="33"/>
      <c r="AP408" s="112"/>
      <c r="AQ408" s="105"/>
      <c r="AR408" s="106"/>
      <c r="AS408" s="107"/>
      <c r="AT408" s="67"/>
      <c r="AV408" s="105"/>
      <c r="AW408" s="108"/>
      <c r="AX408" s="109"/>
      <c r="AY408" s="110"/>
      <c r="AZ408" s="67"/>
      <c r="BB408" s="111"/>
      <c r="BC408" s="33"/>
      <c r="BD408" s="33"/>
      <c r="BE408" s="33"/>
      <c r="BG408" s="23" t="s">
        <v>1873</v>
      </c>
      <c r="BI408" s="33"/>
      <c r="BJ408" s="33"/>
      <c r="BK408" s="33"/>
      <c r="BL408" s="33"/>
      <c r="BM408" s="33"/>
      <c r="BN408" s="33"/>
      <c r="BO408" s="33"/>
      <c r="BP408" s="33"/>
    </row>
    <row r="409" spans="1:68" ht="15" customHeight="1">
      <c r="A409" s="23" t="s">
        <v>1714</v>
      </c>
      <c r="B409" s="23" t="s">
        <v>1917</v>
      </c>
      <c r="C409" s="23" t="s">
        <v>1975</v>
      </c>
      <c r="D409" s="55">
        <v>126</v>
      </c>
      <c r="E409" s="33">
        <v>1</v>
      </c>
      <c r="F409" s="33" t="s">
        <v>1715</v>
      </c>
      <c r="G409" s="33" t="s">
        <v>1760</v>
      </c>
      <c r="H409" s="33"/>
      <c r="I409" s="33"/>
      <c r="J409" s="33" t="s">
        <v>31</v>
      </c>
      <c r="K409" s="33"/>
      <c r="L409" s="33"/>
      <c r="M409" s="33"/>
      <c r="N409" s="104"/>
      <c r="O409" s="105"/>
      <c r="P409" s="106"/>
      <c r="Q409" s="107"/>
      <c r="R409" s="67"/>
      <c r="U409" s="105"/>
      <c r="V409" s="108"/>
      <c r="W409" s="109"/>
      <c r="X409" s="110"/>
      <c r="Y409" s="67"/>
      <c r="AA409" s="111"/>
      <c r="AB409" s="52"/>
      <c r="AC409" s="33"/>
      <c r="AD409" s="33" t="s">
        <v>242</v>
      </c>
      <c r="AH409" s="33"/>
      <c r="AI409" s="33" t="s">
        <v>1760</v>
      </c>
      <c r="AJ409" s="33"/>
      <c r="AK409" s="33"/>
      <c r="AL409" s="33" t="s">
        <v>31</v>
      </c>
      <c r="AM409" s="33"/>
      <c r="AN409" s="33"/>
      <c r="AO409" s="33"/>
      <c r="AP409" s="112"/>
      <c r="AQ409" s="105"/>
      <c r="AR409" s="106"/>
      <c r="AS409" s="107"/>
      <c r="AT409" s="67"/>
      <c r="AV409" s="105"/>
      <c r="AW409" s="108"/>
      <c r="AX409" s="109"/>
      <c r="AY409" s="110">
        <v>3</v>
      </c>
      <c r="AZ409" s="67">
        <v>2</v>
      </c>
      <c r="BB409" s="111"/>
      <c r="BC409" s="33"/>
      <c r="BD409" s="33"/>
      <c r="BE409" s="33" t="s">
        <v>242</v>
      </c>
      <c r="BG409" s="23" t="s">
        <v>1761</v>
      </c>
      <c r="BI409" s="33"/>
      <c r="BJ409" s="33"/>
      <c r="BK409" s="33"/>
      <c r="BL409" s="33"/>
      <c r="BM409" s="33"/>
      <c r="BN409" s="33"/>
      <c r="BO409" s="33"/>
      <c r="BP409" s="33"/>
    </row>
    <row r="410" spans="1:68" ht="15" customHeight="1">
      <c r="A410" s="23" t="s">
        <v>1714</v>
      </c>
      <c r="B410" s="23" t="s">
        <v>1918</v>
      </c>
      <c r="C410" s="23" t="s">
        <v>1975</v>
      </c>
      <c r="D410" s="55">
        <v>127</v>
      </c>
      <c r="E410" s="33">
        <v>1</v>
      </c>
      <c r="F410" s="33" t="s">
        <v>1715</v>
      </c>
      <c r="G410" s="33" t="s">
        <v>1762</v>
      </c>
      <c r="H410" s="33"/>
      <c r="I410" s="33"/>
      <c r="J410" s="33" t="s">
        <v>31</v>
      </c>
      <c r="K410" s="33"/>
      <c r="L410" s="33"/>
      <c r="M410" s="33"/>
      <c r="N410" s="104"/>
      <c r="O410" s="105"/>
      <c r="P410" s="106"/>
      <c r="Q410" s="107"/>
      <c r="R410" s="67"/>
      <c r="U410" s="105"/>
      <c r="V410" s="108"/>
      <c r="W410" s="109"/>
      <c r="X410" s="110"/>
      <c r="Y410" s="67"/>
      <c r="AA410" s="111"/>
      <c r="AB410" s="52"/>
      <c r="AC410" s="33"/>
      <c r="AD410" s="33" t="s">
        <v>242</v>
      </c>
      <c r="AH410" s="33"/>
      <c r="AI410" s="33" t="s">
        <v>1762</v>
      </c>
      <c r="AJ410" s="33"/>
      <c r="AK410" s="33"/>
      <c r="AL410" s="33" t="s">
        <v>31</v>
      </c>
      <c r="AM410" s="33"/>
      <c r="AN410" s="33"/>
      <c r="AO410" s="33"/>
      <c r="AP410" s="112"/>
      <c r="AQ410" s="105"/>
      <c r="AR410" s="106"/>
      <c r="AS410" s="107"/>
      <c r="AT410" s="67"/>
      <c r="AV410" s="105"/>
      <c r="AW410" s="108"/>
      <c r="AX410" s="109"/>
      <c r="AY410" s="110">
        <v>2</v>
      </c>
      <c r="AZ410" s="67">
        <v>0</v>
      </c>
      <c r="BB410" s="111"/>
      <c r="BC410" s="33"/>
      <c r="BD410" s="33"/>
      <c r="BE410" s="33" t="s">
        <v>242</v>
      </c>
      <c r="BG410" s="23" t="s">
        <v>1763</v>
      </c>
      <c r="BI410" s="33"/>
      <c r="BJ410" s="33"/>
      <c r="BK410" s="33"/>
      <c r="BL410" s="33"/>
      <c r="BM410" s="33"/>
      <c r="BN410" s="33"/>
      <c r="BO410" s="33"/>
      <c r="BP410" s="33"/>
    </row>
    <row r="411" spans="1:68" ht="15" customHeight="1">
      <c r="A411" s="23" t="s">
        <v>1714</v>
      </c>
      <c r="B411" s="23" t="s">
        <v>1919</v>
      </c>
      <c r="C411" s="23" t="s">
        <v>1975</v>
      </c>
      <c r="D411" s="55">
        <v>128</v>
      </c>
      <c r="E411" s="33">
        <v>1</v>
      </c>
      <c r="F411" s="33" t="s">
        <v>1715</v>
      </c>
      <c r="G411" s="33" t="s">
        <v>1764</v>
      </c>
      <c r="H411" s="33"/>
      <c r="I411" s="33"/>
      <c r="J411" s="33" t="s">
        <v>31</v>
      </c>
      <c r="K411" s="33"/>
      <c r="L411" s="33"/>
      <c r="M411" s="33"/>
      <c r="N411" s="104"/>
      <c r="O411" s="105"/>
      <c r="P411" s="106"/>
      <c r="Q411" s="107"/>
      <c r="R411" s="67"/>
      <c r="U411" s="105"/>
      <c r="V411" s="108"/>
      <c r="W411" s="109"/>
      <c r="X411" s="110"/>
      <c r="Y411" s="67"/>
      <c r="AA411" s="111"/>
      <c r="AB411" s="52"/>
      <c r="AC411" s="33"/>
      <c r="AD411" s="33" t="s">
        <v>242</v>
      </c>
      <c r="AH411" s="33"/>
      <c r="AI411" s="33" t="s">
        <v>1764</v>
      </c>
      <c r="AJ411" s="33"/>
      <c r="AK411" s="33"/>
      <c r="AL411" s="33" t="s">
        <v>31</v>
      </c>
      <c r="AM411" s="33"/>
      <c r="AN411" s="33"/>
      <c r="AO411" s="33"/>
      <c r="AP411" s="112"/>
      <c r="AQ411" s="105"/>
      <c r="AR411" s="106"/>
      <c r="AS411" s="107"/>
      <c r="AT411" s="67"/>
      <c r="AV411" s="105"/>
      <c r="AW411" s="108"/>
      <c r="AX411" s="109"/>
      <c r="AY411" s="110">
        <v>2</v>
      </c>
      <c r="AZ411" s="29" t="s">
        <v>1073</v>
      </c>
      <c r="BB411" s="111"/>
      <c r="BC411" s="33"/>
      <c r="BD411" s="33"/>
      <c r="BE411" s="33" t="s">
        <v>242</v>
      </c>
      <c r="BG411" s="23" t="s">
        <v>1765</v>
      </c>
      <c r="BI411" s="33"/>
      <c r="BJ411" s="33"/>
      <c r="BK411" s="33"/>
      <c r="BL411" s="33"/>
      <c r="BM411" s="33"/>
      <c r="BN411" s="33"/>
      <c r="BO411" s="33"/>
      <c r="BP411" s="33"/>
    </row>
    <row r="412" spans="1:68" ht="15" customHeight="1">
      <c r="A412" s="23" t="s">
        <v>1714</v>
      </c>
      <c r="B412" s="23" t="s">
        <v>1920</v>
      </c>
      <c r="C412" s="23" t="s">
        <v>1975</v>
      </c>
      <c r="D412" s="55">
        <v>129</v>
      </c>
      <c r="E412" s="33">
        <v>1</v>
      </c>
      <c r="F412" s="33" t="s">
        <v>1715</v>
      </c>
      <c r="G412" s="33" t="s">
        <v>1764</v>
      </c>
      <c r="H412" s="33"/>
      <c r="I412" s="33"/>
      <c r="J412" s="33" t="s">
        <v>31</v>
      </c>
      <c r="K412" s="33"/>
      <c r="L412" s="33"/>
      <c r="M412" s="33"/>
      <c r="N412" s="104"/>
      <c r="O412" s="105"/>
      <c r="P412" s="106"/>
      <c r="Q412" s="107"/>
      <c r="R412" s="67"/>
      <c r="U412" s="105"/>
      <c r="V412" s="108"/>
      <c r="W412" s="109"/>
      <c r="X412" s="110"/>
      <c r="Y412" s="67"/>
      <c r="AA412" s="111"/>
      <c r="AB412" s="52"/>
      <c r="AC412" s="33"/>
      <c r="AD412" s="33" t="s">
        <v>242</v>
      </c>
      <c r="AH412" s="33"/>
      <c r="AI412" s="33" t="s">
        <v>1764</v>
      </c>
      <c r="AJ412" s="33"/>
      <c r="AK412" s="33"/>
      <c r="AL412" s="33" t="s">
        <v>31</v>
      </c>
      <c r="AM412" s="33"/>
      <c r="AN412" s="33"/>
      <c r="AO412" s="33"/>
      <c r="AP412" s="112"/>
      <c r="AQ412" s="105"/>
      <c r="AR412" s="106"/>
      <c r="AS412" s="107"/>
      <c r="AT412" s="67"/>
      <c r="AV412" s="105"/>
      <c r="AW412" s="108"/>
      <c r="AX412" s="109"/>
      <c r="AY412" s="110">
        <v>3</v>
      </c>
      <c r="AZ412" s="67" t="s">
        <v>1111</v>
      </c>
      <c r="BB412" s="111"/>
      <c r="BC412" s="33"/>
      <c r="BD412" s="33"/>
      <c r="BE412" s="33" t="s">
        <v>242</v>
      </c>
      <c r="BG412" s="23" t="s">
        <v>1766</v>
      </c>
      <c r="BI412" s="33"/>
      <c r="BJ412" s="33"/>
      <c r="BK412" s="33"/>
      <c r="BL412" s="33"/>
      <c r="BM412" s="33"/>
      <c r="BN412" s="33"/>
      <c r="BO412" s="33"/>
      <c r="BP412" s="33"/>
    </row>
    <row r="413" spans="1:68" ht="15" customHeight="1">
      <c r="A413" s="23" t="s">
        <v>1714</v>
      </c>
      <c r="B413" s="23" t="s">
        <v>1921</v>
      </c>
      <c r="C413" s="23" t="s">
        <v>1975</v>
      </c>
      <c r="D413" s="55">
        <v>130</v>
      </c>
      <c r="E413" s="33">
        <v>1</v>
      </c>
      <c r="F413" s="33" t="s">
        <v>1715</v>
      </c>
      <c r="G413" s="33" t="s">
        <v>1767</v>
      </c>
      <c r="H413" s="33"/>
      <c r="I413" s="33"/>
      <c r="J413" s="33" t="s">
        <v>31</v>
      </c>
      <c r="K413" s="33"/>
      <c r="L413" s="33"/>
      <c r="M413" s="33"/>
      <c r="N413" s="104"/>
      <c r="O413" s="105"/>
      <c r="P413" s="106"/>
      <c r="Q413" s="107"/>
      <c r="R413" s="67"/>
      <c r="U413" s="105"/>
      <c r="V413" s="108"/>
      <c r="W413" s="109"/>
      <c r="X413" s="110"/>
      <c r="Y413" s="67"/>
      <c r="AA413" s="111"/>
      <c r="AB413" s="52"/>
      <c r="AC413" s="33"/>
      <c r="AD413" s="33" t="s">
        <v>242</v>
      </c>
      <c r="AH413" s="33"/>
      <c r="AI413" s="33" t="s">
        <v>1767</v>
      </c>
      <c r="AJ413" s="33"/>
      <c r="AK413" s="33"/>
      <c r="AL413" s="33" t="s">
        <v>31</v>
      </c>
      <c r="AM413" s="33"/>
      <c r="AN413" s="33"/>
      <c r="AO413" s="33"/>
      <c r="AP413" s="112"/>
      <c r="AQ413" s="105"/>
      <c r="AR413" s="106"/>
      <c r="AS413" s="107"/>
      <c r="AT413" s="67"/>
      <c r="AV413" s="105"/>
      <c r="AW413" s="108"/>
      <c r="AX413" s="109"/>
      <c r="AY413" s="110">
        <v>1</v>
      </c>
      <c r="AZ413" s="29" t="s">
        <v>1073</v>
      </c>
      <c r="BB413" s="111"/>
      <c r="BC413" s="33"/>
      <c r="BD413" s="33"/>
      <c r="BE413" s="33" t="s">
        <v>242</v>
      </c>
      <c r="BG413" s="23" t="s">
        <v>1768</v>
      </c>
      <c r="BI413" s="33"/>
      <c r="BJ413" s="33"/>
      <c r="BK413" s="33"/>
      <c r="BL413" s="33"/>
      <c r="BM413" s="33"/>
      <c r="BN413" s="33"/>
      <c r="BO413" s="33"/>
      <c r="BP413" s="33"/>
    </row>
    <row r="414" spans="1:68" ht="15" customHeight="1">
      <c r="A414" s="23" t="s">
        <v>1714</v>
      </c>
      <c r="B414" s="23" t="s">
        <v>1922</v>
      </c>
      <c r="C414" s="23" t="s">
        <v>1975</v>
      </c>
      <c r="D414" s="55">
        <v>131</v>
      </c>
      <c r="E414" s="33">
        <v>1</v>
      </c>
      <c r="F414" s="33" t="s">
        <v>1715</v>
      </c>
      <c r="G414" s="33" t="s">
        <v>1767</v>
      </c>
      <c r="H414" s="33"/>
      <c r="I414" s="33"/>
      <c r="J414" s="33" t="s">
        <v>31</v>
      </c>
      <c r="K414" s="33"/>
      <c r="L414" s="33"/>
      <c r="M414" s="33"/>
      <c r="N414" s="104"/>
      <c r="O414" s="105"/>
      <c r="P414" s="106"/>
      <c r="Q414" s="107"/>
      <c r="R414" s="67"/>
      <c r="U414" s="105"/>
      <c r="V414" s="108"/>
      <c r="W414" s="109"/>
      <c r="X414" s="110"/>
      <c r="Y414" s="67"/>
      <c r="AA414" s="111"/>
      <c r="AB414" s="52"/>
      <c r="AC414" s="33"/>
      <c r="AD414" s="33" t="s">
        <v>242</v>
      </c>
      <c r="AH414" s="33"/>
      <c r="AI414" s="33" t="s">
        <v>1767</v>
      </c>
      <c r="AJ414" s="33"/>
      <c r="AK414" s="33"/>
      <c r="AL414" s="33" t="s">
        <v>31</v>
      </c>
      <c r="AM414" s="33"/>
      <c r="AN414" s="33"/>
      <c r="AO414" s="33"/>
      <c r="AP414" s="112"/>
      <c r="AQ414" s="105"/>
      <c r="AR414" s="106"/>
      <c r="AS414" s="107"/>
      <c r="AT414" s="67"/>
      <c r="AV414" s="105"/>
      <c r="AW414" s="108"/>
      <c r="AX414" s="109"/>
      <c r="AY414" s="110">
        <v>2</v>
      </c>
      <c r="AZ414" s="67" t="s">
        <v>1111</v>
      </c>
      <c r="BB414" s="111"/>
      <c r="BC414" s="33"/>
      <c r="BD414" s="33"/>
      <c r="BE414" s="33" t="s">
        <v>242</v>
      </c>
      <c r="BG414" s="23" t="s">
        <v>1769</v>
      </c>
      <c r="BI414" s="33"/>
      <c r="BJ414" s="33"/>
      <c r="BK414" s="33"/>
      <c r="BL414" s="33"/>
      <c r="BM414" s="33"/>
      <c r="BN414" s="33"/>
      <c r="BO414" s="33"/>
      <c r="BP414" s="33"/>
    </row>
    <row r="415" spans="1:68" ht="15" customHeight="1">
      <c r="A415" s="23" t="s">
        <v>1714</v>
      </c>
      <c r="B415" s="23" t="s">
        <v>1923</v>
      </c>
      <c r="C415" s="23" t="s">
        <v>1975</v>
      </c>
      <c r="D415" s="55">
        <v>132</v>
      </c>
      <c r="E415" s="33">
        <v>1</v>
      </c>
      <c r="F415" s="33" t="s">
        <v>1715</v>
      </c>
      <c r="G415" s="33" t="s">
        <v>1770</v>
      </c>
      <c r="I415" s="33"/>
      <c r="J415" s="33" t="s">
        <v>31</v>
      </c>
      <c r="K415" s="33"/>
      <c r="L415" s="33"/>
      <c r="M415" s="33"/>
      <c r="N415" s="104"/>
      <c r="O415" s="105"/>
      <c r="P415" s="106"/>
      <c r="Q415" s="107"/>
      <c r="R415" s="67"/>
      <c r="U415" s="105"/>
      <c r="V415" s="108"/>
      <c r="W415" s="109"/>
      <c r="X415" s="110"/>
      <c r="Y415" s="67"/>
      <c r="AA415" s="111"/>
      <c r="AB415" s="52"/>
      <c r="AC415" s="33"/>
      <c r="AD415" s="33" t="s">
        <v>1772</v>
      </c>
      <c r="AH415" s="33"/>
      <c r="AI415" s="33" t="s">
        <v>1770</v>
      </c>
      <c r="AJ415" s="33" t="s">
        <v>1771</v>
      </c>
      <c r="AK415" s="33"/>
      <c r="AL415" s="33" t="s">
        <v>31</v>
      </c>
      <c r="AM415" s="33"/>
      <c r="AN415" s="33"/>
      <c r="AO415" s="33"/>
      <c r="AP415" s="112"/>
      <c r="AQ415" s="105"/>
      <c r="AR415" s="106"/>
      <c r="AS415" s="107"/>
      <c r="AT415" s="67"/>
      <c r="AV415" s="105"/>
      <c r="AW415" s="108"/>
      <c r="AX415" s="109"/>
      <c r="AY415" s="110">
        <v>1</v>
      </c>
      <c r="AZ415" s="67">
        <v>0</v>
      </c>
      <c r="BB415" s="111"/>
      <c r="BC415" s="33"/>
      <c r="BD415" s="33"/>
      <c r="BE415" s="33" t="s">
        <v>1772</v>
      </c>
      <c r="BG415" s="23" t="s">
        <v>1773</v>
      </c>
      <c r="BI415" s="33"/>
      <c r="BJ415" s="33"/>
      <c r="BK415" s="33"/>
      <c r="BL415" s="33"/>
      <c r="BM415" s="33"/>
      <c r="BN415" s="33"/>
      <c r="BO415" s="33"/>
      <c r="BP415" s="33"/>
    </row>
    <row r="416" spans="1:68" ht="15" customHeight="1">
      <c r="A416" s="23" t="s">
        <v>1714</v>
      </c>
      <c r="B416" s="23" t="s">
        <v>1924</v>
      </c>
      <c r="C416" s="23" t="s">
        <v>1975</v>
      </c>
      <c r="D416" s="55">
        <v>133</v>
      </c>
      <c r="E416" s="33">
        <v>1</v>
      </c>
      <c r="F416" s="33" t="s">
        <v>1715</v>
      </c>
      <c r="G416" s="33" t="s">
        <v>1770</v>
      </c>
      <c r="I416" s="33"/>
      <c r="J416" s="33" t="s">
        <v>31</v>
      </c>
      <c r="K416" s="33"/>
      <c r="L416" s="33"/>
      <c r="M416" s="33"/>
      <c r="N416" s="104"/>
      <c r="O416" s="105"/>
      <c r="P416" s="106"/>
      <c r="Q416" s="107"/>
      <c r="R416" s="67"/>
      <c r="U416" s="105"/>
      <c r="V416" s="108"/>
      <c r="W416" s="109"/>
      <c r="X416" s="110"/>
      <c r="Y416" s="67"/>
      <c r="AA416" s="111"/>
      <c r="AB416" s="52"/>
      <c r="AC416" s="33"/>
      <c r="AD416" s="33" t="s">
        <v>1772</v>
      </c>
      <c r="AH416" s="33"/>
      <c r="AI416" s="33" t="s">
        <v>1770</v>
      </c>
      <c r="AJ416" s="33" t="s">
        <v>1774</v>
      </c>
      <c r="AK416" s="33"/>
      <c r="AL416" s="33" t="s">
        <v>31</v>
      </c>
      <c r="AM416" s="33"/>
      <c r="AN416" s="33"/>
      <c r="AO416" s="33"/>
      <c r="AP416" s="112"/>
      <c r="AQ416" s="105"/>
      <c r="AR416" s="106"/>
      <c r="AS416" s="107"/>
      <c r="AT416" s="67"/>
      <c r="AV416" s="105"/>
      <c r="AW416" s="108"/>
      <c r="AX416" s="109"/>
      <c r="AY416" s="110">
        <v>2</v>
      </c>
      <c r="AZ416" s="29" t="s">
        <v>1073</v>
      </c>
      <c r="BB416" s="111">
        <v>1</v>
      </c>
      <c r="BC416" s="33"/>
      <c r="BD416" s="33"/>
      <c r="BE416" s="33" t="s">
        <v>1772</v>
      </c>
      <c r="BG416" s="23" t="s">
        <v>1775</v>
      </c>
      <c r="BI416" s="33"/>
      <c r="BJ416" s="33"/>
      <c r="BK416" s="33"/>
      <c r="BL416" s="33"/>
      <c r="BM416" s="33"/>
      <c r="BN416" s="33"/>
      <c r="BO416" s="33"/>
      <c r="BP416" s="33"/>
    </row>
    <row r="417" spans="1:68" ht="15" customHeight="1">
      <c r="A417" s="23" t="s">
        <v>1714</v>
      </c>
      <c r="B417" s="23" t="s">
        <v>1925</v>
      </c>
      <c r="C417" s="23" t="s">
        <v>1975</v>
      </c>
      <c r="D417" s="55">
        <v>134</v>
      </c>
      <c r="E417" s="33">
        <v>1</v>
      </c>
      <c r="F417" s="33" t="s">
        <v>1715</v>
      </c>
      <c r="G417" s="33" t="s">
        <v>1770</v>
      </c>
      <c r="I417" s="33"/>
      <c r="J417" s="33" t="s">
        <v>31</v>
      </c>
      <c r="K417" s="33"/>
      <c r="L417" s="33"/>
      <c r="M417" s="33"/>
      <c r="N417" s="104"/>
      <c r="O417" s="105"/>
      <c r="P417" s="106"/>
      <c r="Q417" s="107"/>
      <c r="R417" s="67"/>
      <c r="U417" s="105"/>
      <c r="V417" s="108"/>
      <c r="W417" s="109"/>
      <c r="X417" s="110"/>
      <c r="Y417" s="67"/>
      <c r="AA417" s="111"/>
      <c r="AB417" s="52"/>
      <c r="AC417" s="33"/>
      <c r="AD417" s="33" t="s">
        <v>1772</v>
      </c>
      <c r="AH417" s="33"/>
      <c r="AI417" s="33" t="s">
        <v>1770</v>
      </c>
      <c r="AJ417" s="33" t="s">
        <v>1776</v>
      </c>
      <c r="AK417" s="33"/>
      <c r="AL417" s="33" t="s">
        <v>31</v>
      </c>
      <c r="AM417" s="33"/>
      <c r="AN417" s="33"/>
      <c r="AO417" s="33"/>
      <c r="AP417" s="112"/>
      <c r="AQ417" s="105"/>
      <c r="AR417" s="106"/>
      <c r="AS417" s="107"/>
      <c r="AT417" s="67"/>
      <c r="AV417" s="105"/>
      <c r="AW417" s="108"/>
      <c r="AX417" s="109"/>
      <c r="AY417" s="110">
        <v>4</v>
      </c>
      <c r="AZ417" s="29" t="s">
        <v>1073</v>
      </c>
      <c r="BB417" s="111">
        <v>1</v>
      </c>
      <c r="BC417" s="33"/>
      <c r="BD417" s="33"/>
      <c r="BE417" s="33" t="s">
        <v>1772</v>
      </c>
      <c r="BG417" s="23" t="s">
        <v>1777</v>
      </c>
      <c r="BI417" s="33"/>
      <c r="BJ417" s="33"/>
      <c r="BK417" s="33"/>
      <c r="BL417" s="33"/>
      <c r="BM417" s="33"/>
      <c r="BN417" s="33"/>
      <c r="BO417" s="33"/>
      <c r="BP417" s="33"/>
    </row>
    <row r="418" spans="1:68" ht="15" customHeight="1">
      <c r="A418" s="23" t="s">
        <v>1714</v>
      </c>
      <c r="B418" s="23" t="s">
        <v>1926</v>
      </c>
      <c r="C418" s="23" t="s">
        <v>1975</v>
      </c>
      <c r="D418" s="55">
        <v>135</v>
      </c>
      <c r="E418" s="33">
        <v>1</v>
      </c>
      <c r="F418" s="33" t="s">
        <v>1715</v>
      </c>
      <c r="G418" s="33" t="s">
        <v>1770</v>
      </c>
      <c r="I418" s="33"/>
      <c r="J418" s="33" t="s">
        <v>31</v>
      </c>
      <c r="K418" s="33"/>
      <c r="L418" s="33"/>
      <c r="M418" s="33"/>
      <c r="N418" s="104"/>
      <c r="O418" s="105"/>
      <c r="P418" s="106"/>
      <c r="Q418" s="107"/>
      <c r="R418" s="67"/>
      <c r="U418" s="105"/>
      <c r="V418" s="108"/>
      <c r="W418" s="109"/>
      <c r="X418" s="110"/>
      <c r="Y418" s="67"/>
      <c r="AA418" s="111"/>
      <c r="AB418" s="52"/>
      <c r="AC418" s="33"/>
      <c r="AD418" s="33" t="s">
        <v>1772</v>
      </c>
      <c r="AH418" s="33"/>
      <c r="AI418" s="33" t="s">
        <v>1770</v>
      </c>
      <c r="AJ418" s="33" t="s">
        <v>1778</v>
      </c>
      <c r="AK418" s="33"/>
      <c r="AL418" s="33" t="s">
        <v>31</v>
      </c>
      <c r="AM418" s="33"/>
      <c r="AN418" s="33"/>
      <c r="AO418" s="33"/>
      <c r="AP418" s="112"/>
      <c r="AQ418" s="105"/>
      <c r="AR418" s="106"/>
      <c r="AS418" s="107"/>
      <c r="AT418" s="67"/>
      <c r="AV418" s="105"/>
      <c r="AW418" s="108"/>
      <c r="AX418" s="109"/>
      <c r="AY418" s="110">
        <v>3</v>
      </c>
      <c r="AZ418" s="67" t="s">
        <v>1111</v>
      </c>
      <c r="BB418" s="111">
        <v>1</v>
      </c>
      <c r="BC418" s="33"/>
      <c r="BD418" s="33"/>
      <c r="BE418" s="33" t="s">
        <v>1772</v>
      </c>
      <c r="BG418" s="23" t="s">
        <v>1779</v>
      </c>
      <c r="BI418" s="33"/>
      <c r="BJ418" s="33"/>
      <c r="BK418" s="33"/>
      <c r="BL418" s="33"/>
      <c r="BM418" s="33"/>
      <c r="BN418" s="33"/>
      <c r="BO418" s="33"/>
      <c r="BP418" s="33"/>
    </row>
    <row r="419" spans="1:68" ht="15" customHeight="1">
      <c r="A419" s="23" t="s">
        <v>1714</v>
      </c>
      <c r="B419" s="23" t="s">
        <v>1927</v>
      </c>
      <c r="C419" s="23" t="s">
        <v>1975</v>
      </c>
      <c r="D419" s="55">
        <v>136</v>
      </c>
      <c r="E419" s="33">
        <v>1</v>
      </c>
      <c r="F419" s="33" t="s">
        <v>1715</v>
      </c>
      <c r="G419" s="33" t="s">
        <v>1770</v>
      </c>
      <c r="I419" s="33"/>
      <c r="J419" s="33" t="s">
        <v>31</v>
      </c>
      <c r="K419" s="33"/>
      <c r="L419" s="33"/>
      <c r="M419" s="33"/>
      <c r="N419" s="104"/>
      <c r="O419" s="105"/>
      <c r="P419" s="106"/>
      <c r="Q419" s="107"/>
      <c r="R419" s="67"/>
      <c r="U419" s="105"/>
      <c r="V419" s="108"/>
      <c r="W419" s="109"/>
      <c r="X419" s="110"/>
      <c r="Y419" s="67"/>
      <c r="AA419" s="111"/>
      <c r="AB419" s="52"/>
      <c r="AC419" s="33"/>
      <c r="AD419" s="33" t="s">
        <v>1772</v>
      </c>
      <c r="AH419" s="33"/>
      <c r="AI419" s="33" t="s">
        <v>1770</v>
      </c>
      <c r="AJ419" s="33" t="s">
        <v>1780</v>
      </c>
      <c r="AK419" s="33"/>
      <c r="AL419" s="33" t="s">
        <v>31</v>
      </c>
      <c r="AM419" s="33"/>
      <c r="AN419" s="33"/>
      <c r="AO419" s="33"/>
      <c r="AP419" s="112"/>
      <c r="AQ419" s="105"/>
      <c r="AR419" s="106"/>
      <c r="AS419" s="107"/>
      <c r="AT419" s="67"/>
      <c r="AV419" s="105"/>
      <c r="AW419" s="108"/>
      <c r="AX419" s="109"/>
      <c r="AY419" s="110">
        <v>3</v>
      </c>
      <c r="AZ419" s="67" t="s">
        <v>1111</v>
      </c>
      <c r="BB419" s="111">
        <v>1</v>
      </c>
      <c r="BC419" s="33"/>
      <c r="BD419" s="33"/>
      <c r="BE419" s="33" t="s">
        <v>1772</v>
      </c>
      <c r="BG419" s="23" t="s">
        <v>1781</v>
      </c>
      <c r="BI419" s="33"/>
      <c r="BJ419" s="33"/>
      <c r="BK419" s="33"/>
      <c r="BL419" s="33"/>
      <c r="BM419" s="33"/>
      <c r="BN419" s="33"/>
      <c r="BO419" s="33"/>
      <c r="BP419" s="33"/>
    </row>
    <row r="420" spans="1:68" ht="15" customHeight="1">
      <c r="A420" s="23" t="s">
        <v>1714</v>
      </c>
      <c r="B420" s="23" t="s">
        <v>1928</v>
      </c>
      <c r="C420" s="23" t="s">
        <v>1975</v>
      </c>
      <c r="D420" s="55">
        <v>137</v>
      </c>
      <c r="E420" s="33">
        <v>1</v>
      </c>
      <c r="F420" s="33" t="s">
        <v>1715</v>
      </c>
      <c r="G420" s="33" t="s">
        <v>1770</v>
      </c>
      <c r="I420" s="33"/>
      <c r="J420" s="33" t="s">
        <v>31</v>
      </c>
      <c r="K420" s="33"/>
      <c r="L420" s="33"/>
      <c r="M420" s="33"/>
      <c r="N420" s="104"/>
      <c r="O420" s="105"/>
      <c r="P420" s="106"/>
      <c r="Q420" s="107"/>
      <c r="R420" s="67"/>
      <c r="U420" s="105"/>
      <c r="V420" s="108"/>
      <c r="W420" s="109"/>
      <c r="X420" s="110"/>
      <c r="Y420" s="67"/>
      <c r="AA420" s="111"/>
      <c r="AB420" s="52"/>
      <c r="AC420" s="33"/>
      <c r="AD420" s="33" t="s">
        <v>1772</v>
      </c>
      <c r="AH420" s="33"/>
      <c r="AI420" s="33" t="s">
        <v>1770</v>
      </c>
      <c r="AJ420" s="33" t="s">
        <v>1782</v>
      </c>
      <c r="AK420" s="33"/>
      <c r="AL420" s="33" t="s">
        <v>31</v>
      </c>
      <c r="AM420" s="33"/>
      <c r="AN420" s="33"/>
      <c r="AO420" s="33"/>
      <c r="AP420" s="112"/>
      <c r="AQ420" s="105"/>
      <c r="AR420" s="106"/>
      <c r="AS420" s="107"/>
      <c r="AT420" s="67"/>
      <c r="AV420" s="105"/>
      <c r="AW420" s="108"/>
      <c r="AX420" s="109"/>
      <c r="AY420" s="110">
        <v>3</v>
      </c>
      <c r="AZ420" s="67" t="s">
        <v>1111</v>
      </c>
      <c r="BB420" s="111">
        <v>1</v>
      </c>
      <c r="BC420" s="33"/>
      <c r="BD420" s="33"/>
      <c r="BE420" s="33" t="s">
        <v>1772</v>
      </c>
      <c r="BG420" s="23" t="s">
        <v>1783</v>
      </c>
      <c r="BI420" s="33"/>
      <c r="BJ420" s="33"/>
      <c r="BK420" s="33"/>
      <c r="BL420" s="33"/>
      <c r="BM420" s="33"/>
      <c r="BN420" s="33"/>
      <c r="BO420" s="33"/>
      <c r="BP420" s="33"/>
    </row>
    <row r="421" spans="1:68" ht="15" customHeight="1">
      <c r="A421" s="23" t="s">
        <v>1714</v>
      </c>
      <c r="B421" s="23" t="s">
        <v>1929</v>
      </c>
      <c r="C421" s="23" t="s">
        <v>1975</v>
      </c>
      <c r="D421" s="55">
        <v>138</v>
      </c>
      <c r="E421" s="33">
        <v>1</v>
      </c>
      <c r="F421" s="33" t="s">
        <v>1715</v>
      </c>
      <c r="G421" s="33" t="s">
        <v>1784</v>
      </c>
      <c r="H421" s="33" t="s">
        <v>1785</v>
      </c>
      <c r="I421" s="33" t="s">
        <v>223</v>
      </c>
      <c r="J421" s="33" t="s">
        <v>257</v>
      </c>
      <c r="K421" s="33" t="s">
        <v>26</v>
      </c>
      <c r="L421" s="33"/>
      <c r="M421" s="33"/>
      <c r="N421" s="104">
        <v>0</v>
      </c>
      <c r="O421" s="105"/>
      <c r="P421" s="106">
        <v>1</v>
      </c>
      <c r="Q421" s="107"/>
      <c r="R421" s="67"/>
      <c r="T421" s="68">
        <v>1</v>
      </c>
      <c r="U421" s="105">
        <v>1</v>
      </c>
      <c r="V421" s="108"/>
      <c r="W421" s="109"/>
      <c r="X421" s="110"/>
      <c r="Y421" s="67"/>
      <c r="AA421" s="111"/>
      <c r="AB421" s="52"/>
      <c r="AC421" s="33"/>
      <c r="AD421" s="33" t="s">
        <v>330</v>
      </c>
      <c r="AF421" s="23" t="s">
        <v>1786</v>
      </c>
      <c r="AH421" s="33"/>
      <c r="AI421" s="33"/>
      <c r="AJ421" s="33"/>
      <c r="AK421" s="33"/>
      <c r="AL421" s="33"/>
      <c r="AM421" s="33"/>
      <c r="AN421" s="33"/>
      <c r="AO421" s="33"/>
      <c r="AP421" s="112"/>
      <c r="AQ421" s="105"/>
      <c r="AR421" s="106"/>
      <c r="AS421" s="107"/>
      <c r="AT421" s="67"/>
      <c r="AV421" s="105"/>
      <c r="AW421" s="108"/>
      <c r="AX421" s="109"/>
      <c r="AY421" s="110"/>
      <c r="AZ421" s="67"/>
      <c r="BB421" s="111"/>
      <c r="BC421" s="33"/>
      <c r="BD421" s="33"/>
      <c r="BE421" s="33"/>
      <c r="BI421" s="33"/>
      <c r="BJ421" s="23" t="s">
        <v>1982</v>
      </c>
      <c r="BK421" s="33"/>
      <c r="BL421" s="33"/>
      <c r="BM421" s="33"/>
      <c r="BN421" s="33"/>
      <c r="BO421" s="33"/>
      <c r="BP421" s="33"/>
    </row>
    <row r="422" spans="1:68" ht="15" customHeight="1">
      <c r="A422" s="23" t="s">
        <v>1714</v>
      </c>
      <c r="B422" s="23" t="s">
        <v>1930</v>
      </c>
      <c r="C422" s="23" t="s">
        <v>1975</v>
      </c>
      <c r="D422" s="55">
        <v>139</v>
      </c>
      <c r="E422" s="33">
        <v>1</v>
      </c>
      <c r="F422" s="33" t="s">
        <v>1715</v>
      </c>
      <c r="G422" s="33" t="s">
        <v>1787</v>
      </c>
      <c r="H422" s="33" t="s">
        <v>1788</v>
      </c>
      <c r="I422" s="33" t="s">
        <v>223</v>
      </c>
      <c r="J422" s="33" t="s">
        <v>257</v>
      </c>
      <c r="K422" s="33" t="s">
        <v>26</v>
      </c>
      <c r="L422" s="33"/>
      <c r="M422" s="33"/>
      <c r="N422" s="104">
        <v>0</v>
      </c>
      <c r="O422" s="105"/>
      <c r="P422" s="106">
        <v>1</v>
      </c>
      <c r="Q422" s="107"/>
      <c r="R422" s="67">
        <v>1</v>
      </c>
      <c r="T422" s="68">
        <v>1</v>
      </c>
      <c r="U422" s="105">
        <v>1</v>
      </c>
      <c r="V422" s="108"/>
      <c r="W422" s="109"/>
      <c r="X422" s="110"/>
      <c r="Y422" s="67"/>
      <c r="AA422" s="111"/>
      <c r="AB422" s="52"/>
      <c r="AC422" s="33"/>
      <c r="AD422" s="33" t="s">
        <v>330</v>
      </c>
      <c r="AF422" s="23" t="s">
        <v>1789</v>
      </c>
      <c r="AH422" s="33"/>
      <c r="AI422" s="33"/>
      <c r="AJ422" s="33"/>
      <c r="AK422" s="33"/>
      <c r="AL422" s="33"/>
      <c r="AM422" s="33"/>
      <c r="AN422" s="33"/>
      <c r="AO422" s="33"/>
      <c r="AP422" s="112"/>
      <c r="AQ422" s="105"/>
      <c r="AR422" s="106"/>
      <c r="AS422" s="107"/>
      <c r="AT422" s="67"/>
      <c r="AV422" s="105"/>
      <c r="AW422" s="108"/>
      <c r="AX422" s="109"/>
      <c r="AY422" s="110"/>
      <c r="AZ422" s="67"/>
      <c r="BB422" s="111"/>
      <c r="BC422" s="33"/>
      <c r="BD422" s="33"/>
      <c r="BE422" s="33"/>
      <c r="BI422" s="33"/>
      <c r="BJ422" s="23" t="s">
        <v>1982</v>
      </c>
      <c r="BK422" s="33"/>
      <c r="BL422" s="33"/>
      <c r="BM422" s="33"/>
      <c r="BN422" s="33"/>
      <c r="BO422" s="33"/>
      <c r="BP422" s="33"/>
    </row>
    <row r="423" spans="1:68" ht="15" customHeight="1">
      <c r="A423" s="23" t="s">
        <v>1714</v>
      </c>
      <c r="B423" s="23" t="s">
        <v>1931</v>
      </c>
      <c r="C423" s="23" t="s">
        <v>1975</v>
      </c>
      <c r="D423" s="55">
        <v>140</v>
      </c>
      <c r="E423" s="33">
        <v>1</v>
      </c>
      <c r="F423" s="33" t="s">
        <v>1715</v>
      </c>
      <c r="G423" s="33" t="s">
        <v>267</v>
      </c>
      <c r="H423" s="33" t="s">
        <v>1790</v>
      </c>
      <c r="I423" s="33"/>
      <c r="J423" s="33" t="s">
        <v>257</v>
      </c>
      <c r="K423" s="33" t="s">
        <v>26</v>
      </c>
      <c r="L423" s="33"/>
      <c r="M423" s="33"/>
      <c r="N423" s="104">
        <v>2</v>
      </c>
      <c r="O423" s="105"/>
      <c r="P423" s="106">
        <v>1</v>
      </c>
      <c r="Q423" s="107">
        <v>1</v>
      </c>
      <c r="R423" s="67"/>
      <c r="U423" s="105"/>
      <c r="V423" s="108"/>
      <c r="W423" s="109"/>
      <c r="X423" s="110"/>
      <c r="Y423" s="67"/>
      <c r="AA423" s="111"/>
      <c r="AB423" s="52" t="s">
        <v>205</v>
      </c>
      <c r="AC423" s="33" t="s">
        <v>258</v>
      </c>
      <c r="AD423" s="33" t="s">
        <v>269</v>
      </c>
      <c r="AF423" s="23" t="s">
        <v>1791</v>
      </c>
      <c r="AH423" s="33"/>
      <c r="AI423" s="33"/>
      <c r="AJ423" s="33"/>
      <c r="AK423" s="33"/>
      <c r="AL423" s="33"/>
      <c r="AM423" s="33"/>
      <c r="AN423" s="33"/>
      <c r="AO423" s="33"/>
      <c r="AP423" s="112"/>
      <c r="AQ423" s="105"/>
      <c r="AR423" s="106"/>
      <c r="AS423" s="107"/>
      <c r="AT423" s="67"/>
      <c r="AV423" s="105"/>
      <c r="AW423" s="108"/>
      <c r="AX423" s="109"/>
      <c r="AY423" s="110"/>
      <c r="AZ423" s="67"/>
      <c r="BB423" s="111"/>
      <c r="BC423" s="33"/>
      <c r="BD423" s="33"/>
      <c r="BE423" s="33"/>
      <c r="BI423" s="33"/>
      <c r="BJ423" s="33"/>
      <c r="BK423" s="33"/>
      <c r="BL423" s="33"/>
      <c r="BM423" s="33"/>
      <c r="BN423" s="33"/>
      <c r="BO423" s="33"/>
      <c r="BP423" s="33"/>
    </row>
    <row r="424" spans="1:68" ht="15" customHeight="1">
      <c r="A424" s="23" t="s">
        <v>1714</v>
      </c>
      <c r="B424" s="23" t="s">
        <v>1932</v>
      </c>
      <c r="C424" s="23" t="s">
        <v>1975</v>
      </c>
      <c r="D424" s="55">
        <v>141</v>
      </c>
      <c r="E424" s="33">
        <v>1</v>
      </c>
      <c r="F424" s="33" t="s">
        <v>1715</v>
      </c>
      <c r="G424" s="33" t="s">
        <v>1792</v>
      </c>
      <c r="H424" s="33" t="s">
        <v>1793</v>
      </c>
      <c r="I424" s="33"/>
      <c r="J424" s="33" t="s">
        <v>29</v>
      </c>
      <c r="K424" s="33"/>
      <c r="L424" s="33"/>
      <c r="M424" s="33"/>
      <c r="N424" s="104"/>
      <c r="O424" s="105"/>
      <c r="P424" s="106"/>
      <c r="Q424" s="107">
        <v>2</v>
      </c>
      <c r="R424" s="67">
        <v>2</v>
      </c>
      <c r="T424" s="68">
        <v>3</v>
      </c>
      <c r="U424" s="105"/>
      <c r="V424" s="108">
        <v>1</v>
      </c>
      <c r="W424" s="109">
        <v>1</v>
      </c>
      <c r="X424" s="110"/>
      <c r="Y424" s="67"/>
      <c r="AA424" s="111"/>
      <c r="AB424" s="52"/>
      <c r="AC424" s="33"/>
      <c r="AD424" s="33" t="s">
        <v>1794</v>
      </c>
      <c r="AE424" s="24" t="s">
        <v>853</v>
      </c>
      <c r="AF424" s="23" t="s">
        <v>1981</v>
      </c>
      <c r="AH424" s="33"/>
      <c r="AI424" s="33"/>
      <c r="AJ424" s="33"/>
      <c r="AK424" s="33"/>
      <c r="AL424" s="33"/>
      <c r="AM424" s="33"/>
      <c r="AN424" s="33"/>
      <c r="AO424" s="33"/>
      <c r="AP424" s="112"/>
      <c r="AQ424" s="105"/>
      <c r="AR424" s="106"/>
      <c r="AS424" s="107"/>
      <c r="AT424" s="67"/>
      <c r="AV424" s="105"/>
      <c r="AW424" s="108"/>
      <c r="AX424" s="109"/>
      <c r="AY424" s="110"/>
      <c r="AZ424" s="67"/>
      <c r="BB424" s="111"/>
      <c r="BC424" s="33"/>
      <c r="BD424" s="33"/>
      <c r="BE424" s="33"/>
      <c r="BI424" s="33"/>
      <c r="BJ424" s="33"/>
      <c r="BK424" s="33"/>
      <c r="BL424" s="33"/>
      <c r="BM424" s="33"/>
      <c r="BN424" s="33"/>
      <c r="BO424" s="33"/>
      <c r="BP424" s="33"/>
    </row>
    <row r="425" spans="1:68" ht="15" customHeight="1">
      <c r="A425" s="23" t="s">
        <v>1714</v>
      </c>
      <c r="B425" s="23" t="s">
        <v>1933</v>
      </c>
      <c r="C425" s="23" t="s">
        <v>1975</v>
      </c>
      <c r="D425" s="55">
        <v>142</v>
      </c>
      <c r="E425" s="33">
        <v>1</v>
      </c>
      <c r="F425" s="33" t="s">
        <v>1715</v>
      </c>
      <c r="G425" s="33" t="s">
        <v>1795</v>
      </c>
      <c r="H425" s="33"/>
      <c r="I425" s="33"/>
      <c r="J425" s="33" t="s">
        <v>28</v>
      </c>
      <c r="K425" s="33"/>
      <c r="L425" s="33"/>
      <c r="M425" s="33"/>
      <c r="N425" s="104"/>
      <c r="O425" s="105"/>
      <c r="P425" s="106"/>
      <c r="Q425" s="107"/>
      <c r="R425" s="67"/>
      <c r="U425" s="105"/>
      <c r="V425" s="108"/>
      <c r="W425" s="109"/>
      <c r="X425" s="110"/>
      <c r="Y425" s="67"/>
      <c r="AA425" s="111"/>
      <c r="AB425" s="52"/>
      <c r="AC425" s="33"/>
      <c r="AD425" s="33" t="s">
        <v>1663</v>
      </c>
      <c r="AF425" s="23" t="s">
        <v>1796</v>
      </c>
      <c r="AH425" s="33"/>
      <c r="AI425" s="33"/>
      <c r="AJ425" s="33"/>
      <c r="AK425" s="33"/>
      <c r="AL425" s="33"/>
      <c r="AM425" s="33"/>
      <c r="AN425" s="33"/>
      <c r="AO425" s="33"/>
      <c r="AP425" s="112"/>
      <c r="AQ425" s="105"/>
      <c r="AR425" s="106"/>
      <c r="AS425" s="107"/>
      <c r="AT425" s="67"/>
      <c r="AV425" s="105"/>
      <c r="AW425" s="108"/>
      <c r="AX425" s="109"/>
      <c r="AY425" s="110"/>
      <c r="AZ425" s="67"/>
      <c r="BB425" s="111"/>
      <c r="BC425" s="33"/>
      <c r="BD425" s="33"/>
      <c r="BE425" s="33"/>
      <c r="BI425" s="33"/>
      <c r="BJ425" s="33"/>
      <c r="BK425" s="33"/>
      <c r="BL425" s="33"/>
      <c r="BM425" s="33"/>
      <c r="BN425" s="33"/>
      <c r="BO425" s="33"/>
      <c r="BP425" s="33"/>
    </row>
    <row r="426" spans="1:68" ht="15" customHeight="1">
      <c r="A426" s="23" t="s">
        <v>1714</v>
      </c>
      <c r="B426" s="23" t="s">
        <v>1934</v>
      </c>
      <c r="C426" s="23" t="s">
        <v>1975</v>
      </c>
      <c r="D426" s="55">
        <v>143</v>
      </c>
      <c r="E426" s="33">
        <v>2</v>
      </c>
      <c r="F426" s="33" t="s">
        <v>1715</v>
      </c>
      <c r="G426" s="33" t="s">
        <v>1797</v>
      </c>
      <c r="H426" s="33"/>
      <c r="I426" s="33"/>
      <c r="J426" s="33" t="s">
        <v>28</v>
      </c>
      <c r="K426" s="33"/>
      <c r="L426" s="33"/>
      <c r="M426" s="33"/>
      <c r="N426" s="104"/>
      <c r="O426" s="105"/>
      <c r="P426" s="106"/>
      <c r="Q426" s="107"/>
      <c r="R426" s="67"/>
      <c r="U426" s="105"/>
      <c r="V426" s="108"/>
      <c r="W426" s="109"/>
      <c r="X426" s="110"/>
      <c r="Y426" s="67"/>
      <c r="AA426" s="111"/>
      <c r="AB426" s="52"/>
      <c r="AC426" s="33"/>
      <c r="AD426" s="33" t="s">
        <v>307</v>
      </c>
      <c r="AF426" s="23" t="s">
        <v>1798</v>
      </c>
      <c r="AH426" s="33"/>
      <c r="AI426" s="33"/>
      <c r="AJ426" s="33"/>
      <c r="AK426" s="33"/>
      <c r="AL426" s="33"/>
      <c r="AM426" s="33"/>
      <c r="AN426" s="33"/>
      <c r="AO426" s="33"/>
      <c r="AP426" s="112"/>
      <c r="AQ426" s="105"/>
      <c r="AR426" s="106"/>
      <c r="AS426" s="107"/>
      <c r="AT426" s="67"/>
      <c r="AV426" s="105"/>
      <c r="AW426" s="108"/>
      <c r="AX426" s="109"/>
      <c r="AY426" s="110"/>
      <c r="AZ426" s="67"/>
      <c r="BB426" s="111"/>
      <c r="BC426" s="33"/>
      <c r="BD426" s="33"/>
      <c r="BE426" s="33"/>
      <c r="BI426" s="33"/>
      <c r="BJ426" s="33"/>
      <c r="BK426" s="33"/>
      <c r="BL426" s="33"/>
      <c r="BM426" s="33"/>
      <c r="BN426" s="33"/>
      <c r="BO426" s="33"/>
      <c r="BP426" s="33"/>
    </row>
    <row r="427" spans="1:68" ht="15" customHeight="1">
      <c r="A427" s="23" t="s">
        <v>1714</v>
      </c>
      <c r="B427" s="23" t="s">
        <v>1935</v>
      </c>
      <c r="C427" s="23" t="s">
        <v>1975</v>
      </c>
      <c r="D427" s="55">
        <v>144</v>
      </c>
      <c r="E427" s="33">
        <v>3</v>
      </c>
      <c r="F427" s="33" t="s">
        <v>1715</v>
      </c>
      <c r="G427" s="33" t="s">
        <v>1799</v>
      </c>
      <c r="H427" s="33"/>
      <c r="I427" s="33"/>
      <c r="J427" s="33" t="s">
        <v>28</v>
      </c>
      <c r="K427" s="33"/>
      <c r="L427" s="33"/>
      <c r="M427" s="33"/>
      <c r="N427" s="104"/>
      <c r="O427" s="105"/>
      <c r="P427" s="106"/>
      <c r="Q427" s="107"/>
      <c r="R427" s="67"/>
      <c r="U427" s="105"/>
      <c r="V427" s="108"/>
      <c r="W427" s="109"/>
      <c r="X427" s="110"/>
      <c r="Y427" s="67"/>
      <c r="AA427" s="111"/>
      <c r="AB427" s="52"/>
      <c r="AC427" s="33"/>
      <c r="AD427" s="33" t="s">
        <v>1663</v>
      </c>
      <c r="AF427" s="23" t="s">
        <v>1800</v>
      </c>
      <c r="AH427" s="33"/>
      <c r="AI427" s="33"/>
      <c r="AJ427" s="33"/>
      <c r="AK427" s="33"/>
      <c r="AL427" s="33"/>
      <c r="AM427" s="33"/>
      <c r="AN427" s="33"/>
      <c r="AO427" s="33"/>
      <c r="AP427" s="112"/>
      <c r="AQ427" s="105"/>
      <c r="AR427" s="106"/>
      <c r="AS427" s="107"/>
      <c r="AT427" s="67"/>
      <c r="AV427" s="105"/>
      <c r="AW427" s="108"/>
      <c r="AX427" s="109"/>
      <c r="AY427" s="110"/>
      <c r="AZ427" s="67"/>
      <c r="BB427" s="111"/>
      <c r="BC427" s="33"/>
      <c r="BD427" s="33"/>
      <c r="BE427" s="33"/>
      <c r="BI427" s="33"/>
      <c r="BJ427" s="33"/>
      <c r="BK427" s="33"/>
      <c r="BL427" s="33"/>
      <c r="BM427" s="33"/>
      <c r="BN427" s="33"/>
      <c r="BO427" s="33"/>
      <c r="BP427" s="33"/>
    </row>
    <row r="428" spans="1:68" ht="15" customHeight="1">
      <c r="A428" s="23" t="s">
        <v>1714</v>
      </c>
      <c r="B428" s="23" t="s">
        <v>1936</v>
      </c>
      <c r="C428" s="23" t="s">
        <v>1975</v>
      </c>
      <c r="D428" s="55">
        <v>145</v>
      </c>
      <c r="E428" s="33">
        <v>2</v>
      </c>
      <c r="F428" s="33" t="s">
        <v>1715</v>
      </c>
      <c r="G428" s="33" t="s">
        <v>1801</v>
      </c>
      <c r="H428" s="33"/>
      <c r="I428" s="33"/>
      <c r="J428" s="33" t="s">
        <v>28</v>
      </c>
      <c r="K428" s="33"/>
      <c r="L428" s="33"/>
      <c r="M428" s="33"/>
      <c r="N428" s="104"/>
      <c r="O428" s="105"/>
      <c r="P428" s="106"/>
      <c r="Q428" s="107"/>
      <c r="R428" s="67"/>
      <c r="U428" s="105"/>
      <c r="V428" s="108"/>
      <c r="W428" s="109"/>
      <c r="X428" s="110"/>
      <c r="Y428" s="67"/>
      <c r="AA428" s="111"/>
      <c r="AB428" s="52"/>
      <c r="AC428" s="33"/>
      <c r="AD428" s="33" t="s">
        <v>481</v>
      </c>
      <c r="AF428" s="23" t="s">
        <v>1802</v>
      </c>
      <c r="AH428" s="33"/>
      <c r="AI428" s="33"/>
      <c r="AJ428" s="33"/>
      <c r="AK428" s="33"/>
      <c r="AL428" s="33"/>
      <c r="AM428" s="33"/>
      <c r="AN428" s="33"/>
      <c r="AO428" s="33"/>
      <c r="AP428" s="112"/>
      <c r="AQ428" s="105"/>
      <c r="AR428" s="106"/>
      <c r="AS428" s="107"/>
      <c r="AT428" s="67"/>
      <c r="AV428" s="105"/>
      <c r="AW428" s="108"/>
      <c r="AX428" s="109"/>
      <c r="AY428" s="110"/>
      <c r="AZ428" s="67"/>
      <c r="BB428" s="111"/>
      <c r="BC428" s="33"/>
      <c r="BD428" s="33"/>
      <c r="BE428" s="33"/>
      <c r="BI428" s="33"/>
      <c r="BJ428" s="33"/>
      <c r="BK428" s="33"/>
      <c r="BL428" s="33"/>
      <c r="BM428" s="33"/>
      <c r="BN428" s="33"/>
      <c r="BO428" s="33"/>
      <c r="BP428" s="33"/>
    </row>
    <row r="429" spans="1:68" ht="15" customHeight="1">
      <c r="A429" s="23" t="s">
        <v>1714</v>
      </c>
      <c r="B429" s="23" t="s">
        <v>1937</v>
      </c>
      <c r="C429" s="23" t="s">
        <v>1975</v>
      </c>
      <c r="D429" s="55">
        <v>146</v>
      </c>
      <c r="E429" s="33">
        <v>2</v>
      </c>
      <c r="F429" s="33" t="s">
        <v>1715</v>
      </c>
      <c r="G429" s="33" t="s">
        <v>1803</v>
      </c>
      <c r="H429" s="33"/>
      <c r="I429" s="33"/>
      <c r="J429" s="33" t="s">
        <v>28</v>
      </c>
      <c r="K429" s="33"/>
      <c r="L429" s="33"/>
      <c r="M429" s="33"/>
      <c r="N429" s="104"/>
      <c r="O429" s="105"/>
      <c r="P429" s="106"/>
      <c r="Q429" s="107"/>
      <c r="R429" s="67"/>
      <c r="U429" s="105"/>
      <c r="V429" s="108"/>
      <c r="W429" s="109"/>
      <c r="X429" s="110"/>
      <c r="Y429" s="67"/>
      <c r="AA429" s="111"/>
      <c r="AB429" s="52"/>
      <c r="AC429" s="33"/>
      <c r="AD429" s="33"/>
      <c r="AF429" s="23" t="s">
        <v>1804</v>
      </c>
      <c r="AH429" s="33"/>
      <c r="AI429" s="33"/>
      <c r="AJ429" s="33"/>
      <c r="AK429" s="33"/>
      <c r="AL429" s="33"/>
      <c r="AM429" s="33"/>
      <c r="AN429" s="33"/>
      <c r="AO429" s="33"/>
      <c r="AP429" s="112"/>
      <c r="AQ429" s="105"/>
      <c r="AR429" s="106"/>
      <c r="AS429" s="107"/>
      <c r="AT429" s="67"/>
      <c r="AV429" s="105"/>
      <c r="AW429" s="108"/>
      <c r="AX429" s="109"/>
      <c r="AY429" s="110"/>
      <c r="AZ429" s="67"/>
      <c r="BB429" s="111"/>
      <c r="BC429" s="33"/>
      <c r="BD429" s="33"/>
      <c r="BE429" s="33"/>
      <c r="BI429" s="33"/>
      <c r="BJ429" s="33"/>
      <c r="BK429" s="33"/>
      <c r="BL429" s="33"/>
      <c r="BM429" s="33"/>
      <c r="BN429" s="33"/>
      <c r="BO429" s="33"/>
      <c r="BP429" s="33"/>
    </row>
    <row r="430" spans="1:68" s="33" customFormat="1" ht="15" customHeight="1">
      <c r="A430" s="54" t="s">
        <v>1717</v>
      </c>
      <c r="B430" s="114" t="s">
        <v>1938</v>
      </c>
      <c r="C430" s="54" t="s">
        <v>1976</v>
      </c>
      <c r="D430" s="53">
        <v>147</v>
      </c>
      <c r="E430" s="54">
        <v>2</v>
      </c>
      <c r="F430" s="54"/>
      <c r="G430" s="54" t="s">
        <v>1812</v>
      </c>
      <c r="J430" s="33" t="s">
        <v>257</v>
      </c>
      <c r="K430" s="33" t="s">
        <v>198</v>
      </c>
      <c r="N430" s="104">
        <v>2</v>
      </c>
      <c r="O430" s="105"/>
      <c r="P430" s="106"/>
      <c r="Q430" s="107"/>
      <c r="R430" s="67"/>
      <c r="S430" s="113"/>
      <c r="T430" s="68">
        <v>1</v>
      </c>
      <c r="U430" s="105" t="s">
        <v>38</v>
      </c>
      <c r="V430" s="108"/>
      <c r="W430" s="109"/>
      <c r="X430" s="110"/>
      <c r="Y430" s="67"/>
      <c r="Z430" s="68"/>
      <c r="AA430" s="111"/>
      <c r="AB430" s="52" t="s">
        <v>206</v>
      </c>
      <c r="AC430" s="33" t="s">
        <v>393</v>
      </c>
      <c r="AD430" s="33" t="s">
        <v>265</v>
      </c>
      <c r="AE430" s="24"/>
      <c r="AF430" s="23" t="s">
        <v>1839</v>
      </c>
      <c r="AG430" s="23"/>
      <c r="AP430" s="112"/>
      <c r="AQ430" s="105"/>
      <c r="AR430" s="106"/>
      <c r="AS430" s="107"/>
      <c r="AT430" s="67"/>
      <c r="AU430" s="68"/>
      <c r="AV430" s="105"/>
      <c r="AW430" s="108"/>
      <c r="AX430" s="109"/>
      <c r="AY430" s="110"/>
      <c r="AZ430" s="67"/>
      <c r="BA430" s="68"/>
      <c r="BB430" s="111"/>
      <c r="BF430" s="24"/>
      <c r="BG430" s="23"/>
      <c r="BH430" s="23"/>
    </row>
    <row r="431" spans="1:68" s="33" customFormat="1" ht="15" customHeight="1">
      <c r="A431" s="33" t="s">
        <v>1717</v>
      </c>
      <c r="B431" s="33" t="s">
        <v>1939</v>
      </c>
      <c r="C431" s="33" t="s">
        <v>1976</v>
      </c>
      <c r="D431" s="55">
        <v>148</v>
      </c>
      <c r="E431" s="33">
        <v>2</v>
      </c>
      <c r="G431" s="33" t="s">
        <v>1806</v>
      </c>
      <c r="J431" s="33" t="s">
        <v>27</v>
      </c>
      <c r="K431" s="33" t="s">
        <v>198</v>
      </c>
      <c r="L431" s="33">
        <v>3</v>
      </c>
      <c r="N431" s="104">
        <v>0</v>
      </c>
      <c r="O431" s="105"/>
      <c r="P431" s="106"/>
      <c r="Q431" s="107"/>
      <c r="R431" s="67"/>
      <c r="S431" s="113"/>
      <c r="T431" s="68"/>
      <c r="U431" s="105"/>
      <c r="V431" s="108"/>
      <c r="W431" s="109"/>
      <c r="X431" s="110"/>
      <c r="Y431" s="67"/>
      <c r="Z431" s="68"/>
      <c r="AA431" s="111"/>
      <c r="AB431" s="52" t="s">
        <v>1094</v>
      </c>
      <c r="AD431" s="33" t="s">
        <v>1805</v>
      </c>
      <c r="AE431" s="24"/>
      <c r="AF431" s="23" t="s">
        <v>1807</v>
      </c>
      <c r="AG431" s="23"/>
      <c r="AP431" s="112"/>
      <c r="AQ431" s="105"/>
      <c r="AR431" s="106"/>
      <c r="AS431" s="107"/>
      <c r="AT431" s="67"/>
      <c r="AU431" s="68"/>
      <c r="AV431" s="105"/>
      <c r="AW431" s="108"/>
      <c r="AX431" s="109"/>
      <c r="AY431" s="110"/>
      <c r="AZ431" s="67"/>
      <c r="BA431" s="68"/>
      <c r="BB431" s="111"/>
      <c r="BF431" s="24"/>
      <c r="BG431" s="23"/>
      <c r="BH431" s="23"/>
    </row>
    <row r="432" spans="1:68" s="33" customFormat="1" ht="15" customHeight="1">
      <c r="A432" s="33" t="s">
        <v>1717</v>
      </c>
      <c r="B432" s="33" t="s">
        <v>1940</v>
      </c>
      <c r="C432" s="33" t="s">
        <v>1976</v>
      </c>
      <c r="D432" s="55">
        <v>149</v>
      </c>
      <c r="E432" s="33">
        <v>2</v>
      </c>
      <c r="G432" s="33" t="s">
        <v>1813</v>
      </c>
      <c r="J432" s="33" t="s">
        <v>257</v>
      </c>
      <c r="K432" s="33" t="s">
        <v>199</v>
      </c>
      <c r="N432" s="104">
        <v>2</v>
      </c>
      <c r="O432" s="105"/>
      <c r="P432" s="106"/>
      <c r="Q432" s="107"/>
      <c r="R432" s="67"/>
      <c r="S432" s="113"/>
      <c r="T432" s="68">
        <v>1</v>
      </c>
      <c r="U432" s="105">
        <v>2</v>
      </c>
      <c r="V432" s="108"/>
      <c r="W432" s="109"/>
      <c r="X432" s="110"/>
      <c r="Y432" s="67"/>
      <c r="Z432" s="68"/>
      <c r="AA432" s="111"/>
      <c r="AB432" s="52" t="s">
        <v>1084</v>
      </c>
      <c r="AC432" s="33" t="s">
        <v>25</v>
      </c>
      <c r="AD432" s="33" t="s">
        <v>330</v>
      </c>
      <c r="AE432" s="24"/>
      <c r="AF432" s="23" t="s">
        <v>1840</v>
      </c>
      <c r="AG432" s="23"/>
      <c r="AP432" s="112"/>
      <c r="AQ432" s="105"/>
      <c r="AR432" s="106"/>
      <c r="AS432" s="107"/>
      <c r="AT432" s="67"/>
      <c r="AU432" s="68"/>
      <c r="AV432" s="105"/>
      <c r="AW432" s="108"/>
      <c r="AX432" s="109"/>
      <c r="AY432" s="110"/>
      <c r="AZ432" s="67"/>
      <c r="BA432" s="68"/>
      <c r="BB432" s="111"/>
      <c r="BF432" s="24"/>
      <c r="BG432" s="23"/>
      <c r="BH432" s="23"/>
    </row>
    <row r="433" spans="1:60" s="33" customFormat="1" ht="15" customHeight="1">
      <c r="A433" s="33" t="s">
        <v>1717</v>
      </c>
      <c r="B433" s="33" t="s">
        <v>1941</v>
      </c>
      <c r="C433" s="33" t="s">
        <v>1976</v>
      </c>
      <c r="D433" s="55">
        <v>150</v>
      </c>
      <c r="E433" s="33">
        <v>2</v>
      </c>
      <c r="G433" s="33" t="s">
        <v>346</v>
      </c>
      <c r="J433" s="33" t="s">
        <v>312</v>
      </c>
      <c r="K433" s="33" t="s">
        <v>199</v>
      </c>
      <c r="L433" s="33">
        <v>2</v>
      </c>
      <c r="N433" s="104"/>
      <c r="O433" s="105"/>
      <c r="P433" s="106"/>
      <c r="Q433" s="107"/>
      <c r="R433" s="67"/>
      <c r="S433" s="113"/>
      <c r="T433" s="68"/>
      <c r="U433" s="105"/>
      <c r="V433" s="108"/>
      <c r="W433" s="109"/>
      <c r="X433" s="110"/>
      <c r="Y433" s="67"/>
      <c r="Z433" s="68"/>
      <c r="AA433" s="111"/>
      <c r="AB433" s="52" t="s">
        <v>1084</v>
      </c>
      <c r="AD433" s="33" t="s">
        <v>1814</v>
      </c>
      <c r="AE433" s="24"/>
      <c r="AF433" s="23" t="s">
        <v>1815</v>
      </c>
      <c r="AG433" s="23"/>
      <c r="AP433" s="112"/>
      <c r="AQ433" s="105"/>
      <c r="AR433" s="106"/>
      <c r="AS433" s="107"/>
      <c r="AT433" s="67"/>
      <c r="AU433" s="68"/>
      <c r="AV433" s="105"/>
      <c r="AW433" s="108"/>
      <c r="AX433" s="109"/>
      <c r="AY433" s="110"/>
      <c r="AZ433" s="67"/>
      <c r="BA433" s="68"/>
      <c r="BB433" s="111"/>
      <c r="BF433" s="24"/>
      <c r="BG433" s="23"/>
      <c r="BH433" s="23"/>
    </row>
    <row r="434" spans="1:60" s="33" customFormat="1" ht="15" customHeight="1">
      <c r="A434" s="33" t="s">
        <v>1717</v>
      </c>
      <c r="B434" s="33" t="s">
        <v>1942</v>
      </c>
      <c r="C434" s="33" t="s">
        <v>1976</v>
      </c>
      <c r="D434" s="55">
        <v>151</v>
      </c>
      <c r="E434" s="33">
        <v>2</v>
      </c>
      <c r="G434" s="33" t="s">
        <v>1808</v>
      </c>
      <c r="J434" s="33" t="s">
        <v>27</v>
      </c>
      <c r="K434" s="33" t="s">
        <v>201</v>
      </c>
      <c r="N434" s="104">
        <v>0</v>
      </c>
      <c r="O434" s="105"/>
      <c r="P434" s="106"/>
      <c r="Q434" s="107"/>
      <c r="R434" s="67"/>
      <c r="S434" s="113"/>
      <c r="T434" s="68"/>
      <c r="U434" s="105"/>
      <c r="V434" s="108"/>
      <c r="W434" s="109"/>
      <c r="X434" s="110"/>
      <c r="Y434" s="67"/>
      <c r="Z434" s="68"/>
      <c r="AA434" s="111"/>
      <c r="AB434" s="52" t="s">
        <v>1095</v>
      </c>
      <c r="AD434" s="33" t="s">
        <v>1809</v>
      </c>
      <c r="AE434" s="24"/>
      <c r="AF434" s="23" t="s">
        <v>1810</v>
      </c>
      <c r="AG434" s="23"/>
      <c r="AP434" s="112"/>
      <c r="AQ434" s="105"/>
      <c r="AR434" s="106"/>
      <c r="AS434" s="107"/>
      <c r="AT434" s="67"/>
      <c r="AU434" s="68"/>
      <c r="AV434" s="105"/>
      <c r="AW434" s="108"/>
      <c r="AX434" s="109"/>
      <c r="AY434" s="110"/>
      <c r="AZ434" s="67"/>
      <c r="BA434" s="68"/>
      <c r="BB434" s="111"/>
      <c r="BF434" s="24"/>
      <c r="BG434" s="23"/>
      <c r="BH434" s="23"/>
    </row>
    <row r="435" spans="1:60" s="33" customFormat="1" ht="15" customHeight="1">
      <c r="A435" s="33" t="s">
        <v>1717</v>
      </c>
      <c r="B435" s="33" t="s">
        <v>1943</v>
      </c>
      <c r="C435" s="33" t="s">
        <v>1976</v>
      </c>
      <c r="D435" s="55">
        <v>152</v>
      </c>
      <c r="E435" s="33">
        <v>2</v>
      </c>
      <c r="G435" s="33" t="s">
        <v>351</v>
      </c>
      <c r="J435" s="33" t="s">
        <v>257</v>
      </c>
      <c r="K435" s="33" t="s">
        <v>201</v>
      </c>
      <c r="L435" s="33">
        <v>2</v>
      </c>
      <c r="N435" s="104">
        <v>1</v>
      </c>
      <c r="O435" s="105"/>
      <c r="P435" s="106"/>
      <c r="Q435" s="107"/>
      <c r="R435" s="67"/>
      <c r="S435" s="113"/>
      <c r="T435" s="68"/>
      <c r="U435" s="105"/>
      <c r="V435" s="108"/>
      <c r="W435" s="109"/>
      <c r="X435" s="110"/>
      <c r="Y435" s="67"/>
      <c r="Z435" s="68"/>
      <c r="AA435" s="111"/>
      <c r="AB435" s="52" t="s">
        <v>1087</v>
      </c>
      <c r="AC435" s="33" t="s">
        <v>258</v>
      </c>
      <c r="AD435" s="33" t="s">
        <v>352</v>
      </c>
      <c r="AE435" s="24"/>
      <c r="AF435" s="23" t="s">
        <v>1841</v>
      </c>
      <c r="AG435" s="23"/>
      <c r="AP435" s="112"/>
      <c r="AQ435" s="105"/>
      <c r="AR435" s="106"/>
      <c r="AS435" s="107"/>
      <c r="AT435" s="67"/>
      <c r="AU435" s="68"/>
      <c r="AV435" s="105"/>
      <c r="AW435" s="108"/>
      <c r="AX435" s="109"/>
      <c r="AY435" s="110"/>
      <c r="AZ435" s="67"/>
      <c r="BA435" s="68"/>
      <c r="BB435" s="111"/>
      <c r="BF435" s="24"/>
      <c r="BG435" s="23"/>
      <c r="BH435" s="23"/>
    </row>
    <row r="436" spans="1:60" s="33" customFormat="1" ht="15" customHeight="1">
      <c r="A436" s="33" t="s">
        <v>1717</v>
      </c>
      <c r="B436" s="33" t="s">
        <v>1944</v>
      </c>
      <c r="C436" s="33" t="s">
        <v>1976</v>
      </c>
      <c r="D436" s="55">
        <v>153</v>
      </c>
      <c r="E436" s="33">
        <v>2</v>
      </c>
      <c r="G436" s="33" t="s">
        <v>1816</v>
      </c>
      <c r="J436" s="33" t="s">
        <v>27</v>
      </c>
      <c r="K436" s="33" t="s">
        <v>200</v>
      </c>
      <c r="N436" s="104">
        <v>3</v>
      </c>
      <c r="O436" s="105"/>
      <c r="P436" s="106"/>
      <c r="Q436" s="107"/>
      <c r="R436" s="67"/>
      <c r="S436" s="113"/>
      <c r="T436" s="68"/>
      <c r="U436" s="105"/>
      <c r="V436" s="108"/>
      <c r="W436" s="109"/>
      <c r="X436" s="110"/>
      <c r="Y436" s="67"/>
      <c r="Z436" s="68"/>
      <c r="AA436" s="111"/>
      <c r="AB436" s="52" t="s">
        <v>1087</v>
      </c>
      <c r="AC436" s="33" t="s">
        <v>378</v>
      </c>
      <c r="AD436" s="33" t="s">
        <v>279</v>
      </c>
      <c r="AE436" s="24"/>
      <c r="AF436" s="23" t="s">
        <v>1842</v>
      </c>
      <c r="AG436" s="23"/>
      <c r="AP436" s="112"/>
      <c r="AQ436" s="105"/>
      <c r="AR436" s="106"/>
      <c r="AS436" s="107"/>
      <c r="AT436" s="67"/>
      <c r="AU436" s="68"/>
      <c r="AV436" s="105"/>
      <c r="AW436" s="108"/>
      <c r="AX436" s="109"/>
      <c r="AY436" s="110"/>
      <c r="AZ436" s="67"/>
      <c r="BA436" s="68"/>
      <c r="BB436" s="111"/>
      <c r="BF436" s="24"/>
      <c r="BG436" s="23"/>
      <c r="BH436" s="23"/>
    </row>
    <row r="437" spans="1:60" s="33" customFormat="1" ht="15" customHeight="1">
      <c r="A437" s="33" t="s">
        <v>1717</v>
      </c>
      <c r="B437" s="33" t="s">
        <v>1945</v>
      </c>
      <c r="C437" s="33" t="s">
        <v>1976</v>
      </c>
      <c r="D437" s="55">
        <v>154</v>
      </c>
      <c r="E437" s="33">
        <v>2</v>
      </c>
      <c r="G437" s="33" t="s">
        <v>377</v>
      </c>
      <c r="J437" s="33" t="s">
        <v>257</v>
      </c>
      <c r="K437" s="33" t="s">
        <v>200</v>
      </c>
      <c r="L437" s="33">
        <v>3</v>
      </c>
      <c r="N437" s="104">
        <v>3</v>
      </c>
      <c r="O437" s="105"/>
      <c r="P437" s="106"/>
      <c r="Q437" s="107"/>
      <c r="R437" s="67"/>
      <c r="S437" s="113"/>
      <c r="T437" s="68"/>
      <c r="U437" s="105"/>
      <c r="V437" s="108"/>
      <c r="W437" s="109"/>
      <c r="X437" s="110"/>
      <c r="Y437" s="67"/>
      <c r="Z437" s="68"/>
      <c r="AA437" s="111"/>
      <c r="AB437" s="52" t="s">
        <v>1083</v>
      </c>
      <c r="AC437" s="33" t="s">
        <v>378</v>
      </c>
      <c r="AD437" s="33" t="s">
        <v>279</v>
      </c>
      <c r="AE437" s="24"/>
      <c r="AF437" s="23" t="s">
        <v>1843</v>
      </c>
      <c r="AG437" s="23"/>
      <c r="AP437" s="112"/>
      <c r="AQ437" s="105"/>
      <c r="AR437" s="106"/>
      <c r="AS437" s="107"/>
      <c r="AT437" s="67"/>
      <c r="AU437" s="68"/>
      <c r="AV437" s="105"/>
      <c r="AW437" s="108"/>
      <c r="AX437" s="109"/>
      <c r="AY437" s="110"/>
      <c r="AZ437" s="67"/>
      <c r="BA437" s="68"/>
      <c r="BB437" s="111"/>
      <c r="BF437" s="24"/>
      <c r="BG437" s="23"/>
      <c r="BH437" s="23"/>
    </row>
    <row r="438" spans="1:60" s="33" customFormat="1" ht="15" customHeight="1">
      <c r="A438" s="33" t="s">
        <v>1717</v>
      </c>
      <c r="B438" s="33" t="s">
        <v>1946</v>
      </c>
      <c r="C438" s="33" t="s">
        <v>1976</v>
      </c>
      <c r="D438" s="55">
        <v>155</v>
      </c>
      <c r="E438" s="33">
        <v>2</v>
      </c>
      <c r="G438" s="33" t="s">
        <v>1817</v>
      </c>
      <c r="J438" s="33" t="s">
        <v>257</v>
      </c>
      <c r="K438" s="33" t="s">
        <v>202</v>
      </c>
      <c r="N438" s="104">
        <v>1</v>
      </c>
      <c r="O438" s="105"/>
      <c r="P438" s="106"/>
      <c r="Q438" s="107"/>
      <c r="R438" s="67"/>
      <c r="S438" s="113"/>
      <c r="T438" s="68"/>
      <c r="U438" s="105"/>
      <c r="V438" s="108"/>
      <c r="W438" s="109"/>
      <c r="X438" s="110"/>
      <c r="Y438" s="67"/>
      <c r="Z438" s="68"/>
      <c r="AA438" s="111"/>
      <c r="AB438" s="52" t="s">
        <v>205</v>
      </c>
      <c r="AC438" s="33" t="s">
        <v>258</v>
      </c>
      <c r="AD438" s="33" t="s">
        <v>265</v>
      </c>
      <c r="AE438" s="24"/>
      <c r="AF438" s="23" t="s">
        <v>1844</v>
      </c>
      <c r="AG438" s="23"/>
      <c r="AP438" s="112"/>
      <c r="AQ438" s="105"/>
      <c r="AR438" s="106"/>
      <c r="AS438" s="107"/>
      <c r="AT438" s="67"/>
      <c r="AU438" s="68"/>
      <c r="AV438" s="105"/>
      <c r="AW438" s="108"/>
      <c r="AX438" s="109"/>
      <c r="AY438" s="110"/>
      <c r="AZ438" s="67"/>
      <c r="BA438" s="68"/>
      <c r="BB438" s="111"/>
      <c r="BF438" s="24"/>
      <c r="BG438" s="23"/>
      <c r="BH438" s="23"/>
    </row>
    <row r="439" spans="1:60" s="33" customFormat="1" ht="15" customHeight="1">
      <c r="A439" s="33" t="s">
        <v>1717</v>
      </c>
      <c r="B439" s="33" t="s">
        <v>1947</v>
      </c>
      <c r="C439" s="33" t="s">
        <v>1976</v>
      </c>
      <c r="D439" s="55">
        <v>156</v>
      </c>
      <c r="E439" s="33">
        <v>2</v>
      </c>
      <c r="G439" s="33" t="s">
        <v>1818</v>
      </c>
      <c r="J439" s="33" t="s">
        <v>27</v>
      </c>
      <c r="K439" s="33" t="s">
        <v>202</v>
      </c>
      <c r="L439" s="33">
        <v>1</v>
      </c>
      <c r="N439" s="104">
        <v>1</v>
      </c>
      <c r="O439" s="105"/>
      <c r="P439" s="106"/>
      <c r="Q439" s="107"/>
      <c r="R439" s="67"/>
      <c r="S439" s="113"/>
      <c r="T439" s="68"/>
      <c r="U439" s="105"/>
      <c r="V439" s="108"/>
      <c r="W439" s="109"/>
      <c r="X439" s="110"/>
      <c r="Y439" s="67"/>
      <c r="Z439" s="68"/>
      <c r="AA439" s="111"/>
      <c r="AB439" s="52" t="s">
        <v>1095</v>
      </c>
      <c r="AC439" s="33" t="s">
        <v>258</v>
      </c>
      <c r="AD439" s="33" t="s">
        <v>1412</v>
      </c>
      <c r="AE439" s="24"/>
      <c r="AF439" s="23" t="s">
        <v>1845</v>
      </c>
      <c r="AG439" s="23"/>
      <c r="AP439" s="112"/>
      <c r="AQ439" s="105"/>
      <c r="AR439" s="106"/>
      <c r="AS439" s="107"/>
      <c r="AT439" s="67"/>
      <c r="AU439" s="68"/>
      <c r="AV439" s="105"/>
      <c r="AW439" s="108"/>
      <c r="AX439" s="109"/>
      <c r="AY439" s="110"/>
      <c r="AZ439" s="67"/>
      <c r="BA439" s="68"/>
      <c r="BB439" s="111"/>
      <c r="BF439" s="24"/>
      <c r="BG439" s="23"/>
      <c r="BH439" s="23"/>
    </row>
    <row r="440" spans="1:60" s="33" customFormat="1" ht="15" customHeight="1">
      <c r="A440" s="33" t="s">
        <v>1717</v>
      </c>
      <c r="B440" s="33" t="s">
        <v>1948</v>
      </c>
      <c r="C440" s="33" t="s">
        <v>1976</v>
      </c>
      <c r="D440" s="55">
        <v>157</v>
      </c>
      <c r="E440" s="33">
        <v>2</v>
      </c>
      <c r="G440" s="33" t="s">
        <v>1819</v>
      </c>
      <c r="J440" s="33" t="s">
        <v>257</v>
      </c>
      <c r="K440" s="33" t="s">
        <v>26</v>
      </c>
      <c r="L440" s="33">
        <v>3</v>
      </c>
      <c r="N440" s="104" t="s">
        <v>38</v>
      </c>
      <c r="O440" s="105"/>
      <c r="P440" s="106"/>
      <c r="Q440" s="107"/>
      <c r="R440" s="67"/>
      <c r="S440" s="113"/>
      <c r="T440" s="68"/>
      <c r="U440" s="105"/>
      <c r="V440" s="108"/>
      <c r="W440" s="109"/>
      <c r="X440" s="110"/>
      <c r="Y440" s="67"/>
      <c r="Z440" s="68"/>
      <c r="AA440" s="111"/>
      <c r="AB440" s="52"/>
      <c r="AD440" s="33" t="s">
        <v>289</v>
      </c>
      <c r="AE440" s="24" t="s">
        <v>1978</v>
      </c>
      <c r="AF440" s="23" t="s">
        <v>1977</v>
      </c>
      <c r="AG440" s="23"/>
      <c r="AP440" s="112"/>
      <c r="AQ440" s="105"/>
      <c r="AR440" s="106"/>
      <c r="AS440" s="107"/>
      <c r="AT440" s="67"/>
      <c r="AU440" s="68"/>
      <c r="AV440" s="105"/>
      <c r="AW440" s="108"/>
      <c r="AX440" s="109"/>
      <c r="AY440" s="110"/>
      <c r="AZ440" s="67"/>
      <c r="BA440" s="68"/>
      <c r="BB440" s="111"/>
      <c r="BF440" s="24"/>
      <c r="BG440" s="23"/>
      <c r="BH440" s="23"/>
    </row>
    <row r="441" spans="1:60" s="33" customFormat="1" ht="15" customHeight="1">
      <c r="A441" s="33" t="s">
        <v>1717</v>
      </c>
      <c r="B441" s="33" t="s">
        <v>1949</v>
      </c>
      <c r="C441" s="33" t="s">
        <v>1976</v>
      </c>
      <c r="D441" s="55">
        <v>158</v>
      </c>
      <c r="E441" s="33">
        <v>2</v>
      </c>
      <c r="G441" s="33" t="s">
        <v>1811</v>
      </c>
      <c r="J441" s="33" t="s">
        <v>257</v>
      </c>
      <c r="K441" s="33" t="s">
        <v>26</v>
      </c>
      <c r="L441" s="33">
        <v>3</v>
      </c>
      <c r="N441" s="104" t="s">
        <v>38</v>
      </c>
      <c r="O441" s="105"/>
      <c r="P441" s="106"/>
      <c r="Q441" s="107"/>
      <c r="R441" s="67"/>
      <c r="S441" s="113"/>
      <c r="T441" s="68"/>
      <c r="U441" s="105"/>
      <c r="V441" s="108"/>
      <c r="W441" s="109"/>
      <c r="X441" s="110"/>
      <c r="Y441" s="67"/>
      <c r="Z441" s="68"/>
      <c r="AA441" s="111"/>
      <c r="AB441" s="52"/>
      <c r="AD441" s="33" t="s">
        <v>289</v>
      </c>
      <c r="AE441" s="24" t="s">
        <v>1979</v>
      </c>
      <c r="AF441" s="23" t="s">
        <v>1980</v>
      </c>
      <c r="AG441" s="23"/>
      <c r="AP441" s="112"/>
      <c r="AQ441" s="105"/>
      <c r="AR441" s="106"/>
      <c r="AS441" s="107"/>
      <c r="AT441" s="67"/>
      <c r="AU441" s="68"/>
      <c r="AV441" s="105"/>
      <c r="AW441" s="108"/>
      <c r="AX441" s="109"/>
      <c r="AY441" s="110"/>
      <c r="AZ441" s="67"/>
      <c r="BA441" s="68"/>
      <c r="BB441" s="111"/>
      <c r="BF441" s="24"/>
      <c r="BG441" s="23"/>
      <c r="BH441" s="23"/>
    </row>
    <row r="442" spans="1:60" s="33" customFormat="1" ht="15" customHeight="1">
      <c r="A442" s="33" t="s">
        <v>1717</v>
      </c>
      <c r="B442" s="33" t="s">
        <v>1950</v>
      </c>
      <c r="C442" s="33" t="s">
        <v>1976</v>
      </c>
      <c r="D442" s="55">
        <v>159</v>
      </c>
      <c r="E442" s="33">
        <v>1</v>
      </c>
      <c r="F442" s="33" t="s">
        <v>1718</v>
      </c>
      <c r="G442" s="33" t="s">
        <v>1718</v>
      </c>
      <c r="H442" s="33" t="s">
        <v>709</v>
      </c>
      <c r="J442" s="33" t="s">
        <v>618</v>
      </c>
      <c r="N442" s="104"/>
      <c r="O442" s="105"/>
      <c r="P442" s="106"/>
      <c r="Q442" s="107"/>
      <c r="R442" s="67"/>
      <c r="S442" s="113"/>
      <c r="T442" s="68"/>
      <c r="U442" s="105"/>
      <c r="V442" s="108"/>
      <c r="W442" s="109"/>
      <c r="X442" s="110"/>
      <c r="Y442" s="67"/>
      <c r="Z442" s="68"/>
      <c r="AA442" s="111"/>
      <c r="AB442" s="52"/>
      <c r="AE442" s="24"/>
      <c r="AF442" s="23" t="s">
        <v>1846</v>
      </c>
      <c r="AG442" s="23"/>
      <c r="AI442" s="33" t="s">
        <v>1718</v>
      </c>
      <c r="AJ442" s="33" t="s">
        <v>710</v>
      </c>
      <c r="AL442" s="33" t="s">
        <v>618</v>
      </c>
      <c r="AP442" s="112"/>
      <c r="AQ442" s="105"/>
      <c r="AR442" s="106"/>
      <c r="AS442" s="107"/>
      <c r="AT442" s="67"/>
      <c r="AU442" s="68"/>
      <c r="AV442" s="105"/>
      <c r="AW442" s="108"/>
      <c r="AX442" s="109"/>
      <c r="AY442" s="110"/>
      <c r="AZ442" s="67"/>
      <c r="BA442" s="68"/>
      <c r="BB442" s="111"/>
      <c r="BF442" s="24"/>
      <c r="BG442" s="23" t="s">
        <v>1874</v>
      </c>
      <c r="BH442" s="23"/>
    </row>
    <row r="443" spans="1:60" s="33" customFormat="1" ht="15" customHeight="1">
      <c r="A443" s="33" t="s">
        <v>1717</v>
      </c>
      <c r="B443" s="33" t="s">
        <v>1951</v>
      </c>
      <c r="C443" s="33" t="s">
        <v>1976</v>
      </c>
      <c r="D443" s="55">
        <v>160</v>
      </c>
      <c r="E443" s="33">
        <v>1</v>
      </c>
      <c r="F443" s="33" t="s">
        <v>1718</v>
      </c>
      <c r="G443" s="33" t="s">
        <v>1820</v>
      </c>
      <c r="J443" s="33" t="s">
        <v>619</v>
      </c>
      <c r="L443" s="33">
        <v>1</v>
      </c>
      <c r="N443" s="104"/>
      <c r="O443" s="105"/>
      <c r="P443" s="106"/>
      <c r="Q443" s="107"/>
      <c r="R443" s="67"/>
      <c r="S443" s="113"/>
      <c r="T443" s="68"/>
      <c r="U443" s="105"/>
      <c r="V443" s="108"/>
      <c r="W443" s="109"/>
      <c r="X443" s="110"/>
      <c r="Y443" s="67"/>
      <c r="Z443" s="68">
        <v>4</v>
      </c>
      <c r="AA443" s="111"/>
      <c r="AB443" s="52"/>
      <c r="AE443" s="24"/>
      <c r="AF443" s="23"/>
      <c r="AG443" s="23"/>
      <c r="AI443" s="33" t="s">
        <v>1875</v>
      </c>
      <c r="AL443" s="33" t="s">
        <v>619</v>
      </c>
      <c r="AN443" s="33">
        <v>1</v>
      </c>
      <c r="AP443" s="112"/>
      <c r="AQ443" s="105"/>
      <c r="AR443" s="106"/>
      <c r="AS443" s="107"/>
      <c r="AT443" s="67"/>
      <c r="AU443" s="68"/>
      <c r="AV443" s="105"/>
      <c r="AW443" s="108"/>
      <c r="AX443" s="109"/>
      <c r="AY443" s="110"/>
      <c r="AZ443" s="67"/>
      <c r="BA443" s="68"/>
      <c r="BB443" s="111"/>
      <c r="BF443" s="24"/>
      <c r="BG443" s="23" t="s">
        <v>1876</v>
      </c>
      <c r="BH443" s="23"/>
    </row>
    <row r="444" spans="1:60" s="33" customFormat="1" ht="15" customHeight="1">
      <c r="A444" s="33" t="s">
        <v>1717</v>
      </c>
      <c r="B444" s="33" t="s">
        <v>1952</v>
      </c>
      <c r="C444" s="33" t="s">
        <v>1976</v>
      </c>
      <c r="D444" s="55">
        <v>161</v>
      </c>
      <c r="E444" s="33">
        <v>1</v>
      </c>
      <c r="F444" s="33" t="s">
        <v>1718</v>
      </c>
      <c r="G444" s="33" t="s">
        <v>1821</v>
      </c>
      <c r="J444" s="33" t="s">
        <v>619</v>
      </c>
      <c r="L444" s="33">
        <v>2</v>
      </c>
      <c r="N444" s="104"/>
      <c r="O444" s="105"/>
      <c r="P444" s="106"/>
      <c r="Q444" s="107"/>
      <c r="R444" s="67"/>
      <c r="S444" s="113"/>
      <c r="T444" s="68"/>
      <c r="U444" s="105"/>
      <c r="V444" s="108"/>
      <c r="W444" s="109"/>
      <c r="X444" s="110"/>
      <c r="Y444" s="67"/>
      <c r="Z444" s="68">
        <v>3</v>
      </c>
      <c r="AA444" s="111"/>
      <c r="AB444" s="52"/>
      <c r="AE444" s="24"/>
      <c r="AF444" s="23"/>
      <c r="AG444" s="23"/>
      <c r="AI444" s="33" t="s">
        <v>1877</v>
      </c>
      <c r="AL444" s="33" t="s">
        <v>619</v>
      </c>
      <c r="AN444" s="33">
        <v>2</v>
      </c>
      <c r="AP444" s="112"/>
      <c r="AQ444" s="105"/>
      <c r="AR444" s="106"/>
      <c r="AS444" s="107"/>
      <c r="AT444" s="67"/>
      <c r="AU444" s="68"/>
      <c r="AV444" s="105"/>
      <c r="AW444" s="108"/>
      <c r="AX444" s="109"/>
      <c r="AY444" s="110"/>
      <c r="AZ444" s="67"/>
      <c r="BA444" s="68"/>
      <c r="BB444" s="111"/>
      <c r="BF444" s="24"/>
      <c r="BG444" s="23" t="s">
        <v>1876</v>
      </c>
      <c r="BH444" s="23"/>
    </row>
    <row r="445" spans="1:60" s="33" customFormat="1" ht="15" customHeight="1">
      <c r="A445" s="33" t="s">
        <v>1717</v>
      </c>
      <c r="B445" s="33" t="s">
        <v>1953</v>
      </c>
      <c r="C445" s="33" t="s">
        <v>1976</v>
      </c>
      <c r="D445" s="55">
        <v>162</v>
      </c>
      <c r="E445" s="33">
        <v>1</v>
      </c>
      <c r="F445" s="33" t="s">
        <v>1718</v>
      </c>
      <c r="G445" s="33" t="s">
        <v>1822</v>
      </c>
      <c r="J445" s="33" t="s">
        <v>619</v>
      </c>
      <c r="L445" s="33">
        <v>3</v>
      </c>
      <c r="N445" s="104"/>
      <c r="O445" s="105"/>
      <c r="P445" s="106"/>
      <c r="Q445" s="107"/>
      <c r="R445" s="67"/>
      <c r="S445" s="113"/>
      <c r="T445" s="68"/>
      <c r="U445" s="105"/>
      <c r="V445" s="108"/>
      <c r="W445" s="109"/>
      <c r="X445" s="110"/>
      <c r="Y445" s="67"/>
      <c r="Z445" s="68">
        <v>4</v>
      </c>
      <c r="AA445" s="111"/>
      <c r="AB445" s="52"/>
      <c r="AE445" s="24"/>
      <c r="AF445" s="23"/>
      <c r="AG445" s="23"/>
      <c r="AI445" s="33" t="s">
        <v>1878</v>
      </c>
      <c r="AL445" s="33" t="s">
        <v>619</v>
      </c>
      <c r="AN445" s="33">
        <v>3</v>
      </c>
      <c r="AP445" s="112"/>
      <c r="AQ445" s="105"/>
      <c r="AR445" s="106"/>
      <c r="AS445" s="107"/>
      <c r="AT445" s="67"/>
      <c r="AU445" s="68"/>
      <c r="AV445" s="105"/>
      <c r="AW445" s="108"/>
      <c r="AX445" s="109"/>
      <c r="AY445" s="110"/>
      <c r="AZ445" s="67"/>
      <c r="BA445" s="68"/>
      <c r="BB445" s="111"/>
      <c r="BF445" s="24"/>
      <c r="BG445" s="23" t="s">
        <v>1879</v>
      </c>
      <c r="BH445" s="23"/>
    </row>
    <row r="446" spans="1:60" s="33" customFormat="1" ht="15" customHeight="1">
      <c r="A446" s="33" t="s">
        <v>1717</v>
      </c>
      <c r="B446" s="33" t="s">
        <v>1954</v>
      </c>
      <c r="C446" s="33" t="s">
        <v>1976</v>
      </c>
      <c r="D446" s="55">
        <v>163</v>
      </c>
      <c r="E446" s="33">
        <v>1</v>
      </c>
      <c r="F446" s="33" t="s">
        <v>1718</v>
      </c>
      <c r="G446" s="33" t="s">
        <v>1823</v>
      </c>
      <c r="J446" s="33" t="s">
        <v>619</v>
      </c>
      <c r="L446" s="33">
        <v>4</v>
      </c>
      <c r="N446" s="104"/>
      <c r="O446" s="105"/>
      <c r="P446" s="106"/>
      <c r="Q446" s="107"/>
      <c r="R446" s="67"/>
      <c r="S446" s="113"/>
      <c r="T446" s="68"/>
      <c r="U446" s="105"/>
      <c r="V446" s="108"/>
      <c r="W446" s="109"/>
      <c r="X446" s="110"/>
      <c r="Y446" s="67"/>
      <c r="Z446" s="68">
        <v>3</v>
      </c>
      <c r="AA446" s="111"/>
      <c r="AB446" s="52"/>
      <c r="AE446" s="24"/>
      <c r="AF446" s="23"/>
      <c r="AG446" s="23"/>
      <c r="AI446" s="33" t="s">
        <v>1880</v>
      </c>
      <c r="AL446" s="33" t="s">
        <v>619</v>
      </c>
      <c r="AN446" s="33">
        <v>4</v>
      </c>
      <c r="AP446" s="112"/>
      <c r="AQ446" s="105"/>
      <c r="AR446" s="106"/>
      <c r="AS446" s="107"/>
      <c r="AT446" s="67"/>
      <c r="AU446" s="68"/>
      <c r="AV446" s="105"/>
      <c r="AW446" s="108"/>
      <c r="AX446" s="109"/>
      <c r="AY446" s="110"/>
      <c r="AZ446" s="67"/>
      <c r="BA446" s="68"/>
      <c r="BB446" s="111"/>
      <c r="BF446" s="24"/>
      <c r="BG446" s="23" t="s">
        <v>1879</v>
      </c>
      <c r="BH446" s="23"/>
    </row>
    <row r="447" spans="1:60" s="33" customFormat="1" ht="15" customHeight="1">
      <c r="A447" s="33" t="s">
        <v>1717</v>
      </c>
      <c r="B447" s="33" t="s">
        <v>1955</v>
      </c>
      <c r="C447" s="33" t="s">
        <v>1976</v>
      </c>
      <c r="D447" s="55">
        <v>164</v>
      </c>
      <c r="E447" s="33">
        <v>1</v>
      </c>
      <c r="F447" s="33" t="s">
        <v>1718</v>
      </c>
      <c r="G447" s="33" t="s">
        <v>1824</v>
      </c>
      <c r="J447" s="33" t="s">
        <v>619</v>
      </c>
      <c r="L447" s="33">
        <v>5</v>
      </c>
      <c r="N447" s="104"/>
      <c r="O447" s="105"/>
      <c r="P447" s="106"/>
      <c r="Q447" s="107"/>
      <c r="R447" s="67"/>
      <c r="S447" s="113"/>
      <c r="T447" s="68"/>
      <c r="U447" s="105"/>
      <c r="V447" s="108"/>
      <c r="W447" s="109"/>
      <c r="X447" s="110"/>
      <c r="Y447" s="67"/>
      <c r="Z447" s="68">
        <v>3</v>
      </c>
      <c r="AA447" s="111"/>
      <c r="AB447" s="52"/>
      <c r="AE447" s="24"/>
      <c r="AF447" s="23"/>
      <c r="AG447" s="23"/>
      <c r="AI447" s="33" t="s">
        <v>1881</v>
      </c>
      <c r="AL447" s="33" t="s">
        <v>619</v>
      </c>
      <c r="AN447" s="33">
        <v>5</v>
      </c>
      <c r="AP447" s="112"/>
      <c r="AQ447" s="105"/>
      <c r="AR447" s="106"/>
      <c r="AS447" s="107"/>
      <c r="AT447" s="67"/>
      <c r="AU447" s="68"/>
      <c r="AV447" s="105"/>
      <c r="AW447" s="108"/>
      <c r="AX447" s="109"/>
      <c r="AY447" s="110"/>
      <c r="AZ447" s="67"/>
      <c r="BA447" s="68"/>
      <c r="BB447" s="111"/>
      <c r="BF447" s="24"/>
      <c r="BG447" s="23" t="s">
        <v>1882</v>
      </c>
      <c r="BH447" s="23"/>
    </row>
    <row r="448" spans="1:60" s="33" customFormat="1" ht="15" customHeight="1">
      <c r="A448" s="33" t="s">
        <v>1717</v>
      </c>
      <c r="B448" s="33" t="s">
        <v>1956</v>
      </c>
      <c r="C448" s="33" t="s">
        <v>1976</v>
      </c>
      <c r="D448" s="55">
        <v>165</v>
      </c>
      <c r="E448" s="33">
        <v>1</v>
      </c>
      <c r="F448" s="33" t="s">
        <v>1718</v>
      </c>
      <c r="G448" s="33" t="s">
        <v>1825</v>
      </c>
      <c r="J448" s="33" t="s">
        <v>621</v>
      </c>
      <c r="L448" s="33">
        <v>1</v>
      </c>
      <c r="N448" s="104"/>
      <c r="O448" s="105"/>
      <c r="P448" s="106"/>
      <c r="Q448" s="107"/>
      <c r="R448" s="67"/>
      <c r="S448" s="113"/>
      <c r="T448" s="68"/>
      <c r="U448" s="105"/>
      <c r="V448" s="108"/>
      <c r="W448" s="109"/>
      <c r="X448" s="110"/>
      <c r="Y448" s="67" t="s">
        <v>38</v>
      </c>
      <c r="Z448" s="68"/>
      <c r="AA448" s="111"/>
      <c r="AB448" s="52"/>
      <c r="AE448" s="24"/>
      <c r="AF448" s="23" t="s">
        <v>1847</v>
      </c>
      <c r="AG448" s="23"/>
      <c r="AI448" s="33" t="s">
        <v>1883</v>
      </c>
      <c r="AL448" s="33" t="s">
        <v>621</v>
      </c>
      <c r="AN448" s="33">
        <v>1</v>
      </c>
      <c r="AP448" s="112"/>
      <c r="AQ448" s="105"/>
      <c r="AR448" s="106"/>
      <c r="AS448" s="107"/>
      <c r="AT448" s="67"/>
      <c r="AU448" s="68"/>
      <c r="AV448" s="105"/>
      <c r="AW448" s="108"/>
      <c r="AX448" s="109"/>
      <c r="AY448" s="110"/>
      <c r="AZ448" s="67"/>
      <c r="BA448" s="68"/>
      <c r="BB448" s="111"/>
      <c r="BF448" s="24"/>
      <c r="BG448" s="23" t="s">
        <v>1884</v>
      </c>
      <c r="BH448" s="23"/>
    </row>
    <row r="449" spans="1:62" s="33" customFormat="1" ht="15" customHeight="1">
      <c r="A449" s="33" t="s">
        <v>1717</v>
      </c>
      <c r="B449" s="33" t="s">
        <v>1957</v>
      </c>
      <c r="C449" s="33" t="s">
        <v>1976</v>
      </c>
      <c r="D449" s="55">
        <v>166</v>
      </c>
      <c r="E449" s="33">
        <v>1</v>
      </c>
      <c r="F449" s="33" t="s">
        <v>1718</v>
      </c>
      <c r="G449" s="33" t="s">
        <v>1826</v>
      </c>
      <c r="J449" s="33" t="s">
        <v>621</v>
      </c>
      <c r="L449" s="33">
        <v>2</v>
      </c>
      <c r="N449" s="104"/>
      <c r="O449" s="105"/>
      <c r="P449" s="106"/>
      <c r="Q449" s="107"/>
      <c r="R449" s="67"/>
      <c r="S449" s="113"/>
      <c r="T449" s="68"/>
      <c r="U449" s="105"/>
      <c r="V449" s="108"/>
      <c r="W449" s="109"/>
      <c r="X449" s="110"/>
      <c r="Y449" s="67" t="s">
        <v>38</v>
      </c>
      <c r="Z449" s="68"/>
      <c r="AA449" s="111"/>
      <c r="AB449" s="52"/>
      <c r="AE449" s="24"/>
      <c r="AF449" s="23" t="s">
        <v>1848</v>
      </c>
      <c r="AG449" s="23"/>
      <c r="AI449" s="33" t="s">
        <v>1885</v>
      </c>
      <c r="AL449" s="33" t="s">
        <v>621</v>
      </c>
      <c r="AN449" s="33">
        <v>2</v>
      </c>
      <c r="AP449" s="112"/>
      <c r="AQ449" s="105"/>
      <c r="AR449" s="106"/>
      <c r="AS449" s="107"/>
      <c r="AT449" s="67"/>
      <c r="AU449" s="68"/>
      <c r="AV449" s="105"/>
      <c r="AW449" s="108"/>
      <c r="AX449" s="109"/>
      <c r="AY449" s="110"/>
      <c r="AZ449" s="67"/>
      <c r="BA449" s="68"/>
      <c r="BB449" s="111"/>
      <c r="BF449" s="24"/>
      <c r="BG449" s="23" t="s">
        <v>1886</v>
      </c>
      <c r="BH449" s="23"/>
    </row>
    <row r="450" spans="1:62" s="33" customFormat="1" ht="15" customHeight="1">
      <c r="A450" s="33" t="s">
        <v>1717</v>
      </c>
      <c r="B450" s="33" t="s">
        <v>1958</v>
      </c>
      <c r="C450" s="33" t="s">
        <v>1976</v>
      </c>
      <c r="D450" s="55">
        <v>167</v>
      </c>
      <c r="E450" s="33">
        <v>1</v>
      </c>
      <c r="F450" s="33" t="s">
        <v>1718</v>
      </c>
      <c r="G450" s="33" t="s">
        <v>1827</v>
      </c>
      <c r="J450" s="33" t="s">
        <v>31</v>
      </c>
      <c r="N450" s="104"/>
      <c r="O450" s="105"/>
      <c r="P450" s="106"/>
      <c r="Q450" s="107"/>
      <c r="R450" s="67"/>
      <c r="S450" s="113"/>
      <c r="T450" s="68"/>
      <c r="U450" s="105"/>
      <c r="V450" s="108"/>
      <c r="W450" s="109"/>
      <c r="X450" s="110"/>
      <c r="Y450" s="67"/>
      <c r="Z450" s="68"/>
      <c r="AA450" s="111"/>
      <c r="AB450" s="52"/>
      <c r="AD450" s="33" t="s">
        <v>1828</v>
      </c>
      <c r="AE450" s="24"/>
      <c r="AF450" s="23" t="s">
        <v>1887</v>
      </c>
      <c r="AG450" s="23"/>
      <c r="AI450" s="33" t="s">
        <v>1888</v>
      </c>
      <c r="AL450" s="33" t="s">
        <v>31</v>
      </c>
      <c r="AP450" s="112"/>
      <c r="AQ450" s="105"/>
      <c r="AR450" s="106"/>
      <c r="AS450" s="107"/>
      <c r="AT450" s="67"/>
      <c r="AU450" s="68"/>
      <c r="AV450" s="105"/>
      <c r="AW450" s="108"/>
      <c r="AX450" s="109"/>
      <c r="AY450" s="110">
        <v>1</v>
      </c>
      <c r="AZ450" s="67" t="s">
        <v>1112</v>
      </c>
      <c r="BA450" s="68"/>
      <c r="BB450" s="111"/>
      <c r="BF450" s="24"/>
      <c r="BG450" s="23" t="s">
        <v>1849</v>
      </c>
      <c r="BH450" s="23"/>
    </row>
    <row r="451" spans="1:62" s="33" customFormat="1" ht="15" customHeight="1">
      <c r="A451" s="33" t="s">
        <v>1717</v>
      </c>
      <c r="B451" s="115" t="s">
        <v>1959</v>
      </c>
      <c r="C451" s="33" t="s">
        <v>1976</v>
      </c>
      <c r="D451" s="55">
        <v>168</v>
      </c>
      <c r="E451" s="33">
        <v>1</v>
      </c>
      <c r="F451" s="33" t="s">
        <v>1718</v>
      </c>
      <c r="G451" s="33" t="s">
        <v>1827</v>
      </c>
      <c r="J451" s="33" t="s">
        <v>31</v>
      </c>
      <c r="N451" s="104"/>
      <c r="O451" s="105"/>
      <c r="P451" s="106"/>
      <c r="Q451" s="107"/>
      <c r="R451" s="67"/>
      <c r="S451" s="113"/>
      <c r="T451" s="68"/>
      <c r="U451" s="105"/>
      <c r="V451" s="108"/>
      <c r="W451" s="109"/>
      <c r="X451" s="110"/>
      <c r="Y451" s="67"/>
      <c r="Z451" s="68"/>
      <c r="AA451" s="111"/>
      <c r="AB451" s="52"/>
      <c r="AD451" s="33" t="s">
        <v>1828</v>
      </c>
      <c r="AE451" s="24"/>
      <c r="AF451" s="23" t="s">
        <v>1887</v>
      </c>
      <c r="AG451" s="23"/>
      <c r="AI451" s="33" t="s">
        <v>1888</v>
      </c>
      <c r="AL451" s="33" t="s">
        <v>31</v>
      </c>
      <c r="AP451" s="112"/>
      <c r="AQ451" s="105"/>
      <c r="AR451" s="106"/>
      <c r="AS451" s="107"/>
      <c r="AT451" s="67"/>
      <c r="AU451" s="68"/>
      <c r="AV451" s="105"/>
      <c r="AW451" s="108"/>
      <c r="AX451" s="109"/>
      <c r="AY451" s="110">
        <v>4</v>
      </c>
      <c r="AZ451" s="29" t="s">
        <v>1073</v>
      </c>
      <c r="BA451" s="68"/>
      <c r="BB451" s="111"/>
      <c r="BF451" s="24"/>
      <c r="BG451" s="23" t="s">
        <v>1850</v>
      </c>
      <c r="BH451" s="23"/>
    </row>
    <row r="452" spans="1:62" s="33" customFormat="1" ht="15" customHeight="1">
      <c r="A452" s="33" t="s">
        <v>1717</v>
      </c>
      <c r="B452" s="33" t="s">
        <v>1960</v>
      </c>
      <c r="C452" s="33" t="s">
        <v>1976</v>
      </c>
      <c r="D452" s="55">
        <v>169</v>
      </c>
      <c r="E452" s="33">
        <v>1</v>
      </c>
      <c r="F452" s="33" t="s">
        <v>1718</v>
      </c>
      <c r="G452" s="33" t="s">
        <v>1827</v>
      </c>
      <c r="J452" s="33" t="s">
        <v>31</v>
      </c>
      <c r="N452" s="104"/>
      <c r="O452" s="105"/>
      <c r="P452" s="106"/>
      <c r="Q452" s="107"/>
      <c r="R452" s="67"/>
      <c r="S452" s="113"/>
      <c r="T452" s="68"/>
      <c r="U452" s="105"/>
      <c r="V452" s="108"/>
      <c r="W452" s="109"/>
      <c r="X452" s="110"/>
      <c r="Y452" s="67"/>
      <c r="Z452" s="68"/>
      <c r="AA452" s="111"/>
      <c r="AB452" s="52"/>
      <c r="AD452" s="33" t="s">
        <v>1828</v>
      </c>
      <c r="AE452" s="24"/>
      <c r="AF452" s="23" t="s">
        <v>1887</v>
      </c>
      <c r="AG452" s="23"/>
      <c r="AI452" s="33" t="s">
        <v>1888</v>
      </c>
      <c r="AL452" s="33" t="s">
        <v>31</v>
      </c>
      <c r="AP452" s="112"/>
      <c r="AQ452" s="105"/>
      <c r="AR452" s="106"/>
      <c r="AS452" s="107"/>
      <c r="AT452" s="67"/>
      <c r="AU452" s="68"/>
      <c r="AV452" s="105"/>
      <c r="AW452" s="108"/>
      <c r="AX452" s="109"/>
      <c r="AY452" s="110">
        <v>2</v>
      </c>
      <c r="AZ452" s="67" t="s">
        <v>1111</v>
      </c>
      <c r="BA452" s="68"/>
      <c r="BB452" s="111"/>
      <c r="BF452" s="24"/>
      <c r="BG452" s="23" t="s">
        <v>1851</v>
      </c>
      <c r="BH452" s="23"/>
    </row>
    <row r="453" spans="1:62" s="33" customFormat="1" ht="15" customHeight="1">
      <c r="A453" s="33" t="s">
        <v>1717</v>
      </c>
      <c r="B453" s="33" t="s">
        <v>1961</v>
      </c>
      <c r="C453" s="33" t="s">
        <v>1976</v>
      </c>
      <c r="D453" s="55">
        <v>170</v>
      </c>
      <c r="E453" s="33">
        <v>1</v>
      </c>
      <c r="F453" s="33" t="s">
        <v>1718</v>
      </c>
      <c r="G453" s="33" t="s">
        <v>1827</v>
      </c>
      <c r="J453" s="33" t="s">
        <v>31</v>
      </c>
      <c r="N453" s="104"/>
      <c r="O453" s="105"/>
      <c r="P453" s="106"/>
      <c r="Q453" s="107"/>
      <c r="R453" s="67"/>
      <c r="S453" s="113"/>
      <c r="T453" s="68"/>
      <c r="U453" s="105"/>
      <c r="V453" s="108"/>
      <c r="W453" s="109"/>
      <c r="X453" s="110"/>
      <c r="Y453" s="67"/>
      <c r="Z453" s="68"/>
      <c r="AA453" s="111"/>
      <c r="AB453" s="52"/>
      <c r="AD453" s="33" t="s">
        <v>1828</v>
      </c>
      <c r="AE453" s="24"/>
      <c r="AF453" s="23" t="s">
        <v>1887</v>
      </c>
      <c r="AG453" s="23"/>
      <c r="AI453" s="33" t="s">
        <v>1888</v>
      </c>
      <c r="AL453" s="33" t="s">
        <v>31</v>
      </c>
      <c r="AP453" s="112"/>
      <c r="AQ453" s="105"/>
      <c r="AR453" s="106"/>
      <c r="AS453" s="107"/>
      <c r="AT453" s="67"/>
      <c r="AU453" s="68"/>
      <c r="AV453" s="105"/>
      <c r="AW453" s="108"/>
      <c r="AX453" s="109"/>
      <c r="AY453" s="110">
        <v>3</v>
      </c>
      <c r="AZ453" s="67" t="s">
        <v>1111</v>
      </c>
      <c r="BA453" s="68"/>
      <c r="BB453" s="111"/>
      <c r="BF453" s="24"/>
      <c r="BG453" s="23" t="s">
        <v>1852</v>
      </c>
      <c r="BH453" s="23"/>
    </row>
    <row r="454" spans="1:62" s="33" customFormat="1" ht="15" customHeight="1">
      <c r="A454" s="33" t="s">
        <v>1717</v>
      </c>
      <c r="B454" s="33" t="s">
        <v>1962</v>
      </c>
      <c r="C454" s="33" t="s">
        <v>1976</v>
      </c>
      <c r="D454" s="55">
        <v>171</v>
      </c>
      <c r="E454" s="33">
        <v>1</v>
      </c>
      <c r="F454" s="33" t="s">
        <v>1718</v>
      </c>
      <c r="G454" s="33" t="s">
        <v>1827</v>
      </c>
      <c r="J454" s="33" t="s">
        <v>31</v>
      </c>
      <c r="N454" s="104"/>
      <c r="O454" s="105"/>
      <c r="P454" s="106"/>
      <c r="Q454" s="107"/>
      <c r="R454" s="67"/>
      <c r="S454" s="113"/>
      <c r="T454" s="68"/>
      <c r="U454" s="105"/>
      <c r="V454" s="108"/>
      <c r="W454" s="109"/>
      <c r="X454" s="110"/>
      <c r="Y454" s="67"/>
      <c r="Z454" s="68"/>
      <c r="AA454" s="111"/>
      <c r="AB454" s="52"/>
      <c r="AD454" s="33" t="s">
        <v>1828</v>
      </c>
      <c r="AE454" s="24"/>
      <c r="AF454" s="23" t="s">
        <v>1887</v>
      </c>
      <c r="AG454" s="23"/>
      <c r="AI454" s="33" t="s">
        <v>1888</v>
      </c>
      <c r="AL454" s="33" t="s">
        <v>31</v>
      </c>
      <c r="AP454" s="112"/>
      <c r="AQ454" s="105"/>
      <c r="AR454" s="106"/>
      <c r="AS454" s="107"/>
      <c r="AT454" s="67"/>
      <c r="AU454" s="68"/>
      <c r="AV454" s="105"/>
      <c r="AW454" s="108"/>
      <c r="AX454" s="109"/>
      <c r="AY454" s="110">
        <v>1</v>
      </c>
      <c r="AZ454" s="67" t="s">
        <v>1073</v>
      </c>
      <c r="BA454" s="68"/>
      <c r="BB454" s="111"/>
      <c r="BF454" s="24"/>
      <c r="BG454" s="23" t="s">
        <v>1889</v>
      </c>
      <c r="BH454" s="23"/>
    </row>
    <row r="455" spans="1:62" s="33" customFormat="1" ht="15" customHeight="1">
      <c r="A455" s="33" t="s">
        <v>1717</v>
      </c>
      <c r="B455" s="33" t="s">
        <v>1963</v>
      </c>
      <c r="C455" s="33" t="s">
        <v>1976</v>
      </c>
      <c r="D455" s="55">
        <v>172</v>
      </c>
      <c r="E455" s="33">
        <v>1</v>
      </c>
      <c r="F455" s="33" t="s">
        <v>1718</v>
      </c>
      <c r="G455" s="33" t="s">
        <v>1827</v>
      </c>
      <c r="J455" s="33" t="s">
        <v>31</v>
      </c>
      <c r="N455" s="104"/>
      <c r="O455" s="105"/>
      <c r="P455" s="106"/>
      <c r="Q455" s="107"/>
      <c r="R455" s="67"/>
      <c r="S455" s="113"/>
      <c r="T455" s="68"/>
      <c r="U455" s="105"/>
      <c r="V455" s="108"/>
      <c r="W455" s="109"/>
      <c r="X455" s="110"/>
      <c r="Y455" s="67"/>
      <c r="Z455" s="68"/>
      <c r="AA455" s="111"/>
      <c r="AB455" s="52"/>
      <c r="AD455" s="33" t="s">
        <v>1828</v>
      </c>
      <c r="AE455" s="24"/>
      <c r="AF455" s="23" t="s">
        <v>1887</v>
      </c>
      <c r="AG455" s="23"/>
      <c r="AI455" s="33" t="s">
        <v>1890</v>
      </c>
      <c r="AL455" s="33" t="s">
        <v>31</v>
      </c>
      <c r="AP455" s="112"/>
      <c r="AQ455" s="105"/>
      <c r="AR455" s="106"/>
      <c r="AS455" s="107"/>
      <c r="AT455" s="67"/>
      <c r="AU455" s="68"/>
      <c r="AV455" s="105"/>
      <c r="AW455" s="108"/>
      <c r="AX455" s="109"/>
      <c r="AY455" s="110">
        <v>4</v>
      </c>
      <c r="AZ455" s="67">
        <v>1</v>
      </c>
      <c r="BA455" s="68"/>
      <c r="BB455" s="111"/>
      <c r="BF455" s="24"/>
      <c r="BG455" s="23" t="s">
        <v>1853</v>
      </c>
      <c r="BH455" s="23"/>
    </row>
    <row r="456" spans="1:62" s="33" customFormat="1" ht="15" customHeight="1">
      <c r="A456" s="33" t="s">
        <v>1717</v>
      </c>
      <c r="B456" s="33" t="s">
        <v>1964</v>
      </c>
      <c r="C456" s="33" t="s">
        <v>1976</v>
      </c>
      <c r="D456" s="55">
        <v>173</v>
      </c>
      <c r="E456" s="33">
        <v>1</v>
      </c>
      <c r="F456" s="33" t="s">
        <v>1718</v>
      </c>
      <c r="G456" s="33" t="s">
        <v>1827</v>
      </c>
      <c r="J456" s="33" t="s">
        <v>31</v>
      </c>
      <c r="N456" s="104"/>
      <c r="O456" s="105"/>
      <c r="P456" s="106"/>
      <c r="Q456" s="107"/>
      <c r="R456" s="67"/>
      <c r="S456" s="113"/>
      <c r="T456" s="68"/>
      <c r="U456" s="105"/>
      <c r="V456" s="108"/>
      <c r="W456" s="109"/>
      <c r="X456" s="110"/>
      <c r="Y456" s="67"/>
      <c r="Z456" s="68"/>
      <c r="AA456" s="111"/>
      <c r="AB456" s="52"/>
      <c r="AD456" s="33" t="s">
        <v>1828</v>
      </c>
      <c r="AE456" s="24"/>
      <c r="AF456" s="23" t="s">
        <v>1887</v>
      </c>
      <c r="AG456" s="23"/>
      <c r="AI456" s="33" t="s">
        <v>1891</v>
      </c>
      <c r="AL456" s="33" t="s">
        <v>31</v>
      </c>
      <c r="AP456" s="112"/>
      <c r="AQ456" s="105"/>
      <c r="AR456" s="106"/>
      <c r="AS456" s="107"/>
      <c r="AT456" s="67"/>
      <c r="AU456" s="68"/>
      <c r="AV456" s="105"/>
      <c r="AW456" s="108"/>
      <c r="AX456" s="109"/>
      <c r="AY456" s="110">
        <v>2</v>
      </c>
      <c r="AZ456" s="67">
        <v>0</v>
      </c>
      <c r="BA456" s="68"/>
      <c r="BB456" s="111"/>
      <c r="BF456" s="24"/>
      <c r="BG456" s="23" t="s">
        <v>1854</v>
      </c>
      <c r="BH456" s="23"/>
    </row>
    <row r="457" spans="1:62" s="33" customFormat="1" ht="15" customHeight="1">
      <c r="A457" s="33" t="s">
        <v>1717</v>
      </c>
      <c r="B457" s="33" t="s">
        <v>1965</v>
      </c>
      <c r="C457" s="33" t="s">
        <v>1976</v>
      </c>
      <c r="D457" s="55">
        <v>174</v>
      </c>
      <c r="E457" s="33">
        <v>1</v>
      </c>
      <c r="F457" s="33" t="s">
        <v>1718</v>
      </c>
      <c r="G457" s="33" t="s">
        <v>1827</v>
      </c>
      <c r="J457" s="33" t="s">
        <v>31</v>
      </c>
      <c r="N457" s="104"/>
      <c r="O457" s="105"/>
      <c r="P457" s="106"/>
      <c r="Q457" s="107"/>
      <c r="R457" s="67"/>
      <c r="S457" s="113"/>
      <c r="T457" s="68"/>
      <c r="U457" s="105"/>
      <c r="V457" s="108"/>
      <c r="W457" s="109"/>
      <c r="X457" s="110"/>
      <c r="Y457" s="67"/>
      <c r="Z457" s="68"/>
      <c r="AA457" s="111"/>
      <c r="AB457" s="52"/>
      <c r="AD457" s="33" t="s">
        <v>1828</v>
      </c>
      <c r="AE457" s="24"/>
      <c r="AF457" s="23" t="s">
        <v>1887</v>
      </c>
      <c r="AG457" s="23"/>
      <c r="AI457" s="33" t="s">
        <v>1892</v>
      </c>
      <c r="AL457" s="33" t="s">
        <v>31</v>
      </c>
      <c r="AP457" s="112"/>
      <c r="AQ457" s="105"/>
      <c r="AR457" s="106"/>
      <c r="AS457" s="107"/>
      <c r="AT457" s="67"/>
      <c r="AU457" s="68"/>
      <c r="AV457" s="105"/>
      <c r="AW457" s="108"/>
      <c r="AX457" s="109"/>
      <c r="AY457" s="110">
        <v>3</v>
      </c>
      <c r="AZ457" s="67" t="s">
        <v>1073</v>
      </c>
      <c r="BA457" s="68"/>
      <c r="BB457" s="111">
        <v>1</v>
      </c>
      <c r="BF457" s="24"/>
      <c r="BG457" s="23" t="s">
        <v>1855</v>
      </c>
      <c r="BH457" s="23"/>
    </row>
    <row r="458" spans="1:62" s="33" customFormat="1" ht="15" customHeight="1">
      <c r="A458" s="33" t="s">
        <v>1717</v>
      </c>
      <c r="B458" s="33" t="s">
        <v>1966</v>
      </c>
      <c r="C458" s="33" t="s">
        <v>1976</v>
      </c>
      <c r="D458" s="55">
        <v>175</v>
      </c>
      <c r="E458" s="33">
        <v>1</v>
      </c>
      <c r="F458" s="33" t="s">
        <v>1718</v>
      </c>
      <c r="G458" s="33" t="s">
        <v>1829</v>
      </c>
      <c r="J458" s="33" t="s">
        <v>31</v>
      </c>
      <c r="N458" s="104"/>
      <c r="O458" s="105"/>
      <c r="P458" s="106"/>
      <c r="Q458" s="107"/>
      <c r="R458" s="67"/>
      <c r="S458" s="113"/>
      <c r="T458" s="68"/>
      <c r="U458" s="105"/>
      <c r="V458" s="108"/>
      <c r="W458" s="109"/>
      <c r="X458" s="110"/>
      <c r="Y458" s="67"/>
      <c r="Z458" s="68"/>
      <c r="AA458" s="111"/>
      <c r="AB458" s="52"/>
      <c r="AD458" s="33" t="s">
        <v>1828</v>
      </c>
      <c r="AE458" s="24"/>
      <c r="AF458" s="23" t="s">
        <v>1893</v>
      </c>
      <c r="AG458" s="23"/>
      <c r="AI458" s="33" t="s">
        <v>1829</v>
      </c>
      <c r="AL458" s="33" t="s">
        <v>31</v>
      </c>
      <c r="AP458" s="112"/>
      <c r="AQ458" s="105"/>
      <c r="AR458" s="106"/>
      <c r="AS458" s="107"/>
      <c r="AT458" s="67"/>
      <c r="AU458" s="68"/>
      <c r="AV458" s="105"/>
      <c r="AW458" s="108"/>
      <c r="AX458" s="109"/>
      <c r="AY458" s="110">
        <v>4</v>
      </c>
      <c r="AZ458" s="67" t="s">
        <v>1111</v>
      </c>
      <c r="BA458" s="68"/>
      <c r="BB458" s="111">
        <v>1</v>
      </c>
      <c r="BF458" s="24"/>
      <c r="BG458" s="23" t="s">
        <v>1830</v>
      </c>
      <c r="BH458" s="23"/>
    </row>
    <row r="459" spans="1:62" s="33" customFormat="1" ht="15" customHeight="1">
      <c r="A459" s="33" t="s">
        <v>1717</v>
      </c>
      <c r="B459" s="33" t="s">
        <v>1967</v>
      </c>
      <c r="C459" s="33" t="s">
        <v>1976</v>
      </c>
      <c r="D459" s="55">
        <v>176</v>
      </c>
      <c r="E459" s="33">
        <v>1</v>
      </c>
      <c r="F459" s="33" t="s">
        <v>1718</v>
      </c>
      <c r="G459" s="33" t="s">
        <v>1829</v>
      </c>
      <c r="J459" s="33" t="s">
        <v>31</v>
      </c>
      <c r="N459" s="104"/>
      <c r="O459" s="105"/>
      <c r="P459" s="106"/>
      <c r="Q459" s="107"/>
      <c r="R459" s="67"/>
      <c r="S459" s="113"/>
      <c r="T459" s="68"/>
      <c r="U459" s="105"/>
      <c r="V459" s="108"/>
      <c r="W459" s="109"/>
      <c r="X459" s="110"/>
      <c r="Y459" s="67"/>
      <c r="Z459" s="68"/>
      <c r="AA459" s="111"/>
      <c r="AB459" s="52"/>
      <c r="AD459" s="33" t="s">
        <v>1828</v>
      </c>
      <c r="AE459" s="24"/>
      <c r="AF459" s="23" t="s">
        <v>1893</v>
      </c>
      <c r="AG459" s="23"/>
      <c r="AI459" s="33" t="s">
        <v>1829</v>
      </c>
      <c r="AL459" s="33" t="s">
        <v>31</v>
      </c>
      <c r="AP459" s="112"/>
      <c r="AQ459" s="105"/>
      <c r="AR459" s="106"/>
      <c r="AS459" s="107"/>
      <c r="AT459" s="67"/>
      <c r="AU459" s="68"/>
      <c r="AV459" s="105"/>
      <c r="AW459" s="108"/>
      <c r="AX459" s="109"/>
      <c r="AY459" s="110">
        <v>2</v>
      </c>
      <c r="AZ459" s="67" t="s">
        <v>1111</v>
      </c>
      <c r="BA459" s="68"/>
      <c r="BB459" s="111">
        <v>1</v>
      </c>
      <c r="BF459" s="24"/>
      <c r="BG459" s="23" t="s">
        <v>1856</v>
      </c>
      <c r="BH459" s="23"/>
    </row>
    <row r="460" spans="1:62" s="33" customFormat="1" ht="15" customHeight="1">
      <c r="A460" s="33" t="s">
        <v>1717</v>
      </c>
      <c r="B460" s="33" t="s">
        <v>1968</v>
      </c>
      <c r="C460" s="33" t="s">
        <v>1976</v>
      </c>
      <c r="D460" s="55">
        <v>177</v>
      </c>
      <c r="E460" s="33">
        <v>1</v>
      </c>
      <c r="F460" s="33" t="s">
        <v>1718</v>
      </c>
      <c r="G460" s="33" t="s">
        <v>1829</v>
      </c>
      <c r="J460" s="33" t="s">
        <v>31</v>
      </c>
      <c r="N460" s="104"/>
      <c r="O460" s="105"/>
      <c r="P460" s="106"/>
      <c r="Q460" s="107"/>
      <c r="R460" s="67"/>
      <c r="S460" s="113"/>
      <c r="T460" s="68"/>
      <c r="U460" s="105"/>
      <c r="V460" s="108"/>
      <c r="W460" s="109"/>
      <c r="X460" s="110"/>
      <c r="Y460" s="67"/>
      <c r="Z460" s="68"/>
      <c r="AA460" s="111"/>
      <c r="AB460" s="52"/>
      <c r="AD460" s="33" t="s">
        <v>1828</v>
      </c>
      <c r="AE460" s="24"/>
      <c r="AF460" s="23" t="s">
        <v>1893</v>
      </c>
      <c r="AG460" s="23"/>
      <c r="AI460" s="33" t="s">
        <v>1829</v>
      </c>
      <c r="AL460" s="33" t="s">
        <v>31</v>
      </c>
      <c r="AP460" s="112"/>
      <c r="AQ460" s="105"/>
      <c r="AR460" s="106"/>
      <c r="AS460" s="107"/>
      <c r="AT460" s="67"/>
      <c r="AU460" s="68"/>
      <c r="AV460" s="105"/>
      <c r="AW460" s="108"/>
      <c r="AX460" s="109"/>
      <c r="AY460" s="110">
        <v>1</v>
      </c>
      <c r="AZ460" s="67" t="s">
        <v>1111</v>
      </c>
      <c r="BA460" s="68"/>
      <c r="BB460" s="111">
        <v>1</v>
      </c>
      <c r="BF460" s="24"/>
      <c r="BG460" s="23" t="s">
        <v>1857</v>
      </c>
      <c r="BH460" s="23"/>
    </row>
    <row r="461" spans="1:62" s="33" customFormat="1" ht="15" customHeight="1">
      <c r="A461" s="33" t="s">
        <v>1717</v>
      </c>
      <c r="B461" s="33" t="s">
        <v>1969</v>
      </c>
      <c r="C461" s="33" t="s">
        <v>1976</v>
      </c>
      <c r="D461" s="55">
        <v>178</v>
      </c>
      <c r="E461" s="33">
        <v>4</v>
      </c>
      <c r="F461" s="33" t="s">
        <v>1718</v>
      </c>
      <c r="G461" s="33" t="s">
        <v>1831</v>
      </c>
      <c r="J461" s="33" t="s">
        <v>28</v>
      </c>
      <c r="K461" s="33" t="s">
        <v>26</v>
      </c>
      <c r="M461" s="33" t="s">
        <v>648</v>
      </c>
      <c r="N461" s="104"/>
      <c r="O461" s="105"/>
      <c r="P461" s="106"/>
      <c r="Q461" s="107"/>
      <c r="R461" s="67"/>
      <c r="S461" s="113"/>
      <c r="T461" s="68"/>
      <c r="U461" s="105"/>
      <c r="V461" s="108"/>
      <c r="W461" s="109"/>
      <c r="X461" s="110"/>
      <c r="Y461" s="67"/>
      <c r="Z461" s="68"/>
      <c r="AA461" s="111"/>
      <c r="AB461" s="52"/>
      <c r="AD461" s="33" t="s">
        <v>284</v>
      </c>
      <c r="AE461" s="24"/>
      <c r="AF461" s="23" t="s">
        <v>1858</v>
      </c>
      <c r="AG461" s="23"/>
      <c r="AP461" s="112"/>
      <c r="AQ461" s="105"/>
      <c r="AR461" s="106"/>
      <c r="AS461" s="107"/>
      <c r="AT461" s="67"/>
      <c r="AU461" s="68"/>
      <c r="AV461" s="105"/>
      <c r="AW461" s="108"/>
      <c r="AX461" s="109"/>
      <c r="AY461" s="110"/>
      <c r="AZ461" s="67"/>
      <c r="BA461" s="68"/>
      <c r="BB461" s="111"/>
      <c r="BF461" s="24"/>
      <c r="BG461" s="23"/>
      <c r="BH461" s="23"/>
    </row>
    <row r="462" spans="1:62" s="33" customFormat="1" ht="15" customHeight="1">
      <c r="A462" s="33" t="s">
        <v>1717</v>
      </c>
      <c r="B462" s="33" t="s">
        <v>1970</v>
      </c>
      <c r="C462" s="33" t="s">
        <v>1976</v>
      </c>
      <c r="D462" s="55">
        <v>179</v>
      </c>
      <c r="E462" s="33">
        <v>3</v>
      </c>
      <c r="F462" s="33" t="s">
        <v>1718</v>
      </c>
      <c r="G462" s="33" t="s">
        <v>1832</v>
      </c>
      <c r="J462" s="33" t="s">
        <v>257</v>
      </c>
      <c r="K462" s="33" t="s">
        <v>26</v>
      </c>
      <c r="N462" s="104">
        <v>0</v>
      </c>
      <c r="O462" s="105"/>
      <c r="P462" s="106"/>
      <c r="Q462" s="107"/>
      <c r="R462" s="67"/>
      <c r="S462" s="113"/>
      <c r="T462" s="68">
        <v>1</v>
      </c>
      <c r="U462" s="105">
        <v>1</v>
      </c>
      <c r="V462" s="108"/>
      <c r="W462" s="109"/>
      <c r="X462" s="110"/>
      <c r="Y462" s="67"/>
      <c r="Z462" s="68"/>
      <c r="AA462" s="111"/>
      <c r="AB462" s="52"/>
      <c r="AD462" s="33" t="s">
        <v>1833</v>
      </c>
      <c r="AE462" s="24" t="s">
        <v>1895</v>
      </c>
      <c r="AF462" s="23" t="s">
        <v>1894</v>
      </c>
      <c r="AG462" s="23"/>
      <c r="AP462" s="112"/>
      <c r="AQ462" s="105"/>
      <c r="AR462" s="106"/>
      <c r="AS462" s="107"/>
      <c r="AT462" s="67"/>
      <c r="AU462" s="68"/>
      <c r="AV462" s="105"/>
      <c r="AW462" s="108"/>
      <c r="AX462" s="109"/>
      <c r="AY462" s="110"/>
      <c r="AZ462" s="67"/>
      <c r="BA462" s="68"/>
      <c r="BB462" s="111"/>
      <c r="BF462" s="24"/>
      <c r="BG462" s="23"/>
      <c r="BH462" s="23"/>
      <c r="BJ462" s="33" t="s">
        <v>1982</v>
      </c>
    </row>
    <row r="463" spans="1:62" s="33" customFormat="1" ht="15" customHeight="1">
      <c r="A463" s="33" t="s">
        <v>1717</v>
      </c>
      <c r="B463" s="33" t="s">
        <v>1971</v>
      </c>
      <c r="C463" s="33" t="s">
        <v>1976</v>
      </c>
      <c r="D463" s="55">
        <v>180</v>
      </c>
      <c r="E463" s="33">
        <v>3</v>
      </c>
      <c r="F463" s="33" t="s">
        <v>1718</v>
      </c>
      <c r="G463" s="33" t="s">
        <v>1834</v>
      </c>
      <c r="J463" s="33" t="s">
        <v>28</v>
      </c>
      <c r="N463" s="104"/>
      <c r="O463" s="105"/>
      <c r="P463" s="106"/>
      <c r="Q463" s="107"/>
      <c r="R463" s="67"/>
      <c r="S463" s="113"/>
      <c r="T463" s="68"/>
      <c r="U463" s="105"/>
      <c r="V463" s="108"/>
      <c r="W463" s="109"/>
      <c r="X463" s="110"/>
      <c r="Y463" s="67"/>
      <c r="Z463" s="68"/>
      <c r="AA463" s="111"/>
      <c r="AB463" s="52"/>
      <c r="AD463" s="33" t="s">
        <v>1663</v>
      </c>
      <c r="AE463" s="24"/>
      <c r="AF463" s="23" t="s">
        <v>1859</v>
      </c>
      <c r="AG463" s="23"/>
      <c r="AP463" s="112"/>
      <c r="AQ463" s="105"/>
      <c r="AR463" s="106"/>
      <c r="AS463" s="107"/>
      <c r="AT463" s="67"/>
      <c r="AU463" s="68"/>
      <c r="AV463" s="105"/>
      <c r="AW463" s="108"/>
      <c r="AX463" s="109"/>
      <c r="AY463" s="110"/>
      <c r="AZ463" s="67"/>
      <c r="BA463" s="68"/>
      <c r="BB463" s="111"/>
      <c r="BF463" s="24"/>
      <c r="BG463" s="23"/>
      <c r="BH463" s="23"/>
    </row>
    <row r="464" spans="1:62" s="33" customFormat="1" ht="15" customHeight="1">
      <c r="A464" s="33" t="s">
        <v>1717</v>
      </c>
      <c r="B464" s="33" t="s">
        <v>1972</v>
      </c>
      <c r="C464" s="33" t="s">
        <v>1976</v>
      </c>
      <c r="D464" s="55">
        <v>181</v>
      </c>
      <c r="E464" s="33">
        <v>3</v>
      </c>
      <c r="F464" s="33" t="s">
        <v>1718</v>
      </c>
      <c r="G464" s="33" t="s">
        <v>1835</v>
      </c>
      <c r="J464" s="33" t="s">
        <v>28</v>
      </c>
      <c r="N464" s="104"/>
      <c r="O464" s="105"/>
      <c r="P464" s="106"/>
      <c r="Q464" s="107"/>
      <c r="R464" s="67"/>
      <c r="S464" s="113"/>
      <c r="T464" s="68"/>
      <c r="U464" s="105"/>
      <c r="V464" s="108"/>
      <c r="W464" s="109"/>
      <c r="X464" s="110"/>
      <c r="Y464" s="67"/>
      <c r="Z464" s="68"/>
      <c r="AA464" s="111"/>
      <c r="AB464" s="52"/>
      <c r="AD464" s="33" t="s">
        <v>479</v>
      </c>
      <c r="AE464" s="24"/>
      <c r="AF464" s="23" t="s">
        <v>1860</v>
      </c>
      <c r="AG464" s="23"/>
      <c r="AP464" s="112"/>
      <c r="AQ464" s="105"/>
      <c r="AR464" s="106"/>
      <c r="AS464" s="107"/>
      <c r="AT464" s="67"/>
      <c r="AU464" s="68"/>
      <c r="AV464" s="105"/>
      <c r="AW464" s="108"/>
      <c r="AX464" s="109"/>
      <c r="AY464" s="110"/>
      <c r="AZ464" s="67"/>
      <c r="BA464" s="68"/>
      <c r="BB464" s="111"/>
      <c r="BF464" s="24"/>
      <c r="BG464" s="23"/>
      <c r="BH464" s="23"/>
    </row>
    <row r="465" spans="1:60" s="33" customFormat="1" ht="15" customHeight="1">
      <c r="A465" s="33" t="s">
        <v>1717</v>
      </c>
      <c r="B465" s="33" t="s">
        <v>1973</v>
      </c>
      <c r="C465" s="33" t="s">
        <v>1976</v>
      </c>
      <c r="D465" s="55">
        <v>182</v>
      </c>
      <c r="E465" s="33">
        <v>2</v>
      </c>
      <c r="F465" s="33" t="s">
        <v>1718</v>
      </c>
      <c r="G465" s="33" t="s">
        <v>1836</v>
      </c>
      <c r="J465" s="33" t="s">
        <v>29</v>
      </c>
      <c r="N465" s="104"/>
      <c r="O465" s="105"/>
      <c r="P465" s="106"/>
      <c r="Q465" s="107">
        <v>3</v>
      </c>
      <c r="R465" s="67">
        <v>2</v>
      </c>
      <c r="S465" s="113"/>
      <c r="T465" s="68">
        <v>3</v>
      </c>
      <c r="U465" s="105"/>
      <c r="V465" s="108">
        <v>1</v>
      </c>
      <c r="W465" s="109">
        <v>1</v>
      </c>
      <c r="X465" s="110"/>
      <c r="Y465" s="67"/>
      <c r="Z465" s="68"/>
      <c r="AA465" s="111"/>
      <c r="AB465" s="52"/>
      <c r="AD465" s="33" t="s">
        <v>1691</v>
      </c>
      <c r="AE465" s="24"/>
      <c r="AF465" s="23" t="s">
        <v>1837</v>
      </c>
      <c r="AG465" s="23"/>
      <c r="AP465" s="112"/>
      <c r="AQ465" s="105"/>
      <c r="AR465" s="106"/>
      <c r="AS465" s="107"/>
      <c r="AT465" s="67"/>
      <c r="AU465" s="68"/>
      <c r="AV465" s="105"/>
      <c r="AW465" s="108"/>
      <c r="AX465" s="109"/>
      <c r="AY465" s="110"/>
      <c r="AZ465" s="67"/>
      <c r="BA465" s="68"/>
      <c r="BB465" s="111"/>
      <c r="BF465" s="24"/>
      <c r="BG465" s="23"/>
      <c r="BH465" s="23"/>
    </row>
    <row r="466" spans="1:60" s="33" customFormat="1" ht="15" customHeight="1">
      <c r="A466" s="33" t="s">
        <v>1717</v>
      </c>
      <c r="B466" s="33" t="s">
        <v>1974</v>
      </c>
      <c r="C466" s="33" t="s">
        <v>1976</v>
      </c>
      <c r="D466" s="55">
        <v>183</v>
      </c>
      <c r="E466" s="33">
        <v>2</v>
      </c>
      <c r="F466" s="33" t="s">
        <v>1718</v>
      </c>
      <c r="G466" s="33" t="s">
        <v>1838</v>
      </c>
      <c r="J466" s="33" t="s">
        <v>29</v>
      </c>
      <c r="N466" s="104"/>
      <c r="O466" s="105"/>
      <c r="P466" s="106"/>
      <c r="Q466" s="107">
        <v>4</v>
      </c>
      <c r="R466" s="67">
        <v>3</v>
      </c>
      <c r="S466" s="113"/>
      <c r="T466" s="68">
        <v>5</v>
      </c>
      <c r="U466" s="105"/>
      <c r="V466" s="108">
        <v>2</v>
      </c>
      <c r="W466" s="109">
        <v>2</v>
      </c>
      <c r="X466" s="110"/>
      <c r="Y466" s="67"/>
      <c r="Z466" s="68"/>
      <c r="AA466" s="111">
        <v>1</v>
      </c>
      <c r="AB466" s="52"/>
      <c r="AD466" s="33" t="s">
        <v>1691</v>
      </c>
      <c r="AE466" s="24"/>
      <c r="AF466" s="23" t="s">
        <v>1861</v>
      </c>
      <c r="AG466" s="23"/>
      <c r="AP466" s="112"/>
      <c r="AQ466" s="105"/>
      <c r="AR466" s="106"/>
      <c r="AS466" s="107"/>
      <c r="AT466" s="67"/>
      <c r="AU466" s="68"/>
      <c r="AV466" s="105"/>
      <c r="AW466" s="108"/>
      <c r="AX466" s="109"/>
      <c r="AY466" s="110"/>
      <c r="AZ466" s="67"/>
      <c r="BA466" s="68"/>
      <c r="BB466" s="111"/>
      <c r="BF466" s="24"/>
      <c r="BG466" s="23"/>
      <c r="BH466" s="23"/>
    </row>
    <row r="467" spans="1:60" ht="15" customHeight="1">
      <c r="A467" s="41" t="s">
        <v>2045</v>
      </c>
      <c r="B467" s="41" t="s">
        <v>2046</v>
      </c>
      <c r="C467" s="41" t="s">
        <v>2087</v>
      </c>
      <c r="D467" s="116">
        <v>184</v>
      </c>
      <c r="E467" s="41">
        <v>2</v>
      </c>
      <c r="F467" s="41"/>
      <c r="G467" s="41" t="s">
        <v>1984</v>
      </c>
      <c r="J467" s="23" t="s">
        <v>27</v>
      </c>
      <c r="K467" s="23" t="s">
        <v>198</v>
      </c>
      <c r="L467" s="23">
        <v>0</v>
      </c>
      <c r="N467" s="62">
        <v>1</v>
      </c>
      <c r="P467" s="64">
        <v>1</v>
      </c>
      <c r="Q467" s="65">
        <v>1</v>
      </c>
      <c r="AB467" s="23" t="s">
        <v>1091</v>
      </c>
      <c r="AD467" s="23" t="s">
        <v>307</v>
      </c>
      <c r="AF467" s="23" t="s">
        <v>1985</v>
      </c>
      <c r="AP467" s="73"/>
      <c r="AQ467" s="75"/>
      <c r="AR467" s="76"/>
      <c r="AS467" s="77"/>
      <c r="AV467" s="75"/>
      <c r="AW467" s="83"/>
      <c r="AX467" s="84"/>
      <c r="AY467" s="80"/>
      <c r="BB467" s="81"/>
    </row>
    <row r="468" spans="1:60" ht="15" customHeight="1">
      <c r="A468" s="23" t="s">
        <v>2045</v>
      </c>
      <c r="B468" s="23" t="s">
        <v>2047</v>
      </c>
      <c r="C468" s="23" t="s">
        <v>2087</v>
      </c>
      <c r="D468" s="24">
        <v>185</v>
      </c>
      <c r="E468" s="23">
        <v>2</v>
      </c>
      <c r="G468" s="23" t="s">
        <v>1986</v>
      </c>
      <c r="J468" s="23" t="s">
        <v>257</v>
      </c>
      <c r="K468" s="23" t="s">
        <v>198</v>
      </c>
      <c r="L468" s="23">
        <v>3</v>
      </c>
      <c r="N468" s="62">
        <v>0</v>
      </c>
      <c r="AD468" s="23" t="s">
        <v>289</v>
      </c>
      <c r="AE468" s="24" t="s">
        <v>1978</v>
      </c>
      <c r="AF468" s="23" t="s">
        <v>2379</v>
      </c>
      <c r="AP468" s="73"/>
      <c r="AQ468" s="75"/>
      <c r="AR468" s="76"/>
      <c r="AS468" s="77"/>
      <c r="AV468" s="75"/>
      <c r="AW468" s="83"/>
      <c r="AX468" s="84"/>
      <c r="AY468" s="80"/>
      <c r="BB468" s="81"/>
    </row>
    <row r="469" spans="1:60" ht="15" customHeight="1">
      <c r="A469" s="23" t="s">
        <v>2045</v>
      </c>
      <c r="B469" s="23" t="s">
        <v>2048</v>
      </c>
      <c r="C469" s="23" t="s">
        <v>2087</v>
      </c>
      <c r="D469" s="24">
        <v>186</v>
      </c>
      <c r="E469" s="23">
        <v>2</v>
      </c>
      <c r="G469" s="23" t="s">
        <v>1987</v>
      </c>
      <c r="J469" s="23" t="s">
        <v>27</v>
      </c>
      <c r="K469" s="23" t="s">
        <v>199</v>
      </c>
      <c r="L469" s="23">
        <v>0</v>
      </c>
      <c r="N469" s="62">
        <v>2</v>
      </c>
      <c r="O469" s="63">
        <v>1</v>
      </c>
      <c r="P469" s="64">
        <v>1</v>
      </c>
      <c r="AB469" s="23" t="s">
        <v>1092</v>
      </c>
      <c r="AD469" s="23" t="s">
        <v>340</v>
      </c>
      <c r="AF469" s="23" t="s">
        <v>2089</v>
      </c>
      <c r="AP469" s="73"/>
      <c r="AQ469" s="75"/>
      <c r="AR469" s="76"/>
      <c r="AS469" s="77"/>
      <c r="AV469" s="75"/>
      <c r="AW469" s="83"/>
      <c r="AX469" s="84"/>
      <c r="AY469" s="80"/>
      <c r="BB469" s="81"/>
    </row>
    <row r="470" spans="1:60" ht="15" customHeight="1">
      <c r="A470" s="23" t="s">
        <v>2045</v>
      </c>
      <c r="B470" s="23" t="s">
        <v>2049</v>
      </c>
      <c r="C470" s="23" t="s">
        <v>2087</v>
      </c>
      <c r="D470" s="24">
        <v>187</v>
      </c>
      <c r="E470" s="23">
        <v>2</v>
      </c>
      <c r="G470" s="23" t="s">
        <v>1988</v>
      </c>
      <c r="J470" s="23" t="s">
        <v>257</v>
      </c>
      <c r="K470" s="23" t="s">
        <v>199</v>
      </c>
      <c r="L470" s="23">
        <v>3</v>
      </c>
      <c r="N470" s="62">
        <v>0</v>
      </c>
      <c r="AD470" s="23" t="s">
        <v>289</v>
      </c>
      <c r="AE470" s="24" t="s">
        <v>1978</v>
      </c>
      <c r="AF470" s="23" t="s">
        <v>2380</v>
      </c>
      <c r="AP470" s="73"/>
      <c r="AQ470" s="75"/>
      <c r="AR470" s="76"/>
      <c r="AS470" s="77"/>
      <c r="AV470" s="75"/>
      <c r="AW470" s="83"/>
      <c r="AX470" s="84"/>
      <c r="AY470" s="80"/>
      <c r="BB470" s="81"/>
    </row>
    <row r="471" spans="1:60" ht="15" customHeight="1">
      <c r="A471" s="23" t="s">
        <v>2045</v>
      </c>
      <c r="B471" s="23" t="s">
        <v>2050</v>
      </c>
      <c r="C471" s="23" t="s">
        <v>2087</v>
      </c>
      <c r="D471" s="24">
        <v>188</v>
      </c>
      <c r="E471" s="23">
        <v>2</v>
      </c>
      <c r="G471" s="23" t="s">
        <v>1989</v>
      </c>
      <c r="J471" s="23" t="s">
        <v>257</v>
      </c>
      <c r="K471" s="23" t="s">
        <v>201</v>
      </c>
      <c r="L471" s="23">
        <v>0</v>
      </c>
      <c r="N471" s="62">
        <v>1</v>
      </c>
      <c r="R471" s="66">
        <v>1</v>
      </c>
      <c r="AB471" s="23" t="s">
        <v>207</v>
      </c>
      <c r="AD471" s="23" t="s">
        <v>289</v>
      </c>
      <c r="AF471" s="23" t="s">
        <v>2090</v>
      </c>
      <c r="AP471" s="73"/>
      <c r="AQ471" s="75"/>
      <c r="AR471" s="76"/>
      <c r="AS471" s="77"/>
      <c r="AV471" s="75"/>
      <c r="AW471" s="83"/>
      <c r="AX471" s="84"/>
      <c r="AY471" s="80"/>
      <c r="BB471" s="81"/>
    </row>
    <row r="472" spans="1:60" ht="15" customHeight="1">
      <c r="A472" s="23" t="s">
        <v>2045</v>
      </c>
      <c r="B472" s="23" t="s">
        <v>2051</v>
      </c>
      <c r="C472" s="23" t="s">
        <v>2087</v>
      </c>
      <c r="D472" s="24">
        <v>189</v>
      </c>
      <c r="E472" s="23">
        <v>2</v>
      </c>
      <c r="G472" s="23" t="s">
        <v>1990</v>
      </c>
      <c r="J472" s="23" t="s">
        <v>257</v>
      </c>
      <c r="K472" s="23" t="s">
        <v>201</v>
      </c>
      <c r="L472" s="23">
        <v>3</v>
      </c>
      <c r="N472" s="62">
        <v>0</v>
      </c>
      <c r="AD472" s="23" t="s">
        <v>289</v>
      </c>
      <c r="AE472" s="24" t="s">
        <v>1978</v>
      </c>
      <c r="AF472" s="23" t="s">
        <v>2381</v>
      </c>
      <c r="AP472" s="73"/>
      <c r="AQ472" s="75"/>
      <c r="AR472" s="76"/>
      <c r="AS472" s="77"/>
      <c r="AV472" s="75"/>
      <c r="AW472" s="83"/>
      <c r="AX472" s="84"/>
      <c r="AY472" s="80"/>
      <c r="BB472" s="81"/>
    </row>
    <row r="473" spans="1:60" ht="15" customHeight="1">
      <c r="A473" s="23" t="s">
        <v>2045</v>
      </c>
      <c r="B473" s="23" t="s">
        <v>2052</v>
      </c>
      <c r="C473" s="23" t="s">
        <v>2087</v>
      </c>
      <c r="D473" s="24">
        <v>190</v>
      </c>
      <c r="E473" s="23">
        <v>2</v>
      </c>
      <c r="G473" s="23" t="s">
        <v>1991</v>
      </c>
      <c r="J473" s="23" t="s">
        <v>312</v>
      </c>
      <c r="K473" s="23" t="s">
        <v>200</v>
      </c>
      <c r="L473" s="23">
        <v>0</v>
      </c>
      <c r="S473" s="113">
        <v>1</v>
      </c>
      <c r="AB473" s="23" t="s">
        <v>208</v>
      </c>
      <c r="AD473" s="23" t="s">
        <v>412</v>
      </c>
      <c r="AF473" s="23" t="s">
        <v>1992</v>
      </c>
      <c r="AP473" s="73"/>
      <c r="AQ473" s="75"/>
      <c r="AR473" s="76"/>
      <c r="AS473" s="77"/>
      <c r="AV473" s="75"/>
      <c r="AW473" s="83"/>
      <c r="AX473" s="84"/>
      <c r="AY473" s="80"/>
      <c r="BB473" s="81"/>
    </row>
    <row r="474" spans="1:60" ht="15" customHeight="1">
      <c r="A474" s="23" t="s">
        <v>2045</v>
      </c>
      <c r="B474" s="23" t="s">
        <v>2053</v>
      </c>
      <c r="C474" s="23" t="s">
        <v>2087</v>
      </c>
      <c r="D474" s="24">
        <v>191</v>
      </c>
      <c r="E474" s="23">
        <v>2</v>
      </c>
      <c r="G474" s="23" t="s">
        <v>1993</v>
      </c>
      <c r="J474" s="23" t="s">
        <v>257</v>
      </c>
      <c r="K474" s="23" t="s">
        <v>200</v>
      </c>
      <c r="L474" s="23">
        <v>3</v>
      </c>
      <c r="N474" s="62">
        <v>0</v>
      </c>
      <c r="AD474" s="23" t="s">
        <v>1994</v>
      </c>
      <c r="AE474" s="24" t="s">
        <v>1978</v>
      </c>
      <c r="AF474" s="23" t="s">
        <v>2382</v>
      </c>
      <c r="AP474" s="73"/>
      <c r="AQ474" s="75"/>
      <c r="AR474" s="76"/>
      <c r="AS474" s="77"/>
      <c r="AV474" s="75"/>
      <c r="AW474" s="83"/>
      <c r="AX474" s="84"/>
      <c r="AY474" s="80"/>
      <c r="BB474" s="81"/>
    </row>
    <row r="475" spans="1:60" ht="15" customHeight="1">
      <c r="A475" s="23" t="s">
        <v>2045</v>
      </c>
      <c r="B475" s="23" t="s">
        <v>2054</v>
      </c>
      <c r="C475" s="23" t="s">
        <v>2087</v>
      </c>
      <c r="D475" s="24">
        <v>192</v>
      </c>
      <c r="E475" s="23">
        <v>2</v>
      </c>
      <c r="G475" s="23" t="s">
        <v>1995</v>
      </c>
      <c r="J475" s="23" t="s">
        <v>312</v>
      </c>
      <c r="K475" s="23" t="s">
        <v>202</v>
      </c>
      <c r="L475" s="23">
        <v>0</v>
      </c>
      <c r="S475" s="113">
        <v>3</v>
      </c>
      <c r="AB475" s="23" t="s">
        <v>1996</v>
      </c>
      <c r="AD475" s="23" t="s">
        <v>412</v>
      </c>
      <c r="AF475" s="23" t="s">
        <v>1997</v>
      </c>
      <c r="AP475" s="73"/>
      <c r="AQ475" s="75"/>
      <c r="AR475" s="76"/>
      <c r="AS475" s="77"/>
      <c r="AV475" s="75"/>
      <c r="AW475" s="83"/>
      <c r="AX475" s="84"/>
      <c r="AY475" s="80"/>
      <c r="BB475" s="81"/>
    </row>
    <row r="476" spans="1:60" ht="15" customHeight="1">
      <c r="A476" s="23" t="s">
        <v>2045</v>
      </c>
      <c r="B476" s="23" t="s">
        <v>2055</v>
      </c>
      <c r="C476" s="23" t="s">
        <v>2087</v>
      </c>
      <c r="D476" s="24">
        <v>193</v>
      </c>
      <c r="E476" s="23">
        <v>2</v>
      </c>
      <c r="G476" s="23" t="s">
        <v>1998</v>
      </c>
      <c r="J476" s="23" t="s">
        <v>257</v>
      </c>
      <c r="K476" s="23" t="s">
        <v>202</v>
      </c>
      <c r="L476" s="23">
        <v>3</v>
      </c>
      <c r="N476" s="62">
        <v>0</v>
      </c>
      <c r="AD476" s="23" t="s">
        <v>289</v>
      </c>
      <c r="AE476" s="24" t="s">
        <v>1978</v>
      </c>
      <c r="AF476" s="23" t="s">
        <v>2383</v>
      </c>
      <c r="AP476" s="73"/>
      <c r="AQ476" s="75"/>
      <c r="AR476" s="76"/>
      <c r="AS476" s="77"/>
      <c r="AV476" s="75"/>
      <c r="AW476" s="83"/>
      <c r="AX476" s="84"/>
      <c r="AY476" s="80"/>
      <c r="BB476" s="81"/>
    </row>
    <row r="477" spans="1:60" ht="15" customHeight="1">
      <c r="A477" s="23" t="s">
        <v>2045</v>
      </c>
      <c r="B477" s="23" t="s">
        <v>2056</v>
      </c>
      <c r="C477" s="23" t="s">
        <v>2087</v>
      </c>
      <c r="D477" s="24">
        <v>194</v>
      </c>
      <c r="E477" s="23">
        <v>2</v>
      </c>
      <c r="G477" s="23" t="s">
        <v>423</v>
      </c>
      <c r="J477" s="23" t="s">
        <v>27</v>
      </c>
      <c r="K477" s="23" t="s">
        <v>26</v>
      </c>
      <c r="L477" s="23">
        <v>2</v>
      </c>
      <c r="N477" s="62">
        <v>0</v>
      </c>
      <c r="AD477" s="23" t="s">
        <v>316</v>
      </c>
      <c r="AF477" s="23" t="s">
        <v>1999</v>
      </c>
      <c r="AP477" s="73"/>
      <c r="AQ477" s="75"/>
      <c r="AR477" s="76"/>
      <c r="AS477" s="77"/>
      <c r="AV477" s="75"/>
      <c r="AW477" s="83"/>
      <c r="AX477" s="84"/>
      <c r="AY477" s="80"/>
      <c r="BB477" s="81"/>
    </row>
    <row r="478" spans="1:60" ht="15" customHeight="1">
      <c r="A478" s="23" t="s">
        <v>2045</v>
      </c>
      <c r="B478" s="23" t="s">
        <v>2057</v>
      </c>
      <c r="C478" s="23" t="s">
        <v>2087</v>
      </c>
      <c r="D478" s="24">
        <v>195</v>
      </c>
      <c r="E478" s="23">
        <v>1</v>
      </c>
      <c r="F478" s="23" t="s">
        <v>1983</v>
      </c>
      <c r="G478" s="23" t="s">
        <v>1983</v>
      </c>
      <c r="H478" s="23" t="s">
        <v>709</v>
      </c>
      <c r="J478" s="23" t="s">
        <v>618</v>
      </c>
      <c r="AF478" s="23" t="s">
        <v>2091</v>
      </c>
      <c r="AI478" s="23" t="s">
        <v>1983</v>
      </c>
      <c r="AJ478" s="23" t="s">
        <v>710</v>
      </c>
      <c r="AL478" s="23" t="s">
        <v>618</v>
      </c>
      <c r="AP478" s="73"/>
      <c r="AQ478" s="75"/>
      <c r="AR478" s="76"/>
      <c r="AS478" s="77"/>
      <c r="AV478" s="75"/>
      <c r="AW478" s="83"/>
      <c r="AX478" s="84"/>
      <c r="AY478" s="80"/>
      <c r="BB478" s="81"/>
      <c r="BG478" s="23" t="s">
        <v>2099</v>
      </c>
    </row>
    <row r="479" spans="1:60" ht="15" customHeight="1">
      <c r="A479" s="23" t="s">
        <v>2045</v>
      </c>
      <c r="B479" s="23" t="s">
        <v>2058</v>
      </c>
      <c r="C479" s="23" t="s">
        <v>2087</v>
      </c>
      <c r="D479" s="24">
        <v>196</v>
      </c>
      <c r="E479" s="23">
        <v>1</v>
      </c>
      <c r="F479" s="23" t="s">
        <v>1983</v>
      </c>
      <c r="G479" s="23" t="s">
        <v>2000</v>
      </c>
      <c r="J479" s="23" t="s">
        <v>619</v>
      </c>
      <c r="L479" s="23">
        <v>1</v>
      </c>
      <c r="Z479" s="68">
        <v>6</v>
      </c>
      <c r="AI479" s="23" t="s">
        <v>2000</v>
      </c>
      <c r="AL479" s="23" t="s">
        <v>619</v>
      </c>
      <c r="AN479" s="23">
        <v>1</v>
      </c>
      <c r="AP479" s="73"/>
      <c r="AQ479" s="75"/>
      <c r="AR479" s="76"/>
      <c r="AS479" s="77"/>
      <c r="AV479" s="75"/>
      <c r="AW479" s="83"/>
      <c r="AX479" s="84"/>
      <c r="AY479" s="80"/>
      <c r="BB479" s="81"/>
      <c r="BG479" s="23" t="s">
        <v>2001</v>
      </c>
    </row>
    <row r="480" spans="1:60" ht="15" customHeight="1">
      <c r="A480" s="23" t="s">
        <v>2045</v>
      </c>
      <c r="B480" s="23" t="s">
        <v>2059</v>
      </c>
      <c r="C480" s="23" t="s">
        <v>2087</v>
      </c>
      <c r="D480" s="24">
        <v>197</v>
      </c>
      <c r="E480" s="23">
        <v>1</v>
      </c>
      <c r="F480" s="23" t="s">
        <v>1983</v>
      </c>
      <c r="G480" s="23" t="s">
        <v>2002</v>
      </c>
      <c r="J480" s="23" t="s">
        <v>619</v>
      </c>
      <c r="L480" s="23">
        <v>2</v>
      </c>
      <c r="Z480" s="68">
        <v>6</v>
      </c>
      <c r="AI480" s="23" t="s">
        <v>2002</v>
      </c>
      <c r="AL480" s="23" t="s">
        <v>619</v>
      </c>
      <c r="AN480" s="23">
        <v>2</v>
      </c>
      <c r="AP480" s="73"/>
      <c r="AQ480" s="75"/>
      <c r="AR480" s="76"/>
      <c r="AS480" s="77"/>
      <c r="AV480" s="75"/>
      <c r="AW480" s="83"/>
      <c r="AX480" s="84"/>
      <c r="AY480" s="80"/>
      <c r="BB480" s="81"/>
      <c r="BG480" s="23" t="s">
        <v>2003</v>
      </c>
    </row>
    <row r="481" spans="1:59" ht="15" customHeight="1">
      <c r="A481" s="23" t="s">
        <v>2045</v>
      </c>
      <c r="B481" s="23" t="s">
        <v>2060</v>
      </c>
      <c r="C481" s="23" t="s">
        <v>2087</v>
      </c>
      <c r="D481" s="24">
        <v>198</v>
      </c>
      <c r="E481" s="23">
        <v>1</v>
      </c>
      <c r="F481" s="23" t="s">
        <v>1983</v>
      </c>
      <c r="G481" s="23" t="s">
        <v>2004</v>
      </c>
      <c r="J481" s="23" t="s">
        <v>619</v>
      </c>
      <c r="L481" s="23">
        <v>3</v>
      </c>
      <c r="Z481" s="68">
        <v>7</v>
      </c>
      <c r="AI481" s="23" t="s">
        <v>2004</v>
      </c>
      <c r="AL481" s="23" t="s">
        <v>619</v>
      </c>
      <c r="AN481" s="23">
        <v>3</v>
      </c>
      <c r="AP481" s="73"/>
      <c r="AQ481" s="75"/>
      <c r="AR481" s="76"/>
      <c r="AS481" s="77"/>
      <c r="AV481" s="75"/>
      <c r="AW481" s="83"/>
      <c r="AX481" s="84"/>
      <c r="AY481" s="80"/>
      <c r="BB481" s="81"/>
      <c r="BG481" s="23" t="s">
        <v>2005</v>
      </c>
    </row>
    <row r="482" spans="1:59" ht="15" customHeight="1">
      <c r="A482" s="23" t="s">
        <v>2045</v>
      </c>
      <c r="B482" s="23" t="s">
        <v>2061</v>
      </c>
      <c r="C482" s="23" t="s">
        <v>2087</v>
      </c>
      <c r="D482" s="24">
        <v>199</v>
      </c>
      <c r="E482" s="23">
        <v>1</v>
      </c>
      <c r="F482" s="23" t="s">
        <v>1983</v>
      </c>
      <c r="G482" s="23" t="s">
        <v>2006</v>
      </c>
      <c r="J482" s="23" t="s">
        <v>621</v>
      </c>
      <c r="L482" s="23">
        <v>1</v>
      </c>
      <c r="Y482" s="66" t="s">
        <v>38</v>
      </c>
      <c r="AF482" s="23" t="s">
        <v>2007</v>
      </c>
      <c r="AI482" s="23" t="s">
        <v>2006</v>
      </c>
      <c r="AL482" s="23" t="s">
        <v>621</v>
      </c>
      <c r="AN482" s="23">
        <v>1</v>
      </c>
      <c r="AP482" s="73"/>
      <c r="AQ482" s="75"/>
      <c r="AR482" s="76"/>
      <c r="AS482" s="77"/>
      <c r="AV482" s="75"/>
      <c r="AW482" s="83"/>
      <c r="AX482" s="84"/>
      <c r="AY482" s="80"/>
      <c r="BB482" s="81"/>
      <c r="BG482" s="23" t="s">
        <v>2100</v>
      </c>
    </row>
    <row r="483" spans="1:59" ht="15" customHeight="1">
      <c r="A483" s="23" t="s">
        <v>2045</v>
      </c>
      <c r="B483" s="23" t="s">
        <v>2062</v>
      </c>
      <c r="C483" s="23" t="s">
        <v>2087</v>
      </c>
      <c r="D483" s="24">
        <v>200</v>
      </c>
      <c r="E483" s="23">
        <v>1</v>
      </c>
      <c r="F483" s="23" t="s">
        <v>1983</v>
      </c>
      <c r="G483" s="23" t="s">
        <v>2008</v>
      </c>
      <c r="J483" s="23" t="s">
        <v>621</v>
      </c>
      <c r="L483" s="23">
        <v>2</v>
      </c>
      <c r="Y483" s="66" t="s">
        <v>38</v>
      </c>
      <c r="AF483" s="23" t="s">
        <v>2092</v>
      </c>
      <c r="AI483" s="23" t="s">
        <v>2008</v>
      </c>
      <c r="AL483" s="23" t="s">
        <v>621</v>
      </c>
      <c r="AN483" s="23">
        <v>2</v>
      </c>
      <c r="AP483" s="73"/>
      <c r="AQ483" s="75"/>
      <c r="AR483" s="76"/>
      <c r="AS483" s="77"/>
      <c r="AV483" s="75"/>
      <c r="AW483" s="83"/>
      <c r="AX483" s="84"/>
      <c r="AY483" s="80"/>
      <c r="BB483" s="81"/>
      <c r="BG483" s="23" t="s">
        <v>2101</v>
      </c>
    </row>
    <row r="484" spans="1:59" ht="15" customHeight="1">
      <c r="A484" s="23" t="s">
        <v>2045</v>
      </c>
      <c r="B484" s="23" t="s">
        <v>2063</v>
      </c>
      <c r="C484" s="23" t="s">
        <v>2087</v>
      </c>
      <c r="D484" s="24">
        <v>201</v>
      </c>
      <c r="E484" s="23">
        <v>1</v>
      </c>
      <c r="F484" s="23" t="s">
        <v>1983</v>
      </c>
      <c r="G484" s="23" t="s">
        <v>2009</v>
      </c>
      <c r="J484" s="23" t="s">
        <v>31</v>
      </c>
      <c r="AD484" s="23" t="s">
        <v>2010</v>
      </c>
      <c r="AI484" s="23" t="s">
        <v>2009</v>
      </c>
      <c r="AL484" s="23" t="s">
        <v>31</v>
      </c>
      <c r="AP484" s="73"/>
      <c r="AQ484" s="75"/>
      <c r="AR484" s="76"/>
      <c r="AS484" s="77"/>
      <c r="AV484" s="75"/>
      <c r="AW484" s="83"/>
      <c r="AX484" s="84"/>
      <c r="AY484" s="80"/>
      <c r="BB484" s="81"/>
      <c r="BE484" s="23" t="s">
        <v>2010</v>
      </c>
      <c r="BG484" s="23" t="s">
        <v>2011</v>
      </c>
    </row>
    <row r="485" spans="1:59" ht="15" customHeight="1">
      <c r="A485" s="23" t="s">
        <v>2045</v>
      </c>
      <c r="B485" s="23" t="s">
        <v>2064</v>
      </c>
      <c r="C485" s="23" t="s">
        <v>2087</v>
      </c>
      <c r="D485" s="24">
        <v>202</v>
      </c>
      <c r="E485" s="23">
        <v>1</v>
      </c>
      <c r="F485" s="23" t="s">
        <v>1983</v>
      </c>
      <c r="G485" s="23" t="s">
        <v>2012</v>
      </c>
      <c r="J485" s="23" t="s">
        <v>31</v>
      </c>
      <c r="AD485" s="23" t="s">
        <v>2013</v>
      </c>
      <c r="AI485" s="23" t="s">
        <v>2012</v>
      </c>
      <c r="AL485" s="23" t="s">
        <v>31</v>
      </c>
      <c r="AP485" s="73"/>
      <c r="AQ485" s="75"/>
      <c r="AR485" s="76"/>
      <c r="AS485" s="77"/>
      <c r="AV485" s="75"/>
      <c r="AW485" s="83"/>
      <c r="AX485" s="84"/>
      <c r="AY485" s="80">
        <v>3</v>
      </c>
      <c r="AZ485" s="66">
        <v>2</v>
      </c>
      <c r="BB485" s="81"/>
      <c r="BE485" s="23" t="s">
        <v>2013</v>
      </c>
      <c r="BG485" s="23" t="s">
        <v>2102</v>
      </c>
    </row>
    <row r="486" spans="1:59" ht="15" customHeight="1">
      <c r="A486" s="23" t="s">
        <v>2045</v>
      </c>
      <c r="B486" s="23" t="s">
        <v>2065</v>
      </c>
      <c r="C486" s="23" t="s">
        <v>2087</v>
      </c>
      <c r="D486" s="24">
        <v>203</v>
      </c>
      <c r="E486" s="23">
        <v>1</v>
      </c>
      <c r="F486" s="23" t="s">
        <v>1983</v>
      </c>
      <c r="G486" s="23" t="s">
        <v>2012</v>
      </c>
      <c r="J486" s="23" t="s">
        <v>31</v>
      </c>
      <c r="AD486" s="23" t="s">
        <v>2013</v>
      </c>
      <c r="AI486" s="23" t="s">
        <v>2012</v>
      </c>
      <c r="AL486" s="23" t="s">
        <v>31</v>
      </c>
      <c r="AP486" s="73"/>
      <c r="AQ486" s="75"/>
      <c r="AR486" s="76"/>
      <c r="AS486" s="77"/>
      <c r="AV486" s="75"/>
      <c r="AW486" s="83"/>
      <c r="AX486" s="84"/>
      <c r="AY486" s="80">
        <v>3</v>
      </c>
      <c r="AZ486" s="66">
        <v>2</v>
      </c>
      <c r="BB486" s="81"/>
      <c r="BE486" s="23" t="s">
        <v>2013</v>
      </c>
      <c r="BG486" s="23" t="s">
        <v>2103</v>
      </c>
    </row>
    <row r="487" spans="1:59" ht="15" customHeight="1">
      <c r="A487" s="23" t="s">
        <v>2045</v>
      </c>
      <c r="B487" s="23" t="s">
        <v>2066</v>
      </c>
      <c r="C487" s="23" t="s">
        <v>2087</v>
      </c>
      <c r="D487" s="24">
        <v>204</v>
      </c>
      <c r="E487" s="23">
        <v>1</v>
      </c>
      <c r="F487" s="23" t="s">
        <v>1983</v>
      </c>
      <c r="G487" s="23" t="s">
        <v>2014</v>
      </c>
      <c r="J487" s="23" t="s">
        <v>31</v>
      </c>
      <c r="AD487" s="23" t="s">
        <v>2013</v>
      </c>
      <c r="AI487" s="23" t="s">
        <v>2014</v>
      </c>
      <c r="AL487" s="23" t="s">
        <v>31</v>
      </c>
      <c r="AP487" s="73"/>
      <c r="AQ487" s="75"/>
      <c r="AR487" s="76"/>
      <c r="AS487" s="77"/>
      <c r="AV487" s="75"/>
      <c r="AW487" s="83"/>
      <c r="AX487" s="84"/>
      <c r="AY487" s="80">
        <v>3</v>
      </c>
      <c r="AZ487" s="66">
        <v>3</v>
      </c>
      <c r="BB487" s="81"/>
      <c r="BE487" s="23" t="s">
        <v>2013</v>
      </c>
      <c r="BG487" s="23" t="s">
        <v>2104</v>
      </c>
    </row>
    <row r="488" spans="1:59" ht="15" customHeight="1">
      <c r="A488" s="23" t="s">
        <v>2045</v>
      </c>
      <c r="B488" s="23" t="s">
        <v>2067</v>
      </c>
      <c r="C488" s="23" t="s">
        <v>2087</v>
      </c>
      <c r="D488" s="24">
        <v>205</v>
      </c>
      <c r="E488" s="23">
        <v>1</v>
      </c>
      <c r="F488" s="23" t="s">
        <v>1983</v>
      </c>
      <c r="G488" s="23" t="s">
        <v>2014</v>
      </c>
      <c r="J488" s="23" t="s">
        <v>31</v>
      </c>
      <c r="AD488" s="23" t="s">
        <v>2013</v>
      </c>
      <c r="AI488" s="23" t="s">
        <v>2014</v>
      </c>
      <c r="AL488" s="23" t="s">
        <v>31</v>
      </c>
      <c r="AP488" s="73"/>
      <c r="AQ488" s="75"/>
      <c r="AR488" s="76"/>
      <c r="AS488" s="77"/>
      <c r="AV488" s="75"/>
      <c r="AW488" s="83"/>
      <c r="AX488" s="84"/>
      <c r="AY488" s="80">
        <v>2</v>
      </c>
      <c r="AZ488" s="66">
        <v>3</v>
      </c>
      <c r="BB488" s="81"/>
      <c r="BE488" s="23" t="s">
        <v>2013</v>
      </c>
      <c r="BG488" s="23" t="s">
        <v>2105</v>
      </c>
    </row>
    <row r="489" spans="1:59" ht="15" customHeight="1">
      <c r="A489" s="23" t="s">
        <v>2045</v>
      </c>
      <c r="B489" s="23" t="s">
        <v>2068</v>
      </c>
      <c r="C489" s="23" t="s">
        <v>2087</v>
      </c>
      <c r="D489" s="24">
        <v>206</v>
      </c>
      <c r="E489" s="23">
        <v>1</v>
      </c>
      <c r="F489" s="23" t="s">
        <v>1983</v>
      </c>
      <c r="G489" s="23" t="s">
        <v>2015</v>
      </c>
      <c r="J489" s="23" t="s">
        <v>31</v>
      </c>
      <c r="AD489" s="23" t="s">
        <v>2013</v>
      </c>
      <c r="AI489" s="23" t="s">
        <v>2015</v>
      </c>
      <c r="AL489" s="23" t="s">
        <v>31</v>
      </c>
      <c r="AP489" s="73"/>
      <c r="AQ489" s="75"/>
      <c r="AR489" s="76"/>
      <c r="AS489" s="77"/>
      <c r="AV489" s="75"/>
      <c r="AW489" s="83"/>
      <c r="AX489" s="84"/>
      <c r="AY489" s="80">
        <v>2</v>
      </c>
      <c r="AZ489" s="66" t="s">
        <v>1073</v>
      </c>
      <c r="BB489" s="81"/>
      <c r="BE489" s="23" t="s">
        <v>2013</v>
      </c>
      <c r="BG489" s="23" t="s">
        <v>2106</v>
      </c>
    </row>
    <row r="490" spans="1:59" ht="15" customHeight="1">
      <c r="A490" s="23" t="s">
        <v>2045</v>
      </c>
      <c r="B490" s="23" t="s">
        <v>2069</v>
      </c>
      <c r="C490" s="23" t="s">
        <v>2087</v>
      </c>
      <c r="D490" s="24">
        <v>207</v>
      </c>
      <c r="E490" s="23">
        <v>1</v>
      </c>
      <c r="F490" s="23" t="s">
        <v>1983</v>
      </c>
      <c r="G490" s="23" t="s">
        <v>2015</v>
      </c>
      <c r="J490" s="23" t="s">
        <v>31</v>
      </c>
      <c r="AD490" s="23" t="s">
        <v>2013</v>
      </c>
      <c r="AI490" s="23" t="s">
        <v>2015</v>
      </c>
      <c r="AL490" s="23" t="s">
        <v>31</v>
      </c>
      <c r="AP490" s="73"/>
      <c r="AQ490" s="75"/>
      <c r="AR490" s="76"/>
      <c r="AS490" s="77"/>
      <c r="AV490" s="75"/>
      <c r="AW490" s="83"/>
      <c r="AX490" s="84"/>
      <c r="AY490" s="80">
        <v>3</v>
      </c>
      <c r="AZ490" s="66" t="s">
        <v>1073</v>
      </c>
      <c r="BB490" s="81"/>
      <c r="BE490" s="23" t="s">
        <v>2013</v>
      </c>
      <c r="BG490" s="23" t="s">
        <v>2107</v>
      </c>
    </row>
    <row r="491" spans="1:59" ht="15" customHeight="1">
      <c r="A491" s="23" t="s">
        <v>2045</v>
      </c>
      <c r="B491" s="23" t="s">
        <v>2070</v>
      </c>
      <c r="C491" s="23" t="s">
        <v>2087</v>
      </c>
      <c r="D491" s="24">
        <v>208</v>
      </c>
      <c r="E491" s="23">
        <v>1</v>
      </c>
      <c r="F491" s="23" t="s">
        <v>1983</v>
      </c>
      <c r="G491" s="23" t="s">
        <v>2016</v>
      </c>
      <c r="J491" s="23" t="s">
        <v>31</v>
      </c>
      <c r="AD491" s="23" t="s">
        <v>2013</v>
      </c>
      <c r="AI491" s="23" t="s">
        <v>2016</v>
      </c>
      <c r="AL491" s="23" t="s">
        <v>31</v>
      </c>
      <c r="AP491" s="73"/>
      <c r="AQ491" s="75"/>
      <c r="AR491" s="76"/>
      <c r="AS491" s="77"/>
      <c r="AV491" s="75"/>
      <c r="AW491" s="83"/>
      <c r="AX491" s="84"/>
      <c r="AY491" s="80">
        <v>1</v>
      </c>
      <c r="AZ491" s="66" t="s">
        <v>1073</v>
      </c>
      <c r="BB491" s="81"/>
      <c r="BE491" s="23" t="s">
        <v>2013</v>
      </c>
      <c r="BG491" s="23" t="s">
        <v>2108</v>
      </c>
    </row>
    <row r="492" spans="1:59" ht="15" customHeight="1">
      <c r="A492" s="23" t="s">
        <v>2045</v>
      </c>
      <c r="B492" s="23" t="s">
        <v>2071</v>
      </c>
      <c r="C492" s="23" t="s">
        <v>2087</v>
      </c>
      <c r="D492" s="24">
        <v>209</v>
      </c>
      <c r="E492" s="23">
        <v>1</v>
      </c>
      <c r="F492" s="23" t="s">
        <v>1983</v>
      </c>
      <c r="G492" s="23" t="s">
        <v>2016</v>
      </c>
      <c r="J492" s="23" t="s">
        <v>31</v>
      </c>
      <c r="AD492" s="23" t="s">
        <v>2013</v>
      </c>
      <c r="AI492" s="23" t="s">
        <v>2016</v>
      </c>
      <c r="AL492" s="23" t="s">
        <v>31</v>
      </c>
      <c r="AP492" s="73"/>
      <c r="AQ492" s="75"/>
      <c r="AR492" s="76"/>
      <c r="AS492" s="77"/>
      <c r="AV492" s="75"/>
      <c r="AW492" s="83"/>
      <c r="AX492" s="84"/>
      <c r="AY492" s="80">
        <v>2</v>
      </c>
      <c r="AZ492" s="66" t="s">
        <v>1073</v>
      </c>
      <c r="BB492" s="81"/>
      <c r="BE492" s="23" t="s">
        <v>2013</v>
      </c>
      <c r="BG492" s="23" t="s">
        <v>2109</v>
      </c>
    </row>
    <row r="493" spans="1:59" ht="15" customHeight="1">
      <c r="A493" s="23" t="s">
        <v>2045</v>
      </c>
      <c r="B493" s="23" t="s">
        <v>2072</v>
      </c>
      <c r="C493" s="23" t="s">
        <v>2087</v>
      </c>
      <c r="D493" s="24">
        <v>210</v>
      </c>
      <c r="E493" s="23">
        <v>1</v>
      </c>
      <c r="F493" s="23" t="s">
        <v>1983</v>
      </c>
      <c r="G493" s="23" t="s">
        <v>2017</v>
      </c>
      <c r="J493" s="23" t="s">
        <v>31</v>
      </c>
      <c r="AD493" s="23" t="s">
        <v>2013</v>
      </c>
      <c r="AI493" s="23" t="s">
        <v>2017</v>
      </c>
      <c r="AL493" s="23" t="s">
        <v>31</v>
      </c>
      <c r="AP493" s="73"/>
      <c r="AQ493" s="75"/>
      <c r="AR493" s="76"/>
      <c r="AS493" s="77"/>
      <c r="AV493" s="75"/>
      <c r="AW493" s="83"/>
      <c r="AX493" s="84"/>
      <c r="AY493" s="80">
        <v>2</v>
      </c>
      <c r="AZ493" s="66" t="s">
        <v>1073</v>
      </c>
      <c r="BB493" s="81"/>
      <c r="BE493" s="23" t="s">
        <v>2013</v>
      </c>
      <c r="BG493" s="23" t="s">
        <v>2110</v>
      </c>
    </row>
    <row r="494" spans="1:59" ht="15" customHeight="1">
      <c r="A494" s="23" t="s">
        <v>2045</v>
      </c>
      <c r="B494" s="23" t="s">
        <v>2073</v>
      </c>
      <c r="C494" s="23" t="s">
        <v>2087</v>
      </c>
      <c r="D494" s="24">
        <v>211</v>
      </c>
      <c r="E494" s="23">
        <v>1</v>
      </c>
      <c r="F494" s="23" t="s">
        <v>1983</v>
      </c>
      <c r="G494" s="23" t="s">
        <v>2017</v>
      </c>
      <c r="J494" s="23" t="s">
        <v>31</v>
      </c>
      <c r="AD494" s="23" t="s">
        <v>2013</v>
      </c>
      <c r="AI494" s="23" t="s">
        <v>2017</v>
      </c>
      <c r="AL494" s="23" t="s">
        <v>31</v>
      </c>
      <c r="AP494" s="73"/>
      <c r="AQ494" s="75"/>
      <c r="AR494" s="76"/>
      <c r="AS494" s="77"/>
      <c r="AV494" s="75"/>
      <c r="AW494" s="83"/>
      <c r="AX494" s="84"/>
      <c r="AY494" s="80">
        <v>1</v>
      </c>
      <c r="AZ494" s="66" t="s">
        <v>1073</v>
      </c>
      <c r="BB494" s="81"/>
      <c r="BE494" s="23" t="s">
        <v>2013</v>
      </c>
      <c r="BG494" s="23" t="s">
        <v>2111</v>
      </c>
    </row>
    <row r="495" spans="1:59" ht="15" customHeight="1">
      <c r="A495" s="23" t="s">
        <v>2045</v>
      </c>
      <c r="B495" s="23" t="s">
        <v>2074</v>
      </c>
      <c r="C495" s="23" t="s">
        <v>2087</v>
      </c>
      <c r="D495" s="24">
        <v>212</v>
      </c>
      <c r="E495" s="23">
        <v>1</v>
      </c>
      <c r="F495" s="23" t="s">
        <v>1983</v>
      </c>
      <c r="G495" s="23" t="s">
        <v>2018</v>
      </c>
      <c r="J495" s="23" t="s">
        <v>31</v>
      </c>
      <c r="AD495" s="23" t="s">
        <v>2013</v>
      </c>
      <c r="AI495" s="23" t="s">
        <v>2018</v>
      </c>
      <c r="AL495" s="23" t="s">
        <v>31</v>
      </c>
      <c r="AP495" s="73"/>
      <c r="AQ495" s="75"/>
      <c r="AR495" s="76"/>
      <c r="AS495" s="77"/>
      <c r="AV495" s="75"/>
      <c r="AW495" s="83"/>
      <c r="AX495" s="84"/>
      <c r="AY495" s="80">
        <v>4</v>
      </c>
      <c r="AZ495" s="66">
        <v>1</v>
      </c>
      <c r="BB495" s="81"/>
      <c r="BE495" s="23" t="s">
        <v>2013</v>
      </c>
      <c r="BG495" s="23" t="s">
        <v>2112</v>
      </c>
    </row>
    <row r="496" spans="1:59" ht="15" customHeight="1">
      <c r="A496" s="23" t="s">
        <v>2045</v>
      </c>
      <c r="B496" s="23" t="s">
        <v>2075</v>
      </c>
      <c r="C496" s="23" t="s">
        <v>2087</v>
      </c>
      <c r="D496" s="24">
        <v>213</v>
      </c>
      <c r="E496" s="23">
        <v>1</v>
      </c>
      <c r="F496" s="23" t="s">
        <v>1983</v>
      </c>
      <c r="G496" s="23" t="s">
        <v>2018</v>
      </c>
      <c r="J496" s="23" t="s">
        <v>31</v>
      </c>
      <c r="AD496" s="23" t="s">
        <v>2013</v>
      </c>
      <c r="AI496" s="23" t="s">
        <v>2018</v>
      </c>
      <c r="AL496" s="23" t="s">
        <v>31</v>
      </c>
      <c r="AP496" s="73"/>
      <c r="AQ496" s="75"/>
      <c r="AR496" s="76"/>
      <c r="AS496" s="77"/>
      <c r="AV496" s="75"/>
      <c r="AW496" s="83"/>
      <c r="AX496" s="84"/>
      <c r="AY496" s="80">
        <v>4</v>
      </c>
      <c r="AZ496" s="66">
        <v>1</v>
      </c>
      <c r="BB496" s="81"/>
      <c r="BE496" s="23" t="s">
        <v>2013</v>
      </c>
      <c r="BG496" s="23" t="s">
        <v>2113</v>
      </c>
    </row>
    <row r="497" spans="1:62" ht="15" customHeight="1">
      <c r="A497" s="23" t="s">
        <v>2045</v>
      </c>
      <c r="B497" s="23" t="s">
        <v>2076</v>
      </c>
      <c r="C497" s="23" t="s">
        <v>2087</v>
      </c>
      <c r="D497" s="24">
        <v>214</v>
      </c>
      <c r="E497" s="23">
        <v>1</v>
      </c>
      <c r="F497" s="23" t="s">
        <v>1983</v>
      </c>
      <c r="G497" s="23" t="s">
        <v>2019</v>
      </c>
      <c r="J497" s="23" t="s">
        <v>31</v>
      </c>
      <c r="X497" s="80">
        <v>3</v>
      </c>
      <c r="Y497" s="66">
        <v>0</v>
      </c>
      <c r="AD497" s="23" t="s">
        <v>2013</v>
      </c>
      <c r="AF497" s="23" t="s">
        <v>2114</v>
      </c>
      <c r="AP497" s="73"/>
      <c r="AQ497" s="75"/>
      <c r="AR497" s="76"/>
      <c r="AS497" s="77"/>
      <c r="AV497" s="75"/>
      <c r="AW497" s="83"/>
      <c r="AX497" s="84"/>
      <c r="AY497" s="80"/>
      <c r="BB497" s="81"/>
      <c r="BJ497" s="33" t="s">
        <v>1982</v>
      </c>
    </row>
    <row r="498" spans="1:62" ht="15" customHeight="1">
      <c r="A498" s="23" t="s">
        <v>2045</v>
      </c>
      <c r="B498" s="23" t="s">
        <v>2077</v>
      </c>
      <c r="C498" s="23" t="s">
        <v>2087</v>
      </c>
      <c r="D498" s="24">
        <v>215</v>
      </c>
      <c r="E498" s="23">
        <v>1</v>
      </c>
      <c r="F498" s="23" t="s">
        <v>1983</v>
      </c>
      <c r="G498" s="23" t="s">
        <v>2020</v>
      </c>
      <c r="J498" s="23" t="s">
        <v>257</v>
      </c>
      <c r="AD498" s="23" t="s">
        <v>2021</v>
      </c>
      <c r="AF498" s="23" t="s">
        <v>2093</v>
      </c>
      <c r="AP498" s="73"/>
      <c r="AQ498" s="75"/>
      <c r="AR498" s="76"/>
      <c r="AS498" s="77"/>
      <c r="AV498" s="75"/>
      <c r="AW498" s="83"/>
      <c r="AX498" s="84"/>
      <c r="AY498" s="80"/>
      <c r="BB498" s="81"/>
      <c r="BJ498" s="33" t="s">
        <v>1982</v>
      </c>
    </row>
    <row r="499" spans="1:62" ht="15" customHeight="1">
      <c r="A499" s="23" t="s">
        <v>2045</v>
      </c>
      <c r="B499" s="23" t="s">
        <v>2078</v>
      </c>
      <c r="C499" s="23" t="s">
        <v>2087</v>
      </c>
      <c r="D499" s="24">
        <v>216</v>
      </c>
      <c r="E499" s="23">
        <v>1</v>
      </c>
      <c r="F499" s="23" t="s">
        <v>1983</v>
      </c>
      <c r="G499" s="23" t="s">
        <v>2022</v>
      </c>
      <c r="H499" s="23" t="s">
        <v>2023</v>
      </c>
      <c r="I499" s="23" t="s">
        <v>2024</v>
      </c>
      <c r="J499" s="23" t="s">
        <v>29</v>
      </c>
      <c r="Q499" s="65">
        <v>3</v>
      </c>
      <c r="R499" s="66">
        <v>7</v>
      </c>
      <c r="T499" s="68" t="s">
        <v>2025</v>
      </c>
      <c r="V499" s="69">
        <v>2</v>
      </c>
      <c r="W499" s="70">
        <v>2</v>
      </c>
      <c r="AA499" s="72">
        <v>2</v>
      </c>
      <c r="AD499" s="23" t="s">
        <v>1523</v>
      </c>
      <c r="AE499" s="24" t="s">
        <v>2026</v>
      </c>
      <c r="AF499" s="23" t="s">
        <v>2027</v>
      </c>
      <c r="AP499" s="73"/>
      <c r="AQ499" s="75"/>
      <c r="AR499" s="76"/>
      <c r="AS499" s="77"/>
      <c r="AV499" s="75"/>
      <c r="AW499" s="83"/>
      <c r="AX499" s="84"/>
      <c r="AY499" s="80"/>
      <c r="BB499" s="81"/>
    </row>
    <row r="500" spans="1:62" ht="15" customHeight="1">
      <c r="A500" s="23" t="s">
        <v>2045</v>
      </c>
      <c r="B500" s="23" t="s">
        <v>2079</v>
      </c>
      <c r="C500" s="23" t="s">
        <v>2087</v>
      </c>
      <c r="D500" s="24">
        <v>217</v>
      </c>
      <c r="E500" s="23">
        <v>1</v>
      </c>
      <c r="F500" s="23" t="s">
        <v>1983</v>
      </c>
      <c r="G500" s="23" t="s">
        <v>2028</v>
      </c>
      <c r="H500" s="23" t="s">
        <v>2029</v>
      </c>
      <c r="I500" s="23" t="s">
        <v>2024</v>
      </c>
      <c r="J500" s="23" t="s">
        <v>257</v>
      </c>
      <c r="N500" s="62">
        <v>3</v>
      </c>
      <c r="O500" s="63">
        <v>1</v>
      </c>
      <c r="S500" s="113">
        <v>1</v>
      </c>
      <c r="T500" s="68">
        <v>1</v>
      </c>
      <c r="U500" s="63">
        <v>4</v>
      </c>
      <c r="AB500" s="23" t="s">
        <v>1086</v>
      </c>
      <c r="AC500" s="23" t="s">
        <v>25</v>
      </c>
      <c r="AD500" s="23" t="s">
        <v>2030</v>
      </c>
      <c r="AF500" s="23" t="s">
        <v>2094</v>
      </c>
      <c r="AP500" s="73"/>
      <c r="AQ500" s="75"/>
      <c r="AR500" s="76"/>
      <c r="AS500" s="77"/>
      <c r="AV500" s="75"/>
      <c r="AW500" s="83"/>
      <c r="AX500" s="84"/>
      <c r="AY500" s="80"/>
      <c r="BB500" s="81"/>
    </row>
    <row r="501" spans="1:62" ht="15" customHeight="1">
      <c r="A501" s="23" t="s">
        <v>2045</v>
      </c>
      <c r="B501" s="23" t="s">
        <v>2080</v>
      </c>
      <c r="C501" s="23" t="s">
        <v>2087</v>
      </c>
      <c r="D501" s="24">
        <v>218</v>
      </c>
      <c r="E501" s="23">
        <v>1</v>
      </c>
      <c r="F501" s="23" t="s">
        <v>1983</v>
      </c>
      <c r="G501" s="23" t="s">
        <v>2031</v>
      </c>
      <c r="H501" s="23" t="s">
        <v>2032</v>
      </c>
      <c r="I501" s="23" t="s">
        <v>2024</v>
      </c>
      <c r="J501" s="23" t="s">
        <v>257</v>
      </c>
      <c r="N501" s="62">
        <v>3</v>
      </c>
      <c r="R501" s="66">
        <v>1</v>
      </c>
      <c r="S501" s="113">
        <v>1</v>
      </c>
      <c r="T501" s="68">
        <v>3</v>
      </c>
      <c r="U501" s="63">
        <v>2</v>
      </c>
      <c r="AB501" s="23" t="s">
        <v>1180</v>
      </c>
      <c r="AC501" s="23" t="s">
        <v>25</v>
      </c>
      <c r="AD501" s="23" t="s">
        <v>2030</v>
      </c>
      <c r="AF501" s="23" t="s">
        <v>2095</v>
      </c>
      <c r="AP501" s="73"/>
      <c r="AQ501" s="75"/>
      <c r="AR501" s="76"/>
      <c r="AS501" s="77"/>
      <c r="AV501" s="75"/>
      <c r="AW501" s="83"/>
      <c r="AX501" s="84"/>
      <c r="AY501" s="80"/>
      <c r="BB501" s="81"/>
    </row>
    <row r="502" spans="1:62" ht="15" customHeight="1">
      <c r="A502" s="23" t="s">
        <v>2045</v>
      </c>
      <c r="B502" s="23" t="s">
        <v>2081</v>
      </c>
      <c r="C502" s="23" t="s">
        <v>2087</v>
      </c>
      <c r="D502" s="24">
        <v>219</v>
      </c>
      <c r="E502" s="23">
        <v>1</v>
      </c>
      <c r="F502" s="23" t="s">
        <v>1983</v>
      </c>
      <c r="G502" s="23" t="s">
        <v>2033</v>
      </c>
      <c r="H502" s="23" t="s">
        <v>2034</v>
      </c>
      <c r="J502" s="23" t="s">
        <v>257</v>
      </c>
      <c r="N502" s="62">
        <v>0</v>
      </c>
      <c r="AD502" s="23" t="s">
        <v>265</v>
      </c>
      <c r="AF502" s="23" t="s">
        <v>2096</v>
      </c>
      <c r="AP502" s="73"/>
      <c r="AQ502" s="75"/>
      <c r="AR502" s="76"/>
      <c r="AS502" s="77"/>
      <c r="AV502" s="75"/>
      <c r="AW502" s="83"/>
      <c r="AX502" s="84"/>
      <c r="AY502" s="80"/>
      <c r="BB502" s="81"/>
    </row>
    <row r="503" spans="1:62" ht="15" customHeight="1">
      <c r="A503" s="23" t="s">
        <v>2045</v>
      </c>
      <c r="B503" s="23" t="s">
        <v>2082</v>
      </c>
      <c r="C503" s="23" t="s">
        <v>2087</v>
      </c>
      <c r="D503" s="24">
        <v>220</v>
      </c>
      <c r="E503" s="23">
        <v>3</v>
      </c>
      <c r="F503" s="23" t="s">
        <v>1983</v>
      </c>
      <c r="G503" s="23" t="s">
        <v>2035</v>
      </c>
      <c r="J503" s="23" t="s">
        <v>28</v>
      </c>
      <c r="AF503" s="23" t="s">
        <v>2097</v>
      </c>
      <c r="AP503" s="73"/>
      <c r="AQ503" s="75"/>
      <c r="AR503" s="76"/>
      <c r="AS503" s="77"/>
      <c r="AV503" s="75"/>
      <c r="AW503" s="83"/>
      <c r="AX503" s="84"/>
      <c r="AY503" s="80"/>
      <c r="BB503" s="81"/>
    </row>
    <row r="504" spans="1:62" ht="15" customHeight="1">
      <c r="A504" s="23" t="s">
        <v>2045</v>
      </c>
      <c r="B504" s="23" t="s">
        <v>2083</v>
      </c>
      <c r="C504" s="23" t="s">
        <v>2087</v>
      </c>
      <c r="D504" s="24">
        <v>221</v>
      </c>
      <c r="E504" s="23">
        <v>2</v>
      </c>
      <c r="F504" s="23" t="s">
        <v>1983</v>
      </c>
      <c r="G504" s="23" t="s">
        <v>2036</v>
      </c>
      <c r="J504" s="23" t="s">
        <v>28</v>
      </c>
      <c r="AD504" s="23" t="s">
        <v>492</v>
      </c>
      <c r="AE504" s="24" t="s">
        <v>2037</v>
      </c>
      <c r="AF504" s="23" t="s">
        <v>2098</v>
      </c>
      <c r="AP504" s="73"/>
      <c r="AQ504" s="75"/>
      <c r="AR504" s="76"/>
      <c r="AS504" s="77"/>
      <c r="AV504" s="75"/>
      <c r="AW504" s="83"/>
      <c r="AX504" s="84"/>
      <c r="AY504" s="80"/>
      <c r="BB504" s="81"/>
    </row>
    <row r="505" spans="1:62" ht="15" customHeight="1">
      <c r="A505" s="23" t="s">
        <v>2045</v>
      </c>
      <c r="B505" s="23" t="s">
        <v>2084</v>
      </c>
      <c r="C505" s="23" t="s">
        <v>2087</v>
      </c>
      <c r="D505" s="24">
        <v>222</v>
      </c>
      <c r="E505" s="23">
        <v>2</v>
      </c>
      <c r="F505" s="23" t="s">
        <v>1983</v>
      </c>
      <c r="G505" s="23" t="s">
        <v>2038</v>
      </c>
      <c r="J505" s="23" t="s">
        <v>28</v>
      </c>
      <c r="AD505" s="23" t="s">
        <v>492</v>
      </c>
      <c r="AF505" s="23" t="s">
        <v>2039</v>
      </c>
      <c r="AP505" s="73"/>
      <c r="AQ505" s="75"/>
      <c r="AR505" s="76"/>
      <c r="AS505" s="77"/>
      <c r="AV505" s="75"/>
      <c r="AW505" s="83"/>
      <c r="AX505" s="84"/>
      <c r="AY505" s="80"/>
      <c r="BB505" s="81"/>
    </row>
    <row r="506" spans="1:62" ht="15" customHeight="1">
      <c r="A506" s="23" t="s">
        <v>2045</v>
      </c>
      <c r="B506" s="23" t="s">
        <v>2085</v>
      </c>
      <c r="C506" s="23" t="s">
        <v>2087</v>
      </c>
      <c r="D506" s="24">
        <v>223</v>
      </c>
      <c r="E506" s="23">
        <v>3</v>
      </c>
      <c r="F506" s="23" t="s">
        <v>1983</v>
      </c>
      <c r="G506" s="23" t="s">
        <v>480</v>
      </c>
      <c r="J506" s="23" t="s">
        <v>28</v>
      </c>
      <c r="AD506" s="23" t="s">
        <v>481</v>
      </c>
      <c r="AF506" s="23" t="s">
        <v>2040</v>
      </c>
      <c r="AP506" s="73"/>
      <c r="AQ506" s="75"/>
      <c r="AR506" s="76"/>
      <c r="AS506" s="77"/>
      <c r="AV506" s="75"/>
      <c r="AW506" s="83"/>
      <c r="AX506" s="84"/>
      <c r="AY506" s="80"/>
      <c r="BB506" s="81"/>
    </row>
    <row r="507" spans="1:62" ht="15" customHeight="1">
      <c r="A507" s="23" t="s">
        <v>2045</v>
      </c>
      <c r="B507" s="23" t="s">
        <v>2086</v>
      </c>
      <c r="C507" s="23" t="s">
        <v>2087</v>
      </c>
      <c r="D507" s="24">
        <v>224</v>
      </c>
      <c r="E507" s="23">
        <v>3</v>
      </c>
      <c r="F507" s="23" t="s">
        <v>1983</v>
      </c>
      <c r="G507" s="23" t="s">
        <v>2041</v>
      </c>
      <c r="J507" s="23" t="s">
        <v>29</v>
      </c>
      <c r="Q507" s="65">
        <v>3</v>
      </c>
      <c r="R507" s="66">
        <v>1</v>
      </c>
      <c r="T507" s="68">
        <v>2</v>
      </c>
      <c r="V507" s="69">
        <v>2</v>
      </c>
      <c r="AD507" s="23" t="s">
        <v>2042</v>
      </c>
      <c r="AE507" s="24" t="s">
        <v>2043</v>
      </c>
      <c r="AF507" s="23" t="s">
        <v>2044</v>
      </c>
      <c r="AP507" s="73"/>
      <c r="AQ507" s="75"/>
      <c r="AR507" s="76"/>
      <c r="AS507" s="77"/>
      <c r="AV507" s="75"/>
      <c r="AW507" s="83"/>
      <c r="AX507" s="84"/>
      <c r="AY507" s="80"/>
      <c r="BB507" s="81"/>
    </row>
    <row r="508" spans="1:62" ht="15" customHeight="1">
      <c r="A508" s="41" t="s">
        <v>2116</v>
      </c>
      <c r="B508" s="41" t="s">
        <v>2119</v>
      </c>
      <c r="C508" s="41" t="s">
        <v>2360</v>
      </c>
      <c r="D508" s="116">
        <v>225</v>
      </c>
      <c r="E508" s="41">
        <v>2</v>
      </c>
      <c r="F508" s="41"/>
      <c r="G508" s="41" t="s">
        <v>2120</v>
      </c>
      <c r="J508" s="23" t="s">
        <v>27</v>
      </c>
      <c r="K508" s="23" t="s">
        <v>198</v>
      </c>
      <c r="L508" s="23">
        <v>0</v>
      </c>
      <c r="N508" s="62">
        <v>1</v>
      </c>
      <c r="O508" s="63">
        <v>1</v>
      </c>
      <c r="Q508" s="65">
        <v>1</v>
      </c>
      <c r="AB508" s="23" t="s">
        <v>2179</v>
      </c>
      <c r="AF508" s="23" t="s">
        <v>2180</v>
      </c>
      <c r="AP508" s="73"/>
      <c r="AQ508" s="75"/>
      <c r="AR508" s="76"/>
      <c r="AS508" s="77"/>
      <c r="AV508" s="75"/>
      <c r="AW508" s="83"/>
      <c r="AX508" s="84"/>
      <c r="AY508" s="80"/>
      <c r="BB508" s="81"/>
    </row>
    <row r="509" spans="1:62" ht="15" customHeight="1">
      <c r="A509" s="23" t="s">
        <v>2116</v>
      </c>
      <c r="B509" s="23" t="s">
        <v>2121</v>
      </c>
      <c r="C509" s="23" t="s">
        <v>2360</v>
      </c>
      <c r="D509" s="24">
        <v>226</v>
      </c>
      <c r="E509" s="23">
        <v>2</v>
      </c>
      <c r="G509" s="23" t="s">
        <v>2122</v>
      </c>
      <c r="J509" s="23" t="s">
        <v>257</v>
      </c>
      <c r="K509" s="23" t="s">
        <v>198</v>
      </c>
      <c r="L509" s="23">
        <v>4</v>
      </c>
      <c r="N509" s="62">
        <v>4</v>
      </c>
      <c r="Q509" s="65">
        <v>1</v>
      </c>
      <c r="R509" s="66">
        <v>1</v>
      </c>
      <c r="AB509" s="23" t="s">
        <v>2181</v>
      </c>
      <c r="AC509" s="23" t="s">
        <v>2182</v>
      </c>
      <c r="AD509" s="23" t="s">
        <v>259</v>
      </c>
      <c r="AF509" s="23" t="s">
        <v>2183</v>
      </c>
      <c r="AP509" s="73"/>
      <c r="AQ509" s="75"/>
      <c r="AR509" s="76"/>
      <c r="AS509" s="77"/>
      <c r="AV509" s="75"/>
      <c r="AW509" s="83"/>
      <c r="AX509" s="84"/>
      <c r="AY509" s="80"/>
      <c r="BB509" s="81"/>
    </row>
    <row r="510" spans="1:62" ht="15" customHeight="1">
      <c r="A510" s="23" t="s">
        <v>2116</v>
      </c>
      <c r="B510" s="23" t="s">
        <v>2123</v>
      </c>
      <c r="C510" s="23" t="s">
        <v>2360</v>
      </c>
      <c r="D510" s="24">
        <v>227</v>
      </c>
      <c r="E510" s="23">
        <v>2</v>
      </c>
      <c r="G510" s="23" t="s">
        <v>2124</v>
      </c>
      <c r="J510" s="23" t="s">
        <v>312</v>
      </c>
      <c r="K510" s="23" t="s">
        <v>199</v>
      </c>
      <c r="L510" s="23">
        <v>0</v>
      </c>
      <c r="S510" s="113">
        <v>3</v>
      </c>
      <c r="AB510" s="23" t="s">
        <v>1996</v>
      </c>
      <c r="AD510" s="23" t="s">
        <v>412</v>
      </c>
      <c r="AF510" s="23" t="s">
        <v>2184</v>
      </c>
      <c r="AP510" s="73"/>
      <c r="AQ510" s="75"/>
      <c r="AR510" s="76"/>
      <c r="AS510" s="77"/>
      <c r="AV510" s="75"/>
      <c r="AW510" s="83"/>
      <c r="AX510" s="84"/>
      <c r="AY510" s="80"/>
      <c r="BB510" s="81"/>
    </row>
    <row r="511" spans="1:62" ht="15" customHeight="1">
      <c r="A511" s="23" t="s">
        <v>2116</v>
      </c>
      <c r="B511" s="23" t="s">
        <v>2125</v>
      </c>
      <c r="C511" s="23" t="s">
        <v>2360</v>
      </c>
      <c r="D511" s="24">
        <v>228</v>
      </c>
      <c r="E511" s="23">
        <v>2</v>
      </c>
      <c r="G511" s="23" t="s">
        <v>2126</v>
      </c>
      <c r="J511" s="23" t="s">
        <v>27</v>
      </c>
      <c r="K511" s="23" t="s">
        <v>199</v>
      </c>
      <c r="L511" s="23">
        <v>1</v>
      </c>
      <c r="N511" s="62">
        <v>0</v>
      </c>
      <c r="P511" s="64">
        <v>1</v>
      </c>
      <c r="Q511" s="65">
        <v>2</v>
      </c>
      <c r="AB511" s="23" t="s">
        <v>2185</v>
      </c>
      <c r="AD511" s="23" t="s">
        <v>340</v>
      </c>
      <c r="AF511" s="23" t="s">
        <v>2186</v>
      </c>
      <c r="AP511" s="73"/>
      <c r="AQ511" s="75"/>
      <c r="AR511" s="76"/>
      <c r="AS511" s="77"/>
      <c r="AV511" s="75"/>
      <c r="AW511" s="83"/>
      <c r="AX511" s="84"/>
      <c r="AY511" s="80"/>
      <c r="BB511" s="81"/>
    </row>
    <row r="512" spans="1:62" ht="15" customHeight="1">
      <c r="A512" s="23" t="s">
        <v>2116</v>
      </c>
      <c r="B512" s="23" t="s">
        <v>2127</v>
      </c>
      <c r="C512" s="23" t="s">
        <v>2360</v>
      </c>
      <c r="D512" s="24">
        <v>229</v>
      </c>
      <c r="E512" s="23">
        <v>2</v>
      </c>
      <c r="G512" s="23" t="s">
        <v>2128</v>
      </c>
      <c r="J512" s="23" t="s">
        <v>312</v>
      </c>
      <c r="K512" s="23" t="s">
        <v>201</v>
      </c>
      <c r="L512" s="23">
        <v>0</v>
      </c>
      <c r="S512" s="113">
        <v>1</v>
      </c>
      <c r="AB512" s="23" t="s">
        <v>208</v>
      </c>
      <c r="AD512" s="23" t="s">
        <v>412</v>
      </c>
      <c r="AF512" s="23" t="s">
        <v>2187</v>
      </c>
      <c r="AP512" s="73"/>
      <c r="AQ512" s="75"/>
      <c r="AR512" s="76"/>
      <c r="AS512" s="77"/>
      <c r="AV512" s="75"/>
      <c r="AW512" s="83"/>
      <c r="AX512" s="84"/>
      <c r="AY512" s="80"/>
      <c r="BB512" s="81"/>
    </row>
    <row r="513" spans="1:59" ht="15" customHeight="1">
      <c r="A513" s="23" t="s">
        <v>2116</v>
      </c>
      <c r="B513" s="23" t="s">
        <v>2129</v>
      </c>
      <c r="C513" s="23" t="s">
        <v>2360</v>
      </c>
      <c r="D513" s="24">
        <v>230</v>
      </c>
      <c r="E513" s="23">
        <v>2</v>
      </c>
      <c r="G513" s="23" t="s">
        <v>2130</v>
      </c>
      <c r="J513" s="23" t="s">
        <v>257</v>
      </c>
      <c r="K513" s="23" t="s">
        <v>201</v>
      </c>
      <c r="L513" s="23">
        <v>2</v>
      </c>
      <c r="N513" s="62">
        <v>2</v>
      </c>
      <c r="O513" s="63">
        <v>1</v>
      </c>
      <c r="R513" s="66">
        <v>1</v>
      </c>
      <c r="AB513" s="23" t="s">
        <v>2188</v>
      </c>
      <c r="AC513" s="23" t="s">
        <v>275</v>
      </c>
      <c r="AD513" s="23" t="s">
        <v>276</v>
      </c>
      <c r="AF513" s="23" t="s">
        <v>2189</v>
      </c>
      <c r="AP513" s="73"/>
      <c r="AQ513" s="75"/>
      <c r="AR513" s="76"/>
      <c r="AS513" s="77"/>
      <c r="AV513" s="75"/>
      <c r="AW513" s="83"/>
      <c r="AX513" s="84"/>
      <c r="AY513" s="80"/>
      <c r="BB513" s="81"/>
    </row>
    <row r="514" spans="1:59" ht="15" customHeight="1">
      <c r="A514" s="23" t="s">
        <v>2116</v>
      </c>
      <c r="B514" s="23" t="s">
        <v>2131</v>
      </c>
      <c r="C514" s="23" t="s">
        <v>2360</v>
      </c>
      <c r="D514" s="24">
        <v>231</v>
      </c>
      <c r="E514" s="23">
        <v>2</v>
      </c>
      <c r="G514" s="23" t="s">
        <v>370</v>
      </c>
      <c r="J514" s="23" t="s">
        <v>312</v>
      </c>
      <c r="K514" s="23" t="s">
        <v>201</v>
      </c>
      <c r="L514" s="23">
        <v>2</v>
      </c>
      <c r="S514" s="113">
        <v>1</v>
      </c>
      <c r="AB514" s="23" t="s">
        <v>208</v>
      </c>
      <c r="AD514" s="23" t="s">
        <v>2190</v>
      </c>
      <c r="AF514" s="23" t="s">
        <v>2191</v>
      </c>
      <c r="AP514" s="73"/>
      <c r="AQ514" s="75"/>
      <c r="AR514" s="76"/>
      <c r="AS514" s="77"/>
      <c r="AV514" s="75"/>
      <c r="AW514" s="83"/>
      <c r="AX514" s="84"/>
      <c r="AY514" s="80"/>
      <c r="BB514" s="81"/>
    </row>
    <row r="515" spans="1:59" ht="15" customHeight="1">
      <c r="A515" s="23" t="s">
        <v>2116</v>
      </c>
      <c r="B515" s="23" t="s">
        <v>2132</v>
      </c>
      <c r="C515" s="23" t="s">
        <v>2360</v>
      </c>
      <c r="D515" s="24">
        <v>232</v>
      </c>
      <c r="E515" s="23">
        <v>2</v>
      </c>
      <c r="G515" s="23" t="s">
        <v>2133</v>
      </c>
      <c r="H515" s="23" t="s">
        <v>2192</v>
      </c>
      <c r="I515" s="23" t="s">
        <v>223</v>
      </c>
      <c r="J515" s="23" t="s">
        <v>257</v>
      </c>
      <c r="K515" s="23" t="s">
        <v>200</v>
      </c>
      <c r="L515" s="23">
        <v>0</v>
      </c>
      <c r="N515" s="62">
        <v>4</v>
      </c>
      <c r="P515" s="64">
        <v>1</v>
      </c>
      <c r="T515" s="68">
        <v>1</v>
      </c>
      <c r="U515" s="63">
        <v>3</v>
      </c>
      <c r="AB515" s="23" t="s">
        <v>205</v>
      </c>
      <c r="AC515" s="23" t="s">
        <v>25</v>
      </c>
      <c r="AD515" s="23" t="s">
        <v>670</v>
      </c>
      <c r="AF515" s="23" t="s">
        <v>2193</v>
      </c>
      <c r="AP515" s="73"/>
      <c r="AQ515" s="75"/>
      <c r="AR515" s="76"/>
      <c r="AS515" s="77"/>
      <c r="AV515" s="75"/>
      <c r="AW515" s="83"/>
      <c r="AX515" s="84"/>
      <c r="AY515" s="80"/>
      <c r="BB515" s="81"/>
    </row>
    <row r="516" spans="1:59" ht="15" customHeight="1">
      <c r="A516" s="23" t="s">
        <v>2116</v>
      </c>
      <c r="B516" s="23" t="s">
        <v>2134</v>
      </c>
      <c r="C516" s="23" t="s">
        <v>2360</v>
      </c>
      <c r="D516" s="24">
        <v>233</v>
      </c>
      <c r="E516" s="23">
        <v>2</v>
      </c>
      <c r="G516" s="23" t="s">
        <v>1421</v>
      </c>
      <c r="J516" s="23" t="s">
        <v>257</v>
      </c>
      <c r="K516" s="23" t="s">
        <v>200</v>
      </c>
      <c r="L516" s="23">
        <v>4</v>
      </c>
      <c r="N516" s="62">
        <v>5</v>
      </c>
      <c r="P516" s="64">
        <v>2</v>
      </c>
      <c r="AB516" s="23" t="s">
        <v>1084</v>
      </c>
      <c r="AC516" s="23" t="s">
        <v>378</v>
      </c>
      <c r="AD516" s="23" t="s">
        <v>279</v>
      </c>
      <c r="AF516" s="23" t="s">
        <v>2194</v>
      </c>
      <c r="AP516" s="73"/>
      <c r="AQ516" s="75"/>
      <c r="AR516" s="76"/>
      <c r="AS516" s="77"/>
      <c r="AV516" s="75"/>
      <c r="AW516" s="83"/>
      <c r="AX516" s="84"/>
      <c r="AY516" s="80"/>
      <c r="BB516" s="81"/>
    </row>
    <row r="517" spans="1:59" ht="15" customHeight="1">
      <c r="A517" s="23" t="s">
        <v>2116</v>
      </c>
      <c r="B517" s="23" t="s">
        <v>2135</v>
      </c>
      <c r="C517" s="23" t="s">
        <v>2360</v>
      </c>
      <c r="D517" s="24">
        <v>234</v>
      </c>
      <c r="E517" s="23">
        <v>2</v>
      </c>
      <c r="G517" s="23" t="s">
        <v>2136</v>
      </c>
      <c r="J517" s="23" t="s">
        <v>257</v>
      </c>
      <c r="K517" s="23" t="s">
        <v>202</v>
      </c>
      <c r="L517" s="23">
        <v>0</v>
      </c>
      <c r="N517" s="62">
        <v>3</v>
      </c>
      <c r="O517" s="63">
        <v>1</v>
      </c>
      <c r="AB517" s="23" t="s">
        <v>204</v>
      </c>
      <c r="AD517" s="23" t="s">
        <v>2195</v>
      </c>
      <c r="AF517" s="23" t="s">
        <v>2196</v>
      </c>
      <c r="AP517" s="73"/>
      <c r="AQ517" s="75"/>
      <c r="AR517" s="76"/>
      <c r="AS517" s="77"/>
      <c r="AV517" s="75"/>
      <c r="AW517" s="83"/>
      <c r="AX517" s="84"/>
      <c r="AY517" s="80"/>
      <c r="BB517" s="81"/>
    </row>
    <row r="518" spans="1:59" ht="15" customHeight="1">
      <c r="A518" s="23" t="s">
        <v>2116</v>
      </c>
      <c r="B518" s="23" t="s">
        <v>2137</v>
      </c>
      <c r="C518" s="23" t="s">
        <v>2360</v>
      </c>
      <c r="D518" s="24">
        <v>235</v>
      </c>
      <c r="E518" s="23">
        <v>2</v>
      </c>
      <c r="G518" s="23" t="s">
        <v>411</v>
      </c>
      <c r="J518" s="23" t="s">
        <v>312</v>
      </c>
      <c r="K518" s="23" t="s">
        <v>202</v>
      </c>
      <c r="L518" s="23">
        <v>2</v>
      </c>
      <c r="R518" s="66">
        <v>2</v>
      </c>
      <c r="AB518" s="23" t="s">
        <v>1095</v>
      </c>
      <c r="AD518" s="23" t="s">
        <v>2190</v>
      </c>
      <c r="AF518" s="23" t="s">
        <v>2197</v>
      </c>
      <c r="AP518" s="73"/>
      <c r="AQ518" s="75"/>
      <c r="AR518" s="76"/>
      <c r="AS518" s="77"/>
      <c r="AV518" s="75"/>
      <c r="AW518" s="83"/>
      <c r="AX518" s="84"/>
      <c r="AY518" s="80"/>
      <c r="BB518" s="81"/>
    </row>
    <row r="519" spans="1:59" ht="15" customHeight="1">
      <c r="A519" s="23" t="s">
        <v>2116</v>
      </c>
      <c r="B519" s="23" t="s">
        <v>2138</v>
      </c>
      <c r="C519" s="23" t="s">
        <v>2360</v>
      </c>
      <c r="D519" s="24">
        <v>236</v>
      </c>
      <c r="E519" s="23">
        <v>1</v>
      </c>
      <c r="F519" s="23" t="s">
        <v>2117</v>
      </c>
      <c r="G519" s="23" t="s">
        <v>2117</v>
      </c>
      <c r="H519" s="33" t="s">
        <v>709</v>
      </c>
      <c r="J519" s="23" t="s">
        <v>618</v>
      </c>
      <c r="AF519" s="23" t="s">
        <v>2198</v>
      </c>
      <c r="AI519" s="23" t="s">
        <v>2117</v>
      </c>
      <c r="AJ519" s="23" t="s">
        <v>710</v>
      </c>
      <c r="AL519" s="23" t="s">
        <v>618</v>
      </c>
      <c r="AP519" s="73"/>
      <c r="AQ519" s="75"/>
      <c r="AR519" s="76"/>
      <c r="AS519" s="77"/>
      <c r="AV519" s="75"/>
      <c r="AW519" s="83"/>
      <c r="AX519" s="84"/>
      <c r="AY519" s="80"/>
      <c r="BB519" s="81"/>
      <c r="BG519" s="23" t="s">
        <v>2199</v>
      </c>
    </row>
    <row r="520" spans="1:59" ht="15" customHeight="1">
      <c r="A520" s="23" t="s">
        <v>2116</v>
      </c>
      <c r="B520" s="23" t="s">
        <v>2139</v>
      </c>
      <c r="C520" s="23" t="s">
        <v>2360</v>
      </c>
      <c r="D520" s="24">
        <v>237</v>
      </c>
      <c r="E520" s="23">
        <v>1</v>
      </c>
      <c r="F520" s="23" t="s">
        <v>2117</v>
      </c>
      <c r="G520" s="23" t="s">
        <v>2140</v>
      </c>
      <c r="J520" s="23" t="s">
        <v>619</v>
      </c>
      <c r="Z520" s="68">
        <v>5</v>
      </c>
      <c r="AF520" s="23" t="s">
        <v>2200</v>
      </c>
      <c r="AI520" s="23" t="s">
        <v>2201</v>
      </c>
      <c r="AL520" s="23" t="s">
        <v>619</v>
      </c>
      <c r="AP520" s="73"/>
      <c r="AQ520" s="75"/>
      <c r="AR520" s="76"/>
      <c r="AS520" s="77"/>
      <c r="AV520" s="75"/>
      <c r="AW520" s="83"/>
      <c r="AX520" s="84"/>
      <c r="AY520" s="80"/>
      <c r="BB520" s="81"/>
      <c r="BG520" s="23" t="s">
        <v>2202</v>
      </c>
    </row>
    <row r="521" spans="1:59" ht="15" customHeight="1">
      <c r="A521" s="23" t="s">
        <v>2116</v>
      </c>
      <c r="B521" s="23" t="s">
        <v>2141</v>
      </c>
      <c r="C521" s="23" t="s">
        <v>2360</v>
      </c>
      <c r="D521" s="24">
        <v>238</v>
      </c>
      <c r="E521" s="23">
        <v>1</v>
      </c>
      <c r="F521" s="23" t="s">
        <v>2117</v>
      </c>
      <c r="G521" s="23" t="s">
        <v>2142</v>
      </c>
      <c r="J521" s="23" t="s">
        <v>619</v>
      </c>
      <c r="Z521" s="68">
        <v>6</v>
      </c>
      <c r="AF521" s="23" t="s">
        <v>2200</v>
      </c>
      <c r="AI521" s="23" t="s">
        <v>2203</v>
      </c>
      <c r="AL521" s="23" t="s">
        <v>619</v>
      </c>
      <c r="AP521" s="73"/>
      <c r="AQ521" s="75"/>
      <c r="AR521" s="76"/>
      <c r="AS521" s="77"/>
      <c r="AV521" s="75"/>
      <c r="AW521" s="83"/>
      <c r="AX521" s="84"/>
      <c r="AY521" s="80"/>
      <c r="BB521" s="81"/>
      <c r="BG521" s="23" t="s">
        <v>2204</v>
      </c>
    </row>
    <row r="522" spans="1:59" ht="15" customHeight="1">
      <c r="A522" s="23" t="s">
        <v>2116</v>
      </c>
      <c r="B522" s="23" t="s">
        <v>2143</v>
      </c>
      <c r="C522" s="23" t="s">
        <v>2360</v>
      </c>
      <c r="D522" s="24">
        <v>239</v>
      </c>
      <c r="E522" s="23">
        <v>1</v>
      </c>
      <c r="F522" s="23" t="s">
        <v>2117</v>
      </c>
      <c r="G522" s="23" t="s">
        <v>2144</v>
      </c>
      <c r="J522" s="23" t="s">
        <v>619</v>
      </c>
      <c r="Z522" s="68">
        <v>7</v>
      </c>
      <c r="AF522" s="23" t="s">
        <v>2205</v>
      </c>
      <c r="AI522" s="23" t="s">
        <v>2206</v>
      </c>
      <c r="AL522" s="23" t="s">
        <v>619</v>
      </c>
      <c r="AP522" s="73"/>
      <c r="AQ522" s="75"/>
      <c r="AR522" s="76"/>
      <c r="AS522" s="77"/>
      <c r="AV522" s="75"/>
      <c r="AW522" s="83"/>
      <c r="AX522" s="84"/>
      <c r="AY522" s="80"/>
      <c r="BB522" s="81"/>
      <c r="BG522" s="23" t="s">
        <v>1886</v>
      </c>
    </row>
    <row r="523" spans="1:59" ht="15" customHeight="1">
      <c r="A523" s="23" t="s">
        <v>2116</v>
      </c>
      <c r="B523" s="23" t="s">
        <v>2145</v>
      </c>
      <c r="C523" s="23" t="s">
        <v>2360</v>
      </c>
      <c r="D523" s="24">
        <v>240</v>
      </c>
      <c r="E523" s="23">
        <v>1</v>
      </c>
      <c r="F523" s="23" t="s">
        <v>2117</v>
      </c>
      <c r="G523" s="23" t="s">
        <v>2146</v>
      </c>
      <c r="J523" s="23" t="s">
        <v>621</v>
      </c>
      <c r="Y523" s="66" t="s">
        <v>1697</v>
      </c>
      <c r="AF523" s="23" t="s">
        <v>2207</v>
      </c>
      <c r="AI523" s="23" t="s">
        <v>2208</v>
      </c>
      <c r="AL523" s="23" t="s">
        <v>621</v>
      </c>
      <c r="AP523" s="73"/>
      <c r="AQ523" s="75"/>
      <c r="AR523" s="76"/>
      <c r="AS523" s="77"/>
      <c r="AV523" s="75"/>
      <c r="AW523" s="83"/>
      <c r="AX523" s="84"/>
      <c r="AY523" s="80"/>
      <c r="BB523" s="81"/>
      <c r="BG523" s="23" t="s">
        <v>2209</v>
      </c>
    </row>
    <row r="524" spans="1:59" ht="15" customHeight="1">
      <c r="A524" s="23" t="s">
        <v>2116</v>
      </c>
      <c r="B524" s="23" t="s">
        <v>2147</v>
      </c>
      <c r="C524" s="23" t="s">
        <v>2360</v>
      </c>
      <c r="D524" s="24">
        <v>241</v>
      </c>
      <c r="E524" s="23">
        <v>1</v>
      </c>
      <c r="F524" s="23" t="s">
        <v>2117</v>
      </c>
      <c r="G524" s="23" t="s">
        <v>2148</v>
      </c>
      <c r="J524" s="23" t="s">
        <v>621</v>
      </c>
      <c r="Y524" s="66" t="s">
        <v>38</v>
      </c>
      <c r="AF524" s="23" t="s">
        <v>2210</v>
      </c>
      <c r="AI524" s="23" t="s">
        <v>2211</v>
      </c>
      <c r="AL524" s="23" t="s">
        <v>621</v>
      </c>
      <c r="AP524" s="73"/>
      <c r="AQ524" s="75"/>
      <c r="AR524" s="76"/>
      <c r="AS524" s="77"/>
      <c r="AV524" s="75"/>
      <c r="AW524" s="83"/>
      <c r="AX524" s="84"/>
      <c r="AY524" s="80"/>
      <c r="BB524" s="81"/>
      <c r="BG524" s="23" t="s">
        <v>2212</v>
      </c>
    </row>
    <row r="525" spans="1:59" ht="15" customHeight="1">
      <c r="A525" s="23" t="s">
        <v>2116</v>
      </c>
      <c r="B525" s="23" t="s">
        <v>2149</v>
      </c>
      <c r="C525" s="23" t="s">
        <v>2360</v>
      </c>
      <c r="D525" s="24">
        <v>242</v>
      </c>
      <c r="E525" s="23">
        <v>1</v>
      </c>
      <c r="F525" s="23" t="s">
        <v>2117</v>
      </c>
      <c r="G525" s="23" t="s">
        <v>2150</v>
      </c>
      <c r="J525" s="23" t="s">
        <v>31</v>
      </c>
      <c r="AD525" s="23" t="s">
        <v>2013</v>
      </c>
      <c r="AI525" s="23" t="s">
        <v>2150</v>
      </c>
      <c r="AL525" s="23" t="s">
        <v>31</v>
      </c>
      <c r="AP525" s="73"/>
      <c r="AQ525" s="75"/>
      <c r="AR525" s="76"/>
      <c r="AS525" s="77"/>
      <c r="AV525" s="75"/>
      <c r="AW525" s="83"/>
      <c r="AX525" s="84"/>
      <c r="AY525" s="80">
        <v>3</v>
      </c>
      <c r="AZ525" s="66">
        <v>1</v>
      </c>
      <c r="BB525" s="81"/>
      <c r="BE525" s="23" t="s">
        <v>2013</v>
      </c>
      <c r="BG525" s="23" t="s">
        <v>2213</v>
      </c>
    </row>
    <row r="526" spans="1:59" ht="15" customHeight="1">
      <c r="A526" s="23" t="s">
        <v>2116</v>
      </c>
      <c r="B526" s="23" t="s">
        <v>2151</v>
      </c>
      <c r="C526" s="23" t="s">
        <v>2360</v>
      </c>
      <c r="D526" s="24">
        <v>243</v>
      </c>
      <c r="E526" s="23">
        <v>1</v>
      </c>
      <c r="F526" s="23" t="s">
        <v>2117</v>
      </c>
      <c r="G526" s="23" t="s">
        <v>2150</v>
      </c>
      <c r="J526" s="23" t="s">
        <v>31</v>
      </c>
      <c r="AD526" s="23" t="s">
        <v>2013</v>
      </c>
      <c r="AI526" s="23" t="s">
        <v>2150</v>
      </c>
      <c r="AL526" s="23" t="s">
        <v>31</v>
      </c>
      <c r="AP526" s="73"/>
      <c r="AQ526" s="75"/>
      <c r="AR526" s="76"/>
      <c r="AS526" s="77"/>
      <c r="AV526" s="75"/>
      <c r="AW526" s="83"/>
      <c r="AX526" s="84"/>
      <c r="AY526" s="80">
        <v>2</v>
      </c>
      <c r="AZ526" s="66">
        <v>3</v>
      </c>
      <c r="BB526" s="81"/>
      <c r="BE526" s="23" t="s">
        <v>2013</v>
      </c>
      <c r="BG526" s="23" t="s">
        <v>2214</v>
      </c>
    </row>
    <row r="527" spans="1:59" ht="15" customHeight="1">
      <c r="A527" s="23" t="s">
        <v>2116</v>
      </c>
      <c r="B527" s="23" t="s">
        <v>2152</v>
      </c>
      <c r="C527" s="23" t="s">
        <v>2360</v>
      </c>
      <c r="D527" s="24">
        <v>244</v>
      </c>
      <c r="E527" s="23">
        <v>1</v>
      </c>
      <c r="F527" s="23" t="s">
        <v>2117</v>
      </c>
      <c r="G527" s="23" t="s">
        <v>2153</v>
      </c>
      <c r="J527" s="23" t="s">
        <v>31</v>
      </c>
      <c r="AD527" s="23" t="s">
        <v>2013</v>
      </c>
      <c r="AI527" s="23" t="s">
        <v>2153</v>
      </c>
      <c r="AL527" s="23" t="s">
        <v>31</v>
      </c>
      <c r="AP527" s="73"/>
      <c r="AQ527" s="75"/>
      <c r="AR527" s="76"/>
      <c r="AS527" s="77"/>
      <c r="AV527" s="75"/>
      <c r="AW527" s="83"/>
      <c r="AX527" s="84"/>
      <c r="AY527" s="80">
        <v>3</v>
      </c>
      <c r="AZ527" s="66">
        <v>2</v>
      </c>
      <c r="BB527" s="81"/>
      <c r="BE527" s="23" t="s">
        <v>2013</v>
      </c>
      <c r="BG527" s="23" t="s">
        <v>2215</v>
      </c>
    </row>
    <row r="528" spans="1:59" ht="15" customHeight="1">
      <c r="A528" s="23" t="s">
        <v>2116</v>
      </c>
      <c r="B528" s="23" t="s">
        <v>2154</v>
      </c>
      <c r="C528" s="23" t="s">
        <v>2360</v>
      </c>
      <c r="D528" s="24">
        <v>245</v>
      </c>
      <c r="E528" s="23">
        <v>1</v>
      </c>
      <c r="F528" s="23" t="s">
        <v>2117</v>
      </c>
      <c r="G528" s="23" t="s">
        <v>2153</v>
      </c>
      <c r="J528" s="23" t="s">
        <v>31</v>
      </c>
      <c r="AD528" s="23" t="s">
        <v>2013</v>
      </c>
      <c r="AI528" s="23" t="s">
        <v>2153</v>
      </c>
      <c r="AL528" s="23" t="s">
        <v>31</v>
      </c>
      <c r="AP528" s="73"/>
      <c r="AQ528" s="75"/>
      <c r="AR528" s="76"/>
      <c r="AS528" s="77"/>
      <c r="AV528" s="75"/>
      <c r="AW528" s="83"/>
      <c r="AX528" s="84"/>
      <c r="AY528" s="80">
        <v>2</v>
      </c>
      <c r="AZ528" s="66">
        <v>0</v>
      </c>
      <c r="BB528" s="81"/>
      <c r="BE528" s="23" t="s">
        <v>2013</v>
      </c>
      <c r="BG528" s="23" t="s">
        <v>2216</v>
      </c>
    </row>
    <row r="529" spans="1:59" ht="15" customHeight="1">
      <c r="A529" s="23" t="s">
        <v>2116</v>
      </c>
      <c r="B529" s="23" t="s">
        <v>2155</v>
      </c>
      <c r="C529" s="23" t="s">
        <v>2360</v>
      </c>
      <c r="D529" s="24">
        <v>246</v>
      </c>
      <c r="E529" s="23">
        <v>1</v>
      </c>
      <c r="F529" s="23" t="s">
        <v>2117</v>
      </c>
      <c r="G529" s="23" t="s">
        <v>2156</v>
      </c>
      <c r="J529" s="23" t="s">
        <v>31</v>
      </c>
      <c r="AD529" s="23" t="s">
        <v>2013</v>
      </c>
      <c r="AI529" s="23" t="s">
        <v>2156</v>
      </c>
      <c r="AL529" s="23" t="s">
        <v>31</v>
      </c>
      <c r="AP529" s="73"/>
      <c r="AQ529" s="75"/>
      <c r="AR529" s="76"/>
      <c r="AS529" s="77"/>
      <c r="AV529" s="75"/>
      <c r="AW529" s="83"/>
      <c r="AX529" s="84"/>
      <c r="AY529" s="80">
        <v>3</v>
      </c>
      <c r="AZ529" s="66">
        <v>1</v>
      </c>
      <c r="BB529" s="81"/>
      <c r="BE529" s="23" t="s">
        <v>2013</v>
      </c>
      <c r="BG529" s="23" t="s">
        <v>2217</v>
      </c>
    </row>
    <row r="530" spans="1:59" ht="15" customHeight="1">
      <c r="A530" s="23" t="s">
        <v>2116</v>
      </c>
      <c r="B530" s="23" t="s">
        <v>2157</v>
      </c>
      <c r="C530" s="23" t="s">
        <v>2360</v>
      </c>
      <c r="D530" s="24">
        <v>247</v>
      </c>
      <c r="E530" s="23">
        <v>1</v>
      </c>
      <c r="F530" s="23" t="s">
        <v>2117</v>
      </c>
      <c r="G530" s="23" t="s">
        <v>2156</v>
      </c>
      <c r="J530" s="23" t="s">
        <v>31</v>
      </c>
      <c r="AD530" s="23" t="s">
        <v>2013</v>
      </c>
      <c r="AI530" s="23" t="s">
        <v>2156</v>
      </c>
      <c r="AL530" s="23" t="s">
        <v>31</v>
      </c>
      <c r="AP530" s="73"/>
      <c r="AQ530" s="75"/>
      <c r="AR530" s="76"/>
      <c r="AS530" s="77"/>
      <c r="AV530" s="75"/>
      <c r="AW530" s="83"/>
      <c r="AX530" s="84"/>
      <c r="AY530" s="80">
        <v>2</v>
      </c>
      <c r="AZ530" s="66">
        <v>3</v>
      </c>
      <c r="BB530" s="81"/>
      <c r="BE530" s="23" t="s">
        <v>2013</v>
      </c>
      <c r="BG530" s="23" t="s">
        <v>2218</v>
      </c>
    </row>
    <row r="531" spans="1:59" ht="15" customHeight="1">
      <c r="A531" s="23" t="s">
        <v>2116</v>
      </c>
      <c r="B531" s="23" t="s">
        <v>2158</v>
      </c>
      <c r="C531" s="23" t="s">
        <v>2360</v>
      </c>
      <c r="D531" s="24">
        <v>248</v>
      </c>
      <c r="E531" s="23">
        <v>1</v>
      </c>
      <c r="F531" s="23" t="s">
        <v>2117</v>
      </c>
      <c r="G531" s="23" t="s">
        <v>2159</v>
      </c>
      <c r="J531" s="23" t="s">
        <v>31</v>
      </c>
      <c r="AD531" s="23" t="s">
        <v>2013</v>
      </c>
      <c r="AI531" s="23" t="s">
        <v>2159</v>
      </c>
      <c r="AL531" s="23" t="s">
        <v>31</v>
      </c>
      <c r="AP531" s="73"/>
      <c r="AQ531" s="75"/>
      <c r="AR531" s="76"/>
      <c r="AS531" s="77"/>
      <c r="AV531" s="75"/>
      <c r="AW531" s="83"/>
      <c r="AX531" s="84"/>
      <c r="AY531" s="80">
        <v>4</v>
      </c>
      <c r="AZ531" s="66">
        <v>3</v>
      </c>
      <c r="BB531" s="81"/>
      <c r="BE531" s="23" t="s">
        <v>2013</v>
      </c>
      <c r="BG531" s="23" t="s">
        <v>2219</v>
      </c>
    </row>
    <row r="532" spans="1:59" ht="15" customHeight="1">
      <c r="A532" s="23" t="s">
        <v>2116</v>
      </c>
      <c r="B532" s="23" t="s">
        <v>2160</v>
      </c>
      <c r="C532" s="23" t="s">
        <v>2360</v>
      </c>
      <c r="D532" s="24">
        <v>249</v>
      </c>
      <c r="E532" s="23">
        <v>1</v>
      </c>
      <c r="F532" s="23" t="s">
        <v>2117</v>
      </c>
      <c r="G532" s="23" t="s">
        <v>2159</v>
      </c>
      <c r="J532" s="23" t="s">
        <v>31</v>
      </c>
      <c r="AD532" s="23" t="s">
        <v>2013</v>
      </c>
      <c r="AI532" s="23" t="s">
        <v>2159</v>
      </c>
      <c r="AL532" s="23" t="s">
        <v>31</v>
      </c>
      <c r="AP532" s="73"/>
      <c r="AQ532" s="75"/>
      <c r="AR532" s="76"/>
      <c r="AS532" s="77"/>
      <c r="AV532" s="75"/>
      <c r="AW532" s="83"/>
      <c r="AX532" s="84"/>
      <c r="AY532" s="80">
        <v>3</v>
      </c>
      <c r="AZ532" s="66">
        <v>2</v>
      </c>
      <c r="BB532" s="81"/>
      <c r="BE532" s="23" t="s">
        <v>2013</v>
      </c>
      <c r="BG532" s="23" t="s">
        <v>2220</v>
      </c>
    </row>
    <row r="533" spans="1:59" ht="15" customHeight="1">
      <c r="A533" s="23" t="s">
        <v>2116</v>
      </c>
      <c r="B533" s="23" t="s">
        <v>2161</v>
      </c>
      <c r="C533" s="23" t="s">
        <v>2360</v>
      </c>
      <c r="D533" s="24">
        <v>250</v>
      </c>
      <c r="E533" s="23">
        <v>1</v>
      </c>
      <c r="F533" s="23" t="s">
        <v>2117</v>
      </c>
      <c r="G533" s="23" t="s">
        <v>2162</v>
      </c>
      <c r="J533" s="23" t="s">
        <v>31</v>
      </c>
      <c r="AD533" s="23" t="s">
        <v>2013</v>
      </c>
      <c r="AI533" s="23" t="s">
        <v>2162</v>
      </c>
      <c r="AL533" s="23" t="s">
        <v>31</v>
      </c>
      <c r="AP533" s="73"/>
      <c r="AQ533" s="75"/>
      <c r="AR533" s="76"/>
      <c r="AS533" s="77"/>
      <c r="AV533" s="75"/>
      <c r="AW533" s="83"/>
      <c r="AX533" s="84"/>
      <c r="AY533" s="80">
        <v>3</v>
      </c>
      <c r="AZ533" s="66" t="s">
        <v>1697</v>
      </c>
      <c r="BB533" s="81"/>
      <c r="BE533" s="23" t="s">
        <v>2013</v>
      </c>
      <c r="BG533" s="23" t="s">
        <v>2221</v>
      </c>
    </row>
    <row r="534" spans="1:59" ht="15" customHeight="1">
      <c r="A534" s="23" t="s">
        <v>2116</v>
      </c>
      <c r="B534" s="23" t="s">
        <v>2163</v>
      </c>
      <c r="C534" s="23" t="s">
        <v>2360</v>
      </c>
      <c r="D534" s="24">
        <v>251</v>
      </c>
      <c r="E534" s="23">
        <v>1</v>
      </c>
      <c r="F534" s="23" t="s">
        <v>2117</v>
      </c>
      <c r="G534" s="23" t="s">
        <v>2162</v>
      </c>
      <c r="J534" s="23" t="s">
        <v>31</v>
      </c>
      <c r="AD534" s="23" t="s">
        <v>2013</v>
      </c>
      <c r="AI534" s="23" t="s">
        <v>2162</v>
      </c>
      <c r="AL534" s="23" t="s">
        <v>31</v>
      </c>
      <c r="AP534" s="73"/>
      <c r="AQ534" s="75"/>
      <c r="AR534" s="76"/>
      <c r="AS534" s="77"/>
      <c r="AV534" s="75"/>
      <c r="AW534" s="83"/>
      <c r="AX534" s="84"/>
      <c r="AY534" s="80">
        <v>2</v>
      </c>
      <c r="AZ534" s="66" t="s">
        <v>1697</v>
      </c>
      <c r="BB534" s="81"/>
      <c r="BE534" s="23" t="s">
        <v>2013</v>
      </c>
      <c r="BG534" s="23" t="s">
        <v>2222</v>
      </c>
    </row>
    <row r="535" spans="1:59" ht="15" customHeight="1">
      <c r="A535" s="23" t="s">
        <v>2116</v>
      </c>
      <c r="B535" s="23" t="s">
        <v>2164</v>
      </c>
      <c r="C535" s="23" t="s">
        <v>2360</v>
      </c>
      <c r="D535" s="24">
        <v>252</v>
      </c>
      <c r="E535" s="23">
        <v>1</v>
      </c>
      <c r="F535" s="23" t="s">
        <v>2117</v>
      </c>
      <c r="G535" s="23" t="s">
        <v>2165</v>
      </c>
      <c r="J535" s="23" t="s">
        <v>31</v>
      </c>
      <c r="AD535" s="23" t="s">
        <v>2013</v>
      </c>
      <c r="AI535" s="23" t="s">
        <v>2165</v>
      </c>
      <c r="AL535" s="23" t="s">
        <v>31</v>
      </c>
      <c r="AP535" s="73"/>
      <c r="AQ535" s="75"/>
      <c r="AR535" s="76"/>
      <c r="AS535" s="77"/>
      <c r="AV535" s="75"/>
      <c r="AW535" s="83"/>
      <c r="AX535" s="84"/>
      <c r="AY535" s="80">
        <v>1</v>
      </c>
      <c r="AZ535" s="66">
        <v>2</v>
      </c>
      <c r="BB535" s="81"/>
      <c r="BE535" s="23" t="s">
        <v>2013</v>
      </c>
      <c r="BG535" s="23" t="s">
        <v>2223</v>
      </c>
    </row>
    <row r="536" spans="1:59" ht="15" customHeight="1">
      <c r="A536" s="23" t="s">
        <v>2116</v>
      </c>
      <c r="B536" s="23" t="s">
        <v>2166</v>
      </c>
      <c r="C536" s="23" t="s">
        <v>2360</v>
      </c>
      <c r="D536" s="24">
        <v>253</v>
      </c>
      <c r="E536" s="23">
        <v>1</v>
      </c>
      <c r="F536" s="23" t="s">
        <v>2117</v>
      </c>
      <c r="G536" s="23" t="s">
        <v>2165</v>
      </c>
      <c r="J536" s="23" t="s">
        <v>31</v>
      </c>
      <c r="AD536" s="23" t="s">
        <v>2013</v>
      </c>
      <c r="AI536" s="23" t="s">
        <v>2165</v>
      </c>
      <c r="AL536" s="23" t="s">
        <v>31</v>
      </c>
      <c r="AP536" s="73"/>
      <c r="AQ536" s="75"/>
      <c r="AR536" s="76"/>
      <c r="AS536" s="77"/>
      <c r="AV536" s="75"/>
      <c r="AW536" s="83"/>
      <c r="AX536" s="84"/>
      <c r="AY536" s="80">
        <v>2</v>
      </c>
      <c r="AZ536" s="66" t="s">
        <v>1071</v>
      </c>
      <c r="BB536" s="81"/>
      <c r="BE536" s="23" t="s">
        <v>2013</v>
      </c>
      <c r="BG536" s="23" t="s">
        <v>2224</v>
      </c>
    </row>
    <row r="537" spans="1:59" ht="15" customHeight="1">
      <c r="A537" s="23" t="s">
        <v>2116</v>
      </c>
      <c r="B537" s="23" t="s">
        <v>2167</v>
      </c>
      <c r="C537" s="23" t="s">
        <v>2360</v>
      </c>
      <c r="D537" s="24">
        <v>254</v>
      </c>
      <c r="E537" s="23">
        <v>1</v>
      </c>
      <c r="F537" s="23" t="s">
        <v>2117</v>
      </c>
      <c r="G537" s="23" t="s">
        <v>2168</v>
      </c>
      <c r="J537" s="23" t="s">
        <v>257</v>
      </c>
      <c r="K537" s="23" t="s">
        <v>26</v>
      </c>
      <c r="N537" s="62">
        <v>0</v>
      </c>
      <c r="AD537" s="23" t="s">
        <v>279</v>
      </c>
      <c r="AF537" s="23" t="s">
        <v>2225</v>
      </c>
      <c r="AP537" s="73"/>
      <c r="AQ537" s="75"/>
      <c r="AR537" s="76"/>
      <c r="AS537" s="77"/>
      <c r="AV537" s="75"/>
      <c r="AW537" s="83"/>
      <c r="AX537" s="84"/>
      <c r="AY537" s="80"/>
      <c r="BB537" s="81"/>
    </row>
    <row r="538" spans="1:59" ht="15" customHeight="1">
      <c r="A538" s="23" t="s">
        <v>2116</v>
      </c>
      <c r="B538" s="23" t="s">
        <v>2169</v>
      </c>
      <c r="C538" s="23" t="s">
        <v>2360</v>
      </c>
      <c r="D538" s="24">
        <v>255</v>
      </c>
      <c r="E538" s="23">
        <v>5</v>
      </c>
      <c r="F538" s="23" t="s">
        <v>2117</v>
      </c>
      <c r="G538" s="23" t="s">
        <v>2170</v>
      </c>
      <c r="J538" s="23" t="s">
        <v>29</v>
      </c>
      <c r="Q538" s="65">
        <v>6</v>
      </c>
      <c r="R538" s="66">
        <v>3</v>
      </c>
      <c r="T538" s="68">
        <v>1</v>
      </c>
      <c r="V538" s="69">
        <v>2</v>
      </c>
      <c r="W538" s="70">
        <v>2</v>
      </c>
      <c r="AA538" s="72">
        <v>1</v>
      </c>
      <c r="AD538" s="23" t="s">
        <v>1691</v>
      </c>
      <c r="AF538" s="23" t="s">
        <v>2226</v>
      </c>
      <c r="AP538" s="73"/>
      <c r="AQ538" s="75"/>
      <c r="AR538" s="76"/>
      <c r="AS538" s="77"/>
      <c r="AV538" s="75"/>
      <c r="AW538" s="83"/>
      <c r="AX538" s="84"/>
      <c r="AY538" s="80"/>
      <c r="BB538" s="81"/>
    </row>
    <row r="539" spans="1:59" ht="15" customHeight="1">
      <c r="A539" s="23" t="s">
        <v>2116</v>
      </c>
      <c r="B539" s="23" t="s">
        <v>2171</v>
      </c>
      <c r="C539" s="23" t="s">
        <v>2360</v>
      </c>
      <c r="D539" s="24">
        <v>256</v>
      </c>
      <c r="E539" s="23">
        <v>4</v>
      </c>
      <c r="F539" s="23" t="s">
        <v>2117</v>
      </c>
      <c r="G539" s="23" t="s">
        <v>2172</v>
      </c>
      <c r="J539" s="23" t="s">
        <v>28</v>
      </c>
      <c r="AF539" s="23" t="s">
        <v>2227</v>
      </c>
      <c r="AP539" s="73"/>
      <c r="AQ539" s="75"/>
      <c r="AR539" s="76"/>
      <c r="AS539" s="77"/>
      <c r="AV539" s="75"/>
      <c r="AW539" s="83"/>
      <c r="AX539" s="84"/>
      <c r="AY539" s="80"/>
      <c r="BB539" s="81"/>
    </row>
    <row r="540" spans="1:59" ht="15" customHeight="1">
      <c r="A540" s="23" t="s">
        <v>2116</v>
      </c>
      <c r="B540" s="23" t="s">
        <v>2173</v>
      </c>
      <c r="C540" s="23" t="s">
        <v>2360</v>
      </c>
      <c r="D540" s="24">
        <v>257</v>
      </c>
      <c r="E540" s="23">
        <v>3</v>
      </c>
      <c r="F540" s="23" t="s">
        <v>2117</v>
      </c>
      <c r="G540" s="23" t="s">
        <v>2174</v>
      </c>
      <c r="J540" s="23" t="s">
        <v>28</v>
      </c>
      <c r="AD540" s="23" t="s">
        <v>479</v>
      </c>
      <c r="AF540" s="23" t="s">
        <v>2228</v>
      </c>
      <c r="AP540" s="73"/>
      <c r="AQ540" s="75"/>
      <c r="AR540" s="76"/>
      <c r="AS540" s="77"/>
      <c r="AV540" s="75"/>
      <c r="AW540" s="83"/>
      <c r="AX540" s="84"/>
      <c r="AY540" s="80"/>
      <c r="BB540" s="81"/>
    </row>
    <row r="541" spans="1:59" ht="15" customHeight="1">
      <c r="A541" s="23" t="s">
        <v>2116</v>
      </c>
      <c r="B541" s="23" t="s">
        <v>2175</v>
      </c>
      <c r="C541" s="23" t="s">
        <v>2360</v>
      </c>
      <c r="D541" s="24">
        <v>258</v>
      </c>
      <c r="E541" s="23">
        <v>2</v>
      </c>
      <c r="F541" s="23" t="s">
        <v>2117</v>
      </c>
      <c r="G541" s="23" t="s">
        <v>2176</v>
      </c>
      <c r="J541" s="23" t="s">
        <v>28</v>
      </c>
      <c r="AF541" s="23" t="s">
        <v>2229</v>
      </c>
      <c r="AP541" s="73"/>
      <c r="AQ541" s="75"/>
      <c r="AR541" s="76"/>
      <c r="AS541" s="77"/>
      <c r="AV541" s="75"/>
      <c r="AW541" s="83"/>
      <c r="AX541" s="84"/>
      <c r="AY541" s="80"/>
      <c r="BB541" s="81"/>
    </row>
    <row r="542" spans="1:59" ht="15" customHeight="1">
      <c r="A542" s="23" t="s">
        <v>2116</v>
      </c>
      <c r="B542" s="23" t="s">
        <v>2177</v>
      </c>
      <c r="C542" s="23" t="s">
        <v>2360</v>
      </c>
      <c r="D542" s="24">
        <v>259</v>
      </c>
      <c r="E542" s="23">
        <v>2</v>
      </c>
      <c r="F542" s="23" t="s">
        <v>2117</v>
      </c>
      <c r="G542" s="23" t="s">
        <v>2178</v>
      </c>
      <c r="J542" s="23" t="s">
        <v>28</v>
      </c>
      <c r="AD542" s="23" t="s">
        <v>481</v>
      </c>
      <c r="AF542" s="23" t="s">
        <v>2230</v>
      </c>
      <c r="AP542" s="73"/>
      <c r="AQ542" s="75"/>
      <c r="AR542" s="76"/>
      <c r="AS542" s="77"/>
      <c r="AV542" s="75"/>
      <c r="AW542" s="83"/>
      <c r="AX542" s="84"/>
      <c r="AY542" s="80"/>
      <c r="BB542" s="81"/>
    </row>
    <row r="543" spans="1:59" ht="15" customHeight="1">
      <c r="A543" s="41" t="s">
        <v>2231</v>
      </c>
      <c r="B543" s="41" t="s">
        <v>2234</v>
      </c>
      <c r="C543" s="41" t="s">
        <v>2361</v>
      </c>
      <c r="D543" s="116">
        <v>260</v>
      </c>
      <c r="E543" s="41">
        <v>2</v>
      </c>
      <c r="F543" s="41"/>
      <c r="G543" s="41" t="s">
        <v>2235</v>
      </c>
      <c r="J543" s="23" t="s">
        <v>312</v>
      </c>
      <c r="K543" s="23" t="s">
        <v>198</v>
      </c>
      <c r="L543" s="23">
        <v>0</v>
      </c>
      <c r="S543" s="113">
        <v>1</v>
      </c>
      <c r="AB543" s="23" t="s">
        <v>208</v>
      </c>
      <c r="AD543" s="23" t="s">
        <v>313</v>
      </c>
      <c r="AF543" s="23" t="s">
        <v>2309</v>
      </c>
      <c r="AP543" s="73"/>
      <c r="AQ543" s="75"/>
      <c r="AR543" s="76"/>
      <c r="AS543" s="77"/>
      <c r="AV543" s="75"/>
      <c r="AW543" s="83"/>
      <c r="AX543" s="84"/>
      <c r="AY543" s="80"/>
      <c r="BB543" s="81"/>
    </row>
    <row r="544" spans="1:59" ht="15" customHeight="1">
      <c r="A544" s="23" t="s">
        <v>2231</v>
      </c>
      <c r="B544" s="23" t="s">
        <v>2236</v>
      </c>
      <c r="C544" s="23" t="s">
        <v>2361</v>
      </c>
      <c r="D544" s="24">
        <v>261</v>
      </c>
      <c r="E544" s="23">
        <v>2</v>
      </c>
      <c r="G544" s="23" t="s">
        <v>2237</v>
      </c>
      <c r="J544" s="23" t="s">
        <v>27</v>
      </c>
      <c r="K544" s="23" t="s">
        <v>198</v>
      </c>
      <c r="L544" s="23">
        <v>4</v>
      </c>
      <c r="N544" s="62">
        <v>0</v>
      </c>
      <c r="O544" s="63">
        <v>2</v>
      </c>
      <c r="R544" s="66">
        <v>1</v>
      </c>
      <c r="AB544" s="23" t="s">
        <v>2310</v>
      </c>
      <c r="AD544" s="23" t="s">
        <v>1805</v>
      </c>
      <c r="AF544" s="117" t="s">
        <v>2362</v>
      </c>
      <c r="AP544" s="73"/>
      <c r="AQ544" s="75"/>
      <c r="AR544" s="76"/>
      <c r="AS544" s="77"/>
      <c r="AV544" s="75"/>
      <c r="AW544" s="83"/>
      <c r="AX544" s="84"/>
      <c r="AY544" s="80"/>
      <c r="BB544" s="81"/>
    </row>
    <row r="545" spans="1:59" ht="15" customHeight="1">
      <c r="A545" s="23" t="s">
        <v>2231</v>
      </c>
      <c r="B545" s="23" t="s">
        <v>2238</v>
      </c>
      <c r="C545" s="23" t="s">
        <v>2361</v>
      </c>
      <c r="D545" s="24">
        <v>262</v>
      </c>
      <c r="E545" s="23">
        <v>2</v>
      </c>
      <c r="G545" s="23" t="s">
        <v>1396</v>
      </c>
      <c r="H545" s="23" t="s">
        <v>2311</v>
      </c>
      <c r="J545" s="23" t="s">
        <v>257</v>
      </c>
      <c r="K545" s="23" t="s">
        <v>199</v>
      </c>
      <c r="L545" s="23">
        <v>4</v>
      </c>
      <c r="N545" s="62">
        <v>1</v>
      </c>
      <c r="O545" s="63">
        <v>2</v>
      </c>
      <c r="AB545" s="23" t="s">
        <v>1094</v>
      </c>
      <c r="AD545" s="23" t="s">
        <v>1398</v>
      </c>
      <c r="AF545" s="23" t="s">
        <v>2363</v>
      </c>
      <c r="AP545" s="73"/>
      <c r="AQ545" s="75"/>
      <c r="AR545" s="76"/>
      <c r="AS545" s="77"/>
      <c r="AV545" s="75"/>
      <c r="AW545" s="83"/>
      <c r="AX545" s="84"/>
      <c r="AY545" s="80"/>
      <c r="BB545" s="81"/>
    </row>
    <row r="546" spans="1:59" ht="15" customHeight="1">
      <c r="A546" s="23" t="s">
        <v>2231</v>
      </c>
      <c r="B546" s="23" t="s">
        <v>2239</v>
      </c>
      <c r="C546" s="23" t="s">
        <v>2361</v>
      </c>
      <c r="D546" s="24">
        <v>263</v>
      </c>
      <c r="E546" s="23">
        <v>2</v>
      </c>
      <c r="G546" s="23" t="s">
        <v>1396</v>
      </c>
      <c r="H546" s="23" t="s">
        <v>2312</v>
      </c>
      <c r="J546" s="23" t="s">
        <v>257</v>
      </c>
      <c r="K546" s="23" t="s">
        <v>199</v>
      </c>
      <c r="L546" s="23">
        <v>4</v>
      </c>
      <c r="N546" s="62">
        <v>1</v>
      </c>
      <c r="Q546" s="65">
        <v>2</v>
      </c>
      <c r="AB546" s="23" t="s">
        <v>1088</v>
      </c>
      <c r="AD546" s="23" t="s">
        <v>1398</v>
      </c>
      <c r="AF546" s="23" t="s">
        <v>2364</v>
      </c>
      <c r="AP546" s="73"/>
      <c r="AQ546" s="75"/>
      <c r="AR546" s="76"/>
      <c r="AS546" s="77"/>
      <c r="AV546" s="75"/>
      <c r="AW546" s="83"/>
      <c r="AX546" s="84"/>
      <c r="AY546" s="80"/>
      <c r="BB546" s="81"/>
    </row>
    <row r="547" spans="1:59" ht="15" customHeight="1">
      <c r="A547" s="23" t="s">
        <v>2231</v>
      </c>
      <c r="B547" s="23" t="s">
        <v>2240</v>
      </c>
      <c r="C547" s="23" t="s">
        <v>2361</v>
      </c>
      <c r="D547" s="24">
        <v>264</v>
      </c>
      <c r="E547" s="23">
        <v>2</v>
      </c>
      <c r="G547" s="23" t="s">
        <v>1396</v>
      </c>
      <c r="H547" s="23" t="s">
        <v>2313</v>
      </c>
      <c r="J547" s="23" t="s">
        <v>257</v>
      </c>
      <c r="K547" s="23" t="s">
        <v>199</v>
      </c>
      <c r="L547" s="23">
        <v>4</v>
      </c>
      <c r="N547" s="62">
        <v>1</v>
      </c>
      <c r="R547" s="66">
        <v>2</v>
      </c>
      <c r="AB547" s="23" t="s">
        <v>1095</v>
      </c>
      <c r="AD547" s="23" t="s">
        <v>1398</v>
      </c>
      <c r="AF547" s="23" t="s">
        <v>2365</v>
      </c>
      <c r="AP547" s="73"/>
      <c r="AQ547" s="75"/>
      <c r="AR547" s="76"/>
      <c r="AS547" s="77"/>
      <c r="AV547" s="75"/>
      <c r="AW547" s="83"/>
      <c r="AX547" s="84"/>
      <c r="AY547" s="80"/>
      <c r="BB547" s="81"/>
    </row>
    <row r="548" spans="1:59" ht="15" customHeight="1">
      <c r="A548" s="23" t="s">
        <v>2231</v>
      </c>
      <c r="B548" s="23" t="s">
        <v>2241</v>
      </c>
      <c r="C548" s="23" t="s">
        <v>2361</v>
      </c>
      <c r="D548" s="24">
        <v>265</v>
      </c>
      <c r="E548" s="23">
        <v>2</v>
      </c>
      <c r="G548" s="23" t="s">
        <v>2242</v>
      </c>
      <c r="H548" s="23" t="s">
        <v>2314</v>
      </c>
      <c r="I548" s="23" t="s">
        <v>223</v>
      </c>
      <c r="J548" s="23" t="s">
        <v>257</v>
      </c>
      <c r="K548" s="23" t="s">
        <v>201</v>
      </c>
      <c r="L548" s="23">
        <v>0</v>
      </c>
      <c r="N548" s="62">
        <v>4</v>
      </c>
      <c r="P548" s="64">
        <v>1</v>
      </c>
      <c r="R548" s="66">
        <v>1</v>
      </c>
      <c r="T548" s="68">
        <v>3</v>
      </c>
      <c r="U548" s="63">
        <v>2</v>
      </c>
      <c r="AB548" s="23" t="s">
        <v>2315</v>
      </c>
      <c r="AD548" s="23" t="s">
        <v>362</v>
      </c>
      <c r="AF548" s="23" t="s">
        <v>2316</v>
      </c>
      <c r="AP548" s="73"/>
      <c r="AQ548" s="75"/>
      <c r="AR548" s="76"/>
      <c r="AS548" s="77"/>
      <c r="AV548" s="75"/>
      <c r="AW548" s="83"/>
      <c r="AX548" s="84"/>
      <c r="AY548" s="80"/>
      <c r="BB548" s="81"/>
    </row>
    <row r="549" spans="1:59" ht="15" customHeight="1">
      <c r="A549" s="23" t="s">
        <v>2231</v>
      </c>
      <c r="B549" s="23" t="s">
        <v>2243</v>
      </c>
      <c r="C549" s="23" t="s">
        <v>2361</v>
      </c>
      <c r="D549" s="24">
        <v>266</v>
      </c>
      <c r="E549" s="23">
        <v>2</v>
      </c>
      <c r="G549" s="23" t="s">
        <v>2244</v>
      </c>
      <c r="J549" s="23" t="s">
        <v>27</v>
      </c>
      <c r="K549" s="23" t="s">
        <v>201</v>
      </c>
      <c r="L549" s="23">
        <v>3</v>
      </c>
      <c r="N549" s="62">
        <v>0</v>
      </c>
      <c r="AD549" s="23" t="s">
        <v>1412</v>
      </c>
      <c r="AF549" s="23" t="s">
        <v>2366</v>
      </c>
      <c r="AP549" s="73"/>
      <c r="AQ549" s="75"/>
      <c r="AR549" s="76"/>
      <c r="AS549" s="77"/>
      <c r="AV549" s="75"/>
      <c r="AW549" s="83"/>
      <c r="AX549" s="84"/>
      <c r="AY549" s="80"/>
      <c r="BB549" s="81"/>
    </row>
    <row r="550" spans="1:59" ht="15" customHeight="1">
      <c r="A550" s="23" t="s">
        <v>2231</v>
      </c>
      <c r="B550" s="23" t="s">
        <v>2245</v>
      </c>
      <c r="C550" s="23" t="s">
        <v>2361</v>
      </c>
      <c r="D550" s="24">
        <v>267</v>
      </c>
      <c r="E550" s="23">
        <v>2</v>
      </c>
      <c r="G550" s="23" t="s">
        <v>2246</v>
      </c>
      <c r="J550" s="23" t="s">
        <v>27</v>
      </c>
      <c r="K550" s="23" t="s">
        <v>200</v>
      </c>
      <c r="L550" s="23">
        <v>0</v>
      </c>
      <c r="N550" s="62">
        <v>0</v>
      </c>
      <c r="P550" s="64">
        <v>1</v>
      </c>
      <c r="R550" s="66">
        <v>1</v>
      </c>
      <c r="AB550" s="23" t="s">
        <v>2315</v>
      </c>
      <c r="AD550" s="23" t="s">
        <v>2317</v>
      </c>
      <c r="AF550" s="23" t="s">
        <v>2318</v>
      </c>
      <c r="AP550" s="73"/>
      <c r="AQ550" s="75"/>
      <c r="AR550" s="76"/>
      <c r="AS550" s="77"/>
      <c r="AV550" s="75"/>
      <c r="AW550" s="83"/>
      <c r="AX550" s="84"/>
      <c r="AY550" s="80"/>
      <c r="BB550" s="81"/>
    </row>
    <row r="551" spans="1:59" ht="15" customHeight="1">
      <c r="A551" s="23" t="s">
        <v>2231</v>
      </c>
      <c r="B551" s="23" t="s">
        <v>2247</v>
      </c>
      <c r="C551" s="23" t="s">
        <v>2361</v>
      </c>
      <c r="D551" s="24">
        <v>268</v>
      </c>
      <c r="E551" s="23">
        <v>2</v>
      </c>
      <c r="G551" s="23" t="s">
        <v>678</v>
      </c>
      <c r="J551" s="23" t="s">
        <v>312</v>
      </c>
      <c r="K551" s="23" t="s">
        <v>200</v>
      </c>
      <c r="L551" s="23">
        <v>2</v>
      </c>
      <c r="O551" s="63">
        <v>2</v>
      </c>
      <c r="AB551" s="23" t="s">
        <v>1094</v>
      </c>
      <c r="AD551" s="23" t="s">
        <v>2190</v>
      </c>
      <c r="AF551" s="23" t="s">
        <v>2319</v>
      </c>
      <c r="AP551" s="73"/>
      <c r="AQ551" s="75"/>
      <c r="AR551" s="76"/>
      <c r="AS551" s="77"/>
      <c r="AV551" s="75"/>
      <c r="AW551" s="83"/>
      <c r="AX551" s="84"/>
      <c r="AY551" s="80"/>
      <c r="BB551" s="81"/>
    </row>
    <row r="552" spans="1:59" ht="15" customHeight="1">
      <c r="A552" s="23" t="s">
        <v>2231</v>
      </c>
      <c r="B552" s="23" t="s">
        <v>2248</v>
      </c>
      <c r="C552" s="23" t="s">
        <v>2361</v>
      </c>
      <c r="D552" s="24">
        <v>269</v>
      </c>
      <c r="E552" s="23">
        <v>2</v>
      </c>
      <c r="G552" s="23" t="s">
        <v>2249</v>
      </c>
      <c r="H552" s="23" t="s">
        <v>2320</v>
      </c>
      <c r="I552" s="23" t="s">
        <v>223</v>
      </c>
      <c r="J552" s="23" t="s">
        <v>257</v>
      </c>
      <c r="K552" s="23" t="s">
        <v>200</v>
      </c>
      <c r="L552" s="23">
        <v>3</v>
      </c>
      <c r="N552" s="62">
        <v>3</v>
      </c>
      <c r="S552" s="113">
        <v>1</v>
      </c>
      <c r="AB552" s="23" t="s">
        <v>208</v>
      </c>
      <c r="AC552" s="23" t="s">
        <v>275</v>
      </c>
      <c r="AD552" s="23" t="s">
        <v>276</v>
      </c>
      <c r="AF552" s="23" t="s">
        <v>2321</v>
      </c>
      <c r="AP552" s="73"/>
      <c r="AQ552" s="75"/>
      <c r="AR552" s="76"/>
      <c r="AS552" s="77"/>
      <c r="AV552" s="75"/>
      <c r="AW552" s="83"/>
      <c r="AX552" s="84"/>
      <c r="AY552" s="80"/>
      <c r="BB552" s="81"/>
    </row>
    <row r="553" spans="1:59" ht="15" customHeight="1">
      <c r="A553" s="23" t="s">
        <v>2231</v>
      </c>
      <c r="B553" s="23" t="s">
        <v>2250</v>
      </c>
      <c r="C553" s="23" t="s">
        <v>2361</v>
      </c>
      <c r="D553" s="24">
        <v>270</v>
      </c>
      <c r="E553" s="23">
        <v>2</v>
      </c>
      <c r="G553" s="23" t="s">
        <v>2251</v>
      </c>
      <c r="J553" s="23" t="s">
        <v>27</v>
      </c>
      <c r="K553" s="23" t="s">
        <v>202</v>
      </c>
      <c r="L553" s="23">
        <v>0</v>
      </c>
      <c r="N553" s="62">
        <v>1</v>
      </c>
      <c r="O553" s="63">
        <v>1</v>
      </c>
      <c r="P553" s="64">
        <v>1</v>
      </c>
      <c r="AB553" s="23" t="s">
        <v>2322</v>
      </c>
      <c r="AD553" s="23" t="s">
        <v>372</v>
      </c>
      <c r="AF553" s="23" t="s">
        <v>2323</v>
      </c>
      <c r="AP553" s="73"/>
      <c r="AQ553" s="75"/>
      <c r="AR553" s="76"/>
      <c r="AS553" s="77"/>
      <c r="AV553" s="75"/>
      <c r="AW553" s="83"/>
      <c r="AX553" s="84"/>
      <c r="AY553" s="80"/>
      <c r="BB553" s="81"/>
    </row>
    <row r="554" spans="1:59" ht="15" customHeight="1">
      <c r="A554" s="23" t="s">
        <v>2231</v>
      </c>
      <c r="B554" s="23" t="s">
        <v>2252</v>
      </c>
      <c r="C554" s="23" t="s">
        <v>2361</v>
      </c>
      <c r="D554" s="24">
        <v>271</v>
      </c>
      <c r="E554" s="23">
        <v>2</v>
      </c>
      <c r="G554" s="23" t="s">
        <v>2253</v>
      </c>
      <c r="J554" s="23" t="s">
        <v>312</v>
      </c>
      <c r="K554" s="23" t="s">
        <v>202</v>
      </c>
      <c r="L554" s="23">
        <v>2</v>
      </c>
      <c r="S554" s="113">
        <v>1</v>
      </c>
      <c r="AB554" s="23" t="s">
        <v>208</v>
      </c>
      <c r="AD554" s="23" t="s">
        <v>2324</v>
      </c>
      <c r="AF554" s="23" t="s">
        <v>2367</v>
      </c>
      <c r="AP554" s="73"/>
      <c r="AQ554" s="75"/>
      <c r="AR554" s="76"/>
      <c r="AS554" s="77"/>
      <c r="AV554" s="75"/>
      <c r="AW554" s="83"/>
      <c r="AX554" s="84"/>
      <c r="AY554" s="80"/>
      <c r="BB554" s="81"/>
    </row>
    <row r="555" spans="1:59" ht="15" customHeight="1">
      <c r="A555" s="23" t="s">
        <v>2231</v>
      </c>
      <c r="B555" s="23" t="s">
        <v>2254</v>
      </c>
      <c r="C555" s="23" t="s">
        <v>2361</v>
      </c>
      <c r="D555" s="24">
        <v>272</v>
      </c>
      <c r="E555" s="23">
        <v>2</v>
      </c>
      <c r="G555" s="23" t="s">
        <v>2255</v>
      </c>
      <c r="J555" s="23" t="s">
        <v>257</v>
      </c>
      <c r="K555" s="23" t="s">
        <v>26</v>
      </c>
      <c r="L555" s="23">
        <v>0</v>
      </c>
      <c r="N555" s="62">
        <v>1</v>
      </c>
      <c r="R555" s="66">
        <v>1</v>
      </c>
      <c r="T555" s="68">
        <v>1</v>
      </c>
      <c r="U555" s="63">
        <v>1</v>
      </c>
      <c r="AB555" s="23" t="s">
        <v>207</v>
      </c>
      <c r="AC555" s="23" t="s">
        <v>393</v>
      </c>
      <c r="AD555" s="23" t="s">
        <v>2325</v>
      </c>
      <c r="AF555" s="23" t="s">
        <v>2326</v>
      </c>
      <c r="AP555" s="73"/>
      <c r="AQ555" s="75"/>
      <c r="AR555" s="76"/>
      <c r="AS555" s="77"/>
      <c r="AV555" s="75"/>
      <c r="AW555" s="83"/>
      <c r="AX555" s="84"/>
      <c r="AY555" s="80"/>
      <c r="BB555" s="81"/>
    </row>
    <row r="556" spans="1:59" ht="15" customHeight="1">
      <c r="A556" s="23" t="s">
        <v>2231</v>
      </c>
      <c r="B556" s="23" t="s">
        <v>2256</v>
      </c>
      <c r="C556" s="23" t="s">
        <v>2361</v>
      </c>
      <c r="D556" s="24">
        <v>273</v>
      </c>
      <c r="E556" s="23">
        <v>2</v>
      </c>
      <c r="G556" s="23" t="s">
        <v>2257</v>
      </c>
      <c r="J556" s="23" t="s">
        <v>27</v>
      </c>
      <c r="K556" s="23" t="s">
        <v>26</v>
      </c>
      <c r="L556" s="23">
        <v>3</v>
      </c>
      <c r="N556" s="62">
        <v>3</v>
      </c>
      <c r="O556" s="63">
        <v>2</v>
      </c>
      <c r="AB556" s="23" t="s">
        <v>1094</v>
      </c>
      <c r="AD556" s="23" t="s">
        <v>1805</v>
      </c>
      <c r="AF556" s="23" t="s">
        <v>2368</v>
      </c>
      <c r="AP556" s="73"/>
      <c r="AQ556" s="75"/>
      <c r="AR556" s="76"/>
      <c r="AS556" s="77"/>
      <c r="AV556" s="75"/>
      <c r="AW556" s="83"/>
      <c r="AX556" s="84"/>
      <c r="AY556" s="80"/>
      <c r="BB556" s="81"/>
    </row>
    <row r="557" spans="1:59" ht="15" customHeight="1">
      <c r="A557" s="23" t="s">
        <v>2231</v>
      </c>
      <c r="B557" s="23" t="s">
        <v>2258</v>
      </c>
      <c r="C557" s="23" t="s">
        <v>2361</v>
      </c>
      <c r="D557" s="24">
        <v>274</v>
      </c>
      <c r="E557" s="23">
        <v>1</v>
      </c>
      <c r="F557" s="23" t="s">
        <v>2232</v>
      </c>
      <c r="G557" s="23" t="s">
        <v>2232</v>
      </c>
      <c r="H557" s="33" t="s">
        <v>709</v>
      </c>
      <c r="J557" s="23" t="s">
        <v>618</v>
      </c>
      <c r="AF557" s="23" t="s">
        <v>2377</v>
      </c>
      <c r="AI557" s="23" t="s">
        <v>2232</v>
      </c>
      <c r="AJ557" s="23" t="s">
        <v>710</v>
      </c>
      <c r="AL557" s="23" t="s">
        <v>618</v>
      </c>
      <c r="AP557" s="73"/>
      <c r="AQ557" s="75"/>
      <c r="AR557" s="76"/>
      <c r="AS557" s="77"/>
      <c r="AV557" s="75"/>
      <c r="AW557" s="83"/>
      <c r="AX557" s="84"/>
      <c r="AY557" s="80"/>
      <c r="BB557" s="81"/>
      <c r="BG557" s="23" t="s">
        <v>2376</v>
      </c>
    </row>
    <row r="558" spans="1:59" ht="15" customHeight="1">
      <c r="A558" s="23" t="s">
        <v>2231</v>
      </c>
      <c r="B558" s="23" t="s">
        <v>2259</v>
      </c>
      <c r="C558" s="23" t="s">
        <v>2361</v>
      </c>
      <c r="D558" s="24">
        <v>275</v>
      </c>
      <c r="E558" s="23">
        <v>1</v>
      </c>
      <c r="F558" s="23" t="s">
        <v>2232</v>
      </c>
      <c r="G558" s="23" t="s">
        <v>2260</v>
      </c>
      <c r="J558" s="23" t="s">
        <v>619</v>
      </c>
      <c r="Z558" s="68">
        <v>12</v>
      </c>
      <c r="AI558" s="23" t="s">
        <v>2327</v>
      </c>
      <c r="AL558" s="23" t="s">
        <v>619</v>
      </c>
      <c r="AP558" s="73"/>
      <c r="AQ558" s="75"/>
      <c r="AR558" s="76"/>
      <c r="AS558" s="77"/>
      <c r="AV558" s="75"/>
      <c r="AW558" s="83"/>
      <c r="AX558" s="84"/>
      <c r="AY558" s="80"/>
      <c r="BB558" s="81"/>
      <c r="BG558" s="23" t="s">
        <v>2328</v>
      </c>
    </row>
    <row r="559" spans="1:59" ht="15" customHeight="1">
      <c r="A559" s="23" t="s">
        <v>2231</v>
      </c>
      <c r="B559" s="23" t="s">
        <v>2261</v>
      </c>
      <c r="C559" s="23" t="s">
        <v>2361</v>
      </c>
      <c r="D559" s="24">
        <v>276</v>
      </c>
      <c r="E559" s="23">
        <v>1</v>
      </c>
      <c r="F559" s="23" t="s">
        <v>2232</v>
      </c>
      <c r="G559" s="23" t="s">
        <v>2262</v>
      </c>
      <c r="J559" s="23" t="s">
        <v>619</v>
      </c>
      <c r="Z559" s="68">
        <v>10</v>
      </c>
      <c r="AI559" s="23" t="s">
        <v>2329</v>
      </c>
      <c r="AL559" s="23" t="s">
        <v>619</v>
      </c>
      <c r="AP559" s="73"/>
      <c r="AQ559" s="75"/>
      <c r="AR559" s="76"/>
      <c r="AS559" s="77"/>
      <c r="AV559" s="75"/>
      <c r="AW559" s="83"/>
      <c r="AX559" s="84"/>
      <c r="AY559" s="80"/>
      <c r="BB559" s="81"/>
      <c r="BG559" s="23" t="s">
        <v>2212</v>
      </c>
    </row>
    <row r="560" spans="1:59" ht="15" customHeight="1">
      <c r="A560" s="23" t="s">
        <v>2231</v>
      </c>
      <c r="B560" s="23" t="s">
        <v>2263</v>
      </c>
      <c r="C560" s="23" t="s">
        <v>2361</v>
      </c>
      <c r="D560" s="24">
        <v>277</v>
      </c>
      <c r="E560" s="23">
        <v>1</v>
      </c>
      <c r="F560" s="23" t="s">
        <v>2232</v>
      </c>
      <c r="G560" s="23" t="s">
        <v>2264</v>
      </c>
      <c r="J560" s="23" t="s">
        <v>621</v>
      </c>
      <c r="Y560" s="66" t="s">
        <v>1697</v>
      </c>
      <c r="AF560" s="23" t="s">
        <v>2330</v>
      </c>
      <c r="AI560" s="23" t="s">
        <v>2331</v>
      </c>
      <c r="AL560" s="23" t="s">
        <v>621</v>
      </c>
      <c r="AP560" s="73"/>
      <c r="AQ560" s="75"/>
      <c r="AR560" s="76"/>
      <c r="AS560" s="77"/>
      <c r="AV560" s="75"/>
      <c r="AW560" s="83"/>
      <c r="AX560" s="84"/>
      <c r="AY560" s="80"/>
      <c r="BB560" s="81"/>
      <c r="BG560" s="23" t="s">
        <v>2369</v>
      </c>
    </row>
    <row r="561" spans="1:59" ht="15" customHeight="1">
      <c r="A561" s="23" t="s">
        <v>2231</v>
      </c>
      <c r="B561" s="23" t="s">
        <v>2265</v>
      </c>
      <c r="C561" s="23" t="s">
        <v>2361</v>
      </c>
      <c r="D561" s="24">
        <v>278</v>
      </c>
      <c r="E561" s="23">
        <v>1</v>
      </c>
      <c r="F561" s="23" t="s">
        <v>2232</v>
      </c>
      <c r="G561" s="23" t="s">
        <v>2266</v>
      </c>
      <c r="J561" s="23" t="s">
        <v>621</v>
      </c>
      <c r="Y561" s="66" t="s">
        <v>38</v>
      </c>
      <c r="AF561" s="23" t="s">
        <v>2370</v>
      </c>
      <c r="AI561" s="23" t="s">
        <v>2332</v>
      </c>
      <c r="AL561" s="23" t="s">
        <v>621</v>
      </c>
      <c r="AP561" s="73"/>
      <c r="AQ561" s="75"/>
      <c r="AR561" s="76"/>
      <c r="AS561" s="77"/>
      <c r="AV561" s="75"/>
      <c r="AW561" s="83"/>
      <c r="AX561" s="84"/>
      <c r="AY561" s="80"/>
      <c r="BB561" s="81"/>
      <c r="BG561" s="23" t="s">
        <v>2333</v>
      </c>
    </row>
    <row r="562" spans="1:59" ht="15" customHeight="1">
      <c r="A562" s="23" t="s">
        <v>2231</v>
      </c>
      <c r="B562" s="23" t="s">
        <v>2267</v>
      </c>
      <c r="C562" s="23" t="s">
        <v>2361</v>
      </c>
      <c r="D562" s="24">
        <v>279</v>
      </c>
      <c r="E562" s="23">
        <v>1</v>
      </c>
      <c r="F562" s="23" t="s">
        <v>2232</v>
      </c>
      <c r="G562" s="23" t="s">
        <v>2268</v>
      </c>
      <c r="J562" s="23" t="s">
        <v>621</v>
      </c>
      <c r="Y562" s="66" t="s">
        <v>38</v>
      </c>
      <c r="AF562" s="23" t="s">
        <v>2370</v>
      </c>
      <c r="AI562" s="23" t="s">
        <v>2334</v>
      </c>
      <c r="AL562" s="23" t="s">
        <v>621</v>
      </c>
      <c r="AP562" s="73"/>
      <c r="AQ562" s="75"/>
      <c r="AR562" s="76"/>
      <c r="AS562" s="77"/>
      <c r="AV562" s="75"/>
      <c r="AW562" s="83"/>
      <c r="AX562" s="84"/>
      <c r="AY562" s="80"/>
      <c r="BB562" s="81"/>
      <c r="BG562" s="23" t="s">
        <v>2335</v>
      </c>
    </row>
    <row r="563" spans="1:59" ht="15" customHeight="1">
      <c r="A563" s="23" t="s">
        <v>2231</v>
      </c>
      <c r="B563" s="23" t="s">
        <v>2269</v>
      </c>
      <c r="C563" s="23" t="s">
        <v>2361</v>
      </c>
      <c r="D563" s="24">
        <v>280</v>
      </c>
      <c r="E563" s="23">
        <v>1</v>
      </c>
      <c r="F563" s="23" t="s">
        <v>2232</v>
      </c>
      <c r="G563" s="23" t="s">
        <v>2270</v>
      </c>
      <c r="J563" s="23" t="s">
        <v>621</v>
      </c>
      <c r="Y563" s="66" t="s">
        <v>38</v>
      </c>
      <c r="AF563" s="23" t="s">
        <v>2370</v>
      </c>
      <c r="AI563" s="23" t="s">
        <v>2336</v>
      </c>
      <c r="AL563" s="23" t="s">
        <v>621</v>
      </c>
      <c r="AP563" s="73"/>
      <c r="AQ563" s="75"/>
      <c r="AR563" s="76"/>
      <c r="AS563" s="77"/>
      <c r="AV563" s="75"/>
      <c r="AW563" s="83"/>
      <c r="AX563" s="84"/>
      <c r="AY563" s="80"/>
      <c r="BB563" s="81"/>
      <c r="BG563" s="23" t="s">
        <v>2337</v>
      </c>
    </row>
    <row r="564" spans="1:59" ht="15" customHeight="1">
      <c r="A564" s="23" t="s">
        <v>2231</v>
      </c>
      <c r="B564" s="23" t="s">
        <v>2271</v>
      </c>
      <c r="C564" s="23" t="s">
        <v>2361</v>
      </c>
      <c r="D564" s="24">
        <v>281</v>
      </c>
      <c r="E564" s="23">
        <v>1</v>
      </c>
      <c r="F564" s="23" t="s">
        <v>2232</v>
      </c>
      <c r="G564" s="23" t="s">
        <v>2272</v>
      </c>
      <c r="J564" s="23" t="s">
        <v>621</v>
      </c>
      <c r="Y564" s="66" t="s">
        <v>1697</v>
      </c>
      <c r="AF564" s="23" t="s">
        <v>2338</v>
      </c>
      <c r="AI564" s="23" t="s">
        <v>2339</v>
      </c>
      <c r="AL564" s="23" t="s">
        <v>621</v>
      </c>
      <c r="AP564" s="73"/>
      <c r="AQ564" s="75"/>
      <c r="AR564" s="76"/>
      <c r="AS564" s="77"/>
      <c r="AV564" s="75"/>
      <c r="AW564" s="83"/>
      <c r="AX564" s="84"/>
      <c r="AY564" s="80"/>
      <c r="BB564" s="81"/>
      <c r="BG564" s="23" t="s">
        <v>1886</v>
      </c>
    </row>
    <row r="565" spans="1:59" ht="15" customHeight="1">
      <c r="A565" s="23" t="s">
        <v>2231</v>
      </c>
      <c r="B565" s="23" t="s">
        <v>2273</v>
      </c>
      <c r="C565" s="23" t="s">
        <v>2361</v>
      </c>
      <c r="D565" s="24">
        <v>282</v>
      </c>
      <c r="E565" s="23">
        <v>1</v>
      </c>
      <c r="F565" s="23" t="s">
        <v>2232</v>
      </c>
      <c r="G565" s="23" t="s">
        <v>2274</v>
      </c>
      <c r="J565" s="23" t="s">
        <v>31</v>
      </c>
      <c r="AD565" s="23" t="s">
        <v>2340</v>
      </c>
      <c r="AI565" s="23" t="s">
        <v>2274</v>
      </c>
      <c r="AL565" s="23" t="s">
        <v>31</v>
      </c>
      <c r="AP565" s="73"/>
      <c r="AQ565" s="75"/>
      <c r="AR565" s="76"/>
      <c r="AS565" s="77"/>
      <c r="AV565" s="75"/>
      <c r="AW565" s="83"/>
      <c r="AX565" s="84"/>
      <c r="AY565" s="80">
        <v>3</v>
      </c>
      <c r="AZ565" s="66">
        <v>0</v>
      </c>
      <c r="BB565" s="81"/>
      <c r="BE565" s="23" t="s">
        <v>2340</v>
      </c>
      <c r="BG565" s="23" t="s">
        <v>2371</v>
      </c>
    </row>
    <row r="566" spans="1:59" ht="15" customHeight="1">
      <c r="A566" s="23" t="s">
        <v>2231</v>
      </c>
      <c r="B566" s="23" t="s">
        <v>2275</v>
      </c>
      <c r="C566" s="23" t="s">
        <v>2361</v>
      </c>
      <c r="D566" s="24">
        <v>283</v>
      </c>
      <c r="E566" s="23">
        <v>1</v>
      </c>
      <c r="F566" s="23" t="s">
        <v>2232</v>
      </c>
      <c r="G566" s="23" t="s">
        <v>2276</v>
      </c>
      <c r="J566" s="23" t="s">
        <v>31</v>
      </c>
      <c r="AD566" s="23" t="s">
        <v>2340</v>
      </c>
      <c r="AF566" s="23" t="s">
        <v>2341</v>
      </c>
      <c r="AI566" s="23" t="s">
        <v>2276</v>
      </c>
      <c r="AL566" s="23" t="s">
        <v>31</v>
      </c>
      <c r="AP566" s="73"/>
      <c r="AQ566" s="75"/>
      <c r="AR566" s="76"/>
      <c r="AS566" s="77"/>
      <c r="AV566" s="75"/>
      <c r="AW566" s="83"/>
      <c r="AX566" s="84"/>
      <c r="AY566" s="80">
        <v>3</v>
      </c>
      <c r="AZ566" s="66">
        <v>0</v>
      </c>
      <c r="BB566" s="81"/>
      <c r="BE566" s="23" t="s">
        <v>2340</v>
      </c>
      <c r="BG566" s="23" t="s">
        <v>2372</v>
      </c>
    </row>
    <row r="567" spans="1:59" ht="15" customHeight="1">
      <c r="A567" s="23" t="s">
        <v>2231</v>
      </c>
      <c r="B567" s="23" t="s">
        <v>2277</v>
      </c>
      <c r="C567" s="23" t="s">
        <v>2361</v>
      </c>
      <c r="D567" s="24">
        <v>284</v>
      </c>
      <c r="E567" s="23">
        <v>1</v>
      </c>
      <c r="F567" s="23" t="s">
        <v>2232</v>
      </c>
      <c r="G567" s="23" t="s">
        <v>2278</v>
      </c>
      <c r="J567" s="23" t="s">
        <v>31</v>
      </c>
      <c r="AD567" s="23" t="s">
        <v>2340</v>
      </c>
      <c r="AF567" s="23" t="s">
        <v>2342</v>
      </c>
      <c r="AI567" s="23" t="s">
        <v>2278</v>
      </c>
      <c r="AL567" s="23" t="s">
        <v>31</v>
      </c>
      <c r="AP567" s="73"/>
      <c r="AQ567" s="75"/>
      <c r="AR567" s="76"/>
      <c r="AS567" s="77"/>
      <c r="AV567" s="75"/>
      <c r="AW567" s="83"/>
      <c r="AX567" s="84"/>
      <c r="AY567" s="80">
        <v>4</v>
      </c>
      <c r="AZ567" s="66" t="s">
        <v>1697</v>
      </c>
      <c r="BB567" s="81">
        <v>2</v>
      </c>
      <c r="BE567" s="23" t="s">
        <v>2340</v>
      </c>
      <c r="BG567" s="23" t="s">
        <v>2343</v>
      </c>
    </row>
    <row r="568" spans="1:59" ht="15" customHeight="1">
      <c r="A568" s="23" t="s">
        <v>2231</v>
      </c>
      <c r="B568" s="23" t="s">
        <v>2279</v>
      </c>
      <c r="C568" s="23" t="s">
        <v>2361</v>
      </c>
      <c r="D568" s="24">
        <v>285</v>
      </c>
      <c r="E568" s="23">
        <v>1</v>
      </c>
      <c r="F568" s="23" t="s">
        <v>2232</v>
      </c>
      <c r="G568" s="23" t="s">
        <v>2307</v>
      </c>
      <c r="J568" s="23" t="s">
        <v>31</v>
      </c>
      <c r="AD568" s="23" t="s">
        <v>2344</v>
      </c>
      <c r="AI568" s="23" t="s">
        <v>2280</v>
      </c>
      <c r="AL568" s="23" t="s">
        <v>31</v>
      </c>
      <c r="AP568" s="73"/>
      <c r="AQ568" s="75"/>
      <c r="AR568" s="76"/>
      <c r="AS568" s="77"/>
      <c r="AV568" s="75"/>
      <c r="AW568" s="83"/>
      <c r="AX568" s="84"/>
      <c r="AY568" s="80">
        <v>2</v>
      </c>
      <c r="AZ568" s="66" t="s">
        <v>1071</v>
      </c>
      <c r="BB568" s="81"/>
      <c r="BE568" s="23" t="s">
        <v>2344</v>
      </c>
      <c r="BG568" s="23" t="s">
        <v>2345</v>
      </c>
    </row>
    <row r="569" spans="1:59" ht="15" customHeight="1">
      <c r="A569" s="23" t="s">
        <v>2231</v>
      </c>
      <c r="B569" s="23" t="s">
        <v>2281</v>
      </c>
      <c r="C569" s="23" t="s">
        <v>2361</v>
      </c>
      <c r="D569" s="24">
        <v>286</v>
      </c>
      <c r="E569" s="23">
        <v>1</v>
      </c>
      <c r="F569" s="23" t="s">
        <v>2232</v>
      </c>
      <c r="G569" s="23" t="s">
        <v>2307</v>
      </c>
      <c r="J569" s="23" t="s">
        <v>31</v>
      </c>
      <c r="AD569" s="23" t="s">
        <v>2344</v>
      </c>
      <c r="AI569" s="23" t="s">
        <v>2282</v>
      </c>
      <c r="AL569" s="23" t="s">
        <v>31</v>
      </c>
      <c r="AP569" s="73"/>
      <c r="AQ569" s="75"/>
      <c r="AR569" s="76"/>
      <c r="AS569" s="77"/>
      <c r="AV569" s="75"/>
      <c r="AW569" s="83"/>
      <c r="AX569" s="84"/>
      <c r="AY569" s="80">
        <v>4</v>
      </c>
      <c r="AZ569" s="66" t="s">
        <v>1071</v>
      </c>
      <c r="BB569" s="81"/>
      <c r="BE569" s="23" t="s">
        <v>2344</v>
      </c>
      <c r="BG569" s="23" t="s">
        <v>2346</v>
      </c>
    </row>
    <row r="570" spans="1:59" ht="15" customHeight="1">
      <c r="A570" s="23" t="s">
        <v>2231</v>
      </c>
      <c r="B570" s="23" t="s">
        <v>2283</v>
      </c>
      <c r="C570" s="23" t="s">
        <v>2361</v>
      </c>
      <c r="D570" s="24">
        <v>287</v>
      </c>
      <c r="E570" s="23">
        <v>1</v>
      </c>
      <c r="F570" s="23" t="s">
        <v>2232</v>
      </c>
      <c r="G570" s="23" t="s">
        <v>2307</v>
      </c>
      <c r="J570" s="23" t="s">
        <v>31</v>
      </c>
      <c r="AD570" s="23" t="s">
        <v>2344</v>
      </c>
      <c r="AI570" s="23" t="s">
        <v>2284</v>
      </c>
      <c r="AL570" s="23" t="s">
        <v>31</v>
      </c>
      <c r="AP570" s="73"/>
      <c r="AQ570" s="75"/>
      <c r="AR570" s="76"/>
      <c r="AS570" s="77"/>
      <c r="AV570" s="75"/>
      <c r="AW570" s="83"/>
      <c r="AX570" s="84"/>
      <c r="AY570" s="80">
        <v>3</v>
      </c>
      <c r="AZ570" s="66">
        <v>0</v>
      </c>
      <c r="BB570" s="81"/>
      <c r="BE570" s="23" t="s">
        <v>2344</v>
      </c>
      <c r="BG570" s="23" t="s">
        <v>2373</v>
      </c>
    </row>
    <row r="571" spans="1:59" ht="15" customHeight="1">
      <c r="A571" s="23" t="s">
        <v>2231</v>
      </c>
      <c r="B571" s="23" t="s">
        <v>2285</v>
      </c>
      <c r="C571" s="23" t="s">
        <v>2361</v>
      </c>
      <c r="D571" s="24">
        <v>288</v>
      </c>
      <c r="E571" s="23">
        <v>1</v>
      </c>
      <c r="F571" s="23" t="s">
        <v>2232</v>
      </c>
      <c r="G571" s="23" t="s">
        <v>2307</v>
      </c>
      <c r="J571" s="23" t="s">
        <v>31</v>
      </c>
      <c r="AD571" s="23" t="s">
        <v>2344</v>
      </c>
      <c r="AI571" s="23" t="s">
        <v>2286</v>
      </c>
      <c r="AL571" s="23" t="s">
        <v>31</v>
      </c>
      <c r="AP571" s="73"/>
      <c r="AQ571" s="75"/>
      <c r="AR571" s="76"/>
      <c r="AS571" s="77"/>
      <c r="AV571" s="75"/>
      <c r="AW571" s="83"/>
      <c r="AX571" s="84"/>
      <c r="AY571" s="80">
        <v>3</v>
      </c>
      <c r="AZ571" s="66" t="s">
        <v>1071</v>
      </c>
      <c r="BB571" s="81"/>
      <c r="BE571" s="23" t="s">
        <v>2344</v>
      </c>
      <c r="BG571" s="23" t="s">
        <v>2347</v>
      </c>
    </row>
    <row r="572" spans="1:59" ht="15" customHeight="1">
      <c r="A572" s="23" t="s">
        <v>2231</v>
      </c>
      <c r="B572" s="23" t="s">
        <v>2287</v>
      </c>
      <c r="C572" s="23" t="s">
        <v>2361</v>
      </c>
      <c r="D572" s="24">
        <v>289</v>
      </c>
      <c r="E572" s="23">
        <v>1</v>
      </c>
      <c r="F572" s="23" t="s">
        <v>2232</v>
      </c>
      <c r="G572" s="23" t="s">
        <v>2308</v>
      </c>
      <c r="J572" s="23" t="s">
        <v>31</v>
      </c>
      <c r="AD572" s="23" t="s">
        <v>2348</v>
      </c>
      <c r="AI572" s="23" t="s">
        <v>2288</v>
      </c>
      <c r="AL572" s="23" t="s">
        <v>31</v>
      </c>
      <c r="AP572" s="73"/>
      <c r="AQ572" s="75"/>
      <c r="AR572" s="76"/>
      <c r="AS572" s="77"/>
      <c r="AV572" s="75"/>
      <c r="AW572" s="83"/>
      <c r="AX572" s="84"/>
      <c r="AY572" s="80">
        <v>3</v>
      </c>
      <c r="AZ572" s="66" t="s">
        <v>1071</v>
      </c>
      <c r="BB572" s="81"/>
      <c r="BE572" s="23" t="s">
        <v>2348</v>
      </c>
      <c r="BG572" s="23" t="s">
        <v>2349</v>
      </c>
    </row>
    <row r="573" spans="1:59" ht="15" customHeight="1">
      <c r="A573" s="23" t="s">
        <v>2231</v>
      </c>
      <c r="B573" s="23" t="s">
        <v>2289</v>
      </c>
      <c r="C573" s="23" t="s">
        <v>2361</v>
      </c>
      <c r="D573" s="24">
        <v>290</v>
      </c>
      <c r="E573" s="23">
        <v>1</v>
      </c>
      <c r="F573" s="23" t="s">
        <v>2232</v>
      </c>
      <c r="G573" s="23" t="s">
        <v>2308</v>
      </c>
      <c r="J573" s="23" t="s">
        <v>31</v>
      </c>
      <c r="AD573" s="23" t="s">
        <v>2348</v>
      </c>
      <c r="AI573" s="23" t="s">
        <v>2290</v>
      </c>
      <c r="AL573" s="23" t="s">
        <v>31</v>
      </c>
      <c r="AP573" s="73"/>
      <c r="AQ573" s="75"/>
      <c r="AR573" s="76"/>
      <c r="AS573" s="77"/>
      <c r="AV573" s="75"/>
      <c r="AW573" s="83"/>
      <c r="AX573" s="84"/>
      <c r="AY573" s="80">
        <v>3</v>
      </c>
      <c r="AZ573" s="66" t="s">
        <v>1071</v>
      </c>
      <c r="BB573" s="81"/>
      <c r="BE573" s="23" t="s">
        <v>2348</v>
      </c>
      <c r="BG573" s="23" t="s">
        <v>2350</v>
      </c>
    </row>
    <row r="574" spans="1:59" ht="15" customHeight="1">
      <c r="A574" s="23" t="s">
        <v>2231</v>
      </c>
      <c r="B574" s="23" t="s">
        <v>2291</v>
      </c>
      <c r="C574" s="23" t="s">
        <v>2361</v>
      </c>
      <c r="D574" s="24">
        <v>291</v>
      </c>
      <c r="E574" s="23">
        <v>1</v>
      </c>
      <c r="F574" s="23" t="s">
        <v>2232</v>
      </c>
      <c r="G574" s="23" t="s">
        <v>2308</v>
      </c>
      <c r="J574" s="23" t="s">
        <v>31</v>
      </c>
      <c r="AD574" s="23" t="s">
        <v>2348</v>
      </c>
      <c r="AI574" s="23" t="s">
        <v>2292</v>
      </c>
      <c r="AL574" s="23" t="s">
        <v>31</v>
      </c>
      <c r="AP574" s="73"/>
      <c r="AQ574" s="75"/>
      <c r="AR574" s="76"/>
      <c r="AS574" s="77"/>
      <c r="AV574" s="75"/>
      <c r="AW574" s="83"/>
      <c r="AX574" s="84"/>
      <c r="AY574" s="80">
        <v>2</v>
      </c>
      <c r="AZ574" s="66" t="s">
        <v>1071</v>
      </c>
      <c r="BB574" s="81"/>
      <c r="BE574" s="23" t="s">
        <v>2348</v>
      </c>
      <c r="BG574" s="23" t="s">
        <v>2351</v>
      </c>
    </row>
    <row r="575" spans="1:59" ht="15" customHeight="1">
      <c r="A575" s="23" t="s">
        <v>2231</v>
      </c>
      <c r="B575" s="23" t="s">
        <v>2293</v>
      </c>
      <c r="C575" s="23" t="s">
        <v>2361</v>
      </c>
      <c r="D575" s="24">
        <v>292</v>
      </c>
      <c r="E575" s="23">
        <v>1</v>
      </c>
      <c r="F575" s="23" t="s">
        <v>2232</v>
      </c>
      <c r="G575" s="23" t="s">
        <v>2308</v>
      </c>
      <c r="J575" s="23" t="s">
        <v>31</v>
      </c>
      <c r="AD575" s="23" t="s">
        <v>2348</v>
      </c>
      <c r="AI575" s="23" t="s">
        <v>2294</v>
      </c>
      <c r="AL575" s="23" t="s">
        <v>31</v>
      </c>
      <c r="AP575" s="73"/>
      <c r="AQ575" s="75"/>
      <c r="AR575" s="76"/>
      <c r="AS575" s="77"/>
      <c r="AV575" s="75"/>
      <c r="AW575" s="83"/>
      <c r="AX575" s="84"/>
      <c r="AY575" s="80">
        <v>2</v>
      </c>
      <c r="AZ575" s="66" t="s">
        <v>1071</v>
      </c>
      <c r="BB575" s="81"/>
      <c r="BE575" s="23" t="s">
        <v>2348</v>
      </c>
      <c r="BG575" s="23" t="s">
        <v>2352</v>
      </c>
    </row>
    <row r="576" spans="1:59" ht="15" customHeight="1">
      <c r="A576" s="23" t="s">
        <v>2231</v>
      </c>
      <c r="B576" s="23" t="s">
        <v>2295</v>
      </c>
      <c r="C576" s="23" t="s">
        <v>2361</v>
      </c>
      <c r="D576" s="24">
        <v>293</v>
      </c>
      <c r="E576" s="23">
        <v>1</v>
      </c>
      <c r="F576" s="23" t="s">
        <v>2232</v>
      </c>
      <c r="G576" s="23" t="s">
        <v>2296</v>
      </c>
      <c r="H576" s="23" t="s">
        <v>2353</v>
      </c>
      <c r="I576" s="23" t="s">
        <v>223</v>
      </c>
      <c r="J576" s="23" t="s">
        <v>29</v>
      </c>
      <c r="Q576" s="65">
        <v>5</v>
      </c>
      <c r="R576" s="66">
        <v>5</v>
      </c>
      <c r="T576" s="68" t="s">
        <v>1112</v>
      </c>
      <c r="V576" s="69">
        <v>1</v>
      </c>
      <c r="W576" s="70">
        <v>1</v>
      </c>
      <c r="AA576" s="72">
        <v>1</v>
      </c>
      <c r="AD576" s="23" t="s">
        <v>1165</v>
      </c>
      <c r="AF576" s="23" t="s">
        <v>2354</v>
      </c>
      <c r="AP576" s="73"/>
      <c r="AQ576" s="75"/>
      <c r="AR576" s="76"/>
      <c r="AS576" s="77"/>
      <c r="AV576" s="75"/>
      <c r="AW576" s="83"/>
      <c r="AX576" s="84"/>
      <c r="AY576" s="80"/>
      <c r="BB576" s="81"/>
    </row>
    <row r="577" spans="1:54" ht="15" customHeight="1">
      <c r="A577" s="23" t="s">
        <v>2231</v>
      </c>
      <c r="B577" s="23" t="s">
        <v>2297</v>
      </c>
      <c r="C577" s="23" t="s">
        <v>2361</v>
      </c>
      <c r="D577" s="24">
        <v>294</v>
      </c>
      <c r="E577" s="23">
        <v>2</v>
      </c>
      <c r="F577" s="23" t="s">
        <v>2232</v>
      </c>
      <c r="G577" s="23" t="s">
        <v>2298</v>
      </c>
      <c r="J577" s="23" t="s">
        <v>29</v>
      </c>
      <c r="Q577" s="65">
        <v>3</v>
      </c>
      <c r="R577" s="66">
        <v>3</v>
      </c>
      <c r="T577" s="68">
        <v>3</v>
      </c>
      <c r="V577" s="69">
        <v>1</v>
      </c>
      <c r="W577" s="70">
        <v>1</v>
      </c>
      <c r="AD577" s="23" t="s">
        <v>1630</v>
      </c>
      <c r="AF577" s="23" t="s">
        <v>2374</v>
      </c>
      <c r="AP577" s="73"/>
      <c r="AQ577" s="75"/>
      <c r="AR577" s="76"/>
      <c r="AS577" s="77"/>
      <c r="AV577" s="75"/>
      <c r="AW577" s="83"/>
      <c r="AX577" s="84"/>
      <c r="AY577" s="80"/>
      <c r="BB577" s="81"/>
    </row>
    <row r="578" spans="1:54" ht="15" customHeight="1">
      <c r="A578" s="23" t="s">
        <v>2231</v>
      </c>
      <c r="B578" s="23" t="s">
        <v>2299</v>
      </c>
      <c r="C578" s="23" t="s">
        <v>2361</v>
      </c>
      <c r="D578" s="24">
        <v>295</v>
      </c>
      <c r="E578" s="23">
        <v>1</v>
      </c>
      <c r="F578" s="23" t="s">
        <v>2232</v>
      </c>
      <c r="G578" s="23" t="s">
        <v>2300</v>
      </c>
      <c r="J578" s="23" t="s">
        <v>29</v>
      </c>
      <c r="Q578" s="65">
        <v>3</v>
      </c>
      <c r="R578" s="66">
        <v>4</v>
      </c>
      <c r="T578" s="68">
        <v>6</v>
      </c>
      <c r="V578" s="69">
        <v>2</v>
      </c>
      <c r="W578" s="70">
        <v>2</v>
      </c>
      <c r="AA578" s="72">
        <v>1</v>
      </c>
      <c r="AD578" s="23" t="s">
        <v>2355</v>
      </c>
      <c r="AF578" s="23" t="s">
        <v>2375</v>
      </c>
      <c r="AP578" s="73"/>
      <c r="AQ578" s="75"/>
      <c r="AR578" s="76"/>
      <c r="AS578" s="77"/>
      <c r="AV578" s="75"/>
      <c r="AW578" s="83"/>
      <c r="AX578" s="84"/>
      <c r="AY578" s="80"/>
      <c r="BB578" s="81"/>
    </row>
    <row r="579" spans="1:54" ht="15" customHeight="1">
      <c r="A579" s="23" t="s">
        <v>2231</v>
      </c>
      <c r="B579" s="23" t="s">
        <v>2301</v>
      </c>
      <c r="C579" s="23" t="s">
        <v>2361</v>
      </c>
      <c r="D579" s="24">
        <v>296</v>
      </c>
      <c r="E579" s="23">
        <v>3</v>
      </c>
      <c r="F579" s="23" t="s">
        <v>2232</v>
      </c>
      <c r="G579" s="23" t="s">
        <v>2302</v>
      </c>
      <c r="J579" s="23" t="s">
        <v>28</v>
      </c>
      <c r="AD579" s="23" t="s">
        <v>486</v>
      </c>
      <c r="AF579" s="23" t="s">
        <v>2356</v>
      </c>
      <c r="AP579" s="73"/>
      <c r="AQ579" s="75"/>
      <c r="AR579" s="76"/>
      <c r="AS579" s="77"/>
      <c r="AV579" s="75"/>
      <c r="AW579" s="83"/>
      <c r="AX579" s="84"/>
      <c r="AY579" s="80"/>
      <c r="BB579" s="81"/>
    </row>
    <row r="580" spans="1:54" ht="15" customHeight="1">
      <c r="A580" s="23" t="s">
        <v>2231</v>
      </c>
      <c r="B580" s="23" t="s">
        <v>2303</v>
      </c>
      <c r="C580" s="23" t="s">
        <v>2361</v>
      </c>
      <c r="D580" s="24">
        <v>297</v>
      </c>
      <c r="E580" s="23">
        <v>3</v>
      </c>
      <c r="F580" s="23" t="s">
        <v>2232</v>
      </c>
      <c r="G580" s="23" t="s">
        <v>2304</v>
      </c>
      <c r="J580" s="23" t="s">
        <v>28</v>
      </c>
      <c r="AD580" s="23" t="s">
        <v>2357</v>
      </c>
      <c r="AF580" s="23" t="s">
        <v>2358</v>
      </c>
      <c r="AP580" s="73"/>
      <c r="AQ580" s="75"/>
      <c r="AR580" s="76"/>
      <c r="AS580" s="77"/>
      <c r="AV580" s="75"/>
      <c r="AW580" s="83"/>
      <c r="AX580" s="84"/>
      <c r="AY580" s="80"/>
      <c r="BB580" s="81"/>
    </row>
    <row r="581" spans="1:54" ht="15" customHeight="1">
      <c r="A581" s="23" t="s">
        <v>2231</v>
      </c>
      <c r="B581" s="23" t="s">
        <v>2305</v>
      </c>
      <c r="C581" s="23" t="s">
        <v>2361</v>
      </c>
      <c r="D581" s="24">
        <v>298</v>
      </c>
      <c r="E581" s="23">
        <v>3</v>
      </c>
      <c r="F581" s="23" t="s">
        <v>2232</v>
      </c>
      <c r="G581" s="23" t="s">
        <v>2306</v>
      </c>
      <c r="J581" s="23" t="s">
        <v>28</v>
      </c>
      <c r="AD581" s="23" t="s">
        <v>2357</v>
      </c>
      <c r="AF581" s="23" t="s">
        <v>2359</v>
      </c>
      <c r="AP581" s="73"/>
      <c r="AQ581" s="75"/>
      <c r="AR581" s="76"/>
      <c r="AS581" s="77"/>
      <c r="AV581" s="75"/>
      <c r="AW581" s="83"/>
      <c r="AX581" s="84"/>
      <c r="AY581" s="80"/>
      <c r="BB581" s="81"/>
    </row>
    <row r="582" spans="1:54" ht="15" customHeight="1">
      <c r="A582" s="23" t="s">
        <v>2384</v>
      </c>
      <c r="B582" s="23" t="s">
        <v>2385</v>
      </c>
      <c r="C582" s="23" t="s">
        <v>2087</v>
      </c>
      <c r="D582" s="24">
        <v>299</v>
      </c>
      <c r="E582" s="23">
        <v>2</v>
      </c>
      <c r="G582" s="23" t="s">
        <v>311</v>
      </c>
      <c r="J582" s="23" t="s">
        <v>312</v>
      </c>
      <c r="K582" s="23" t="s">
        <v>198</v>
      </c>
      <c r="L582" s="23">
        <v>2</v>
      </c>
      <c r="Q582" s="65">
        <v>2</v>
      </c>
      <c r="AB582" s="23" t="s">
        <v>1088</v>
      </c>
      <c r="AD582" s="23" t="s">
        <v>1814</v>
      </c>
      <c r="AF582" s="23" t="s">
        <v>2386</v>
      </c>
      <c r="AP582" s="73"/>
      <c r="AQ582" s="75"/>
      <c r="AR582" s="76"/>
      <c r="AS582" s="77"/>
      <c r="AV582" s="75"/>
      <c r="AW582" s="83"/>
      <c r="AX582" s="84"/>
      <c r="AY582" s="80"/>
      <c r="BB582" s="81"/>
    </row>
    <row r="583" spans="1:54" ht="15" customHeight="1">
      <c r="A583" s="23" t="s">
        <v>2384</v>
      </c>
      <c r="B583" s="23" t="s">
        <v>2387</v>
      </c>
      <c r="C583" s="23" t="s">
        <v>2087</v>
      </c>
      <c r="D583" s="24">
        <v>300</v>
      </c>
      <c r="E583" s="23">
        <v>2</v>
      </c>
      <c r="G583" s="23" t="s">
        <v>2388</v>
      </c>
      <c r="J583" s="23" t="s">
        <v>27</v>
      </c>
      <c r="K583" s="23" t="s">
        <v>198</v>
      </c>
      <c r="L583" s="23">
        <v>5</v>
      </c>
      <c r="N583" s="62">
        <v>1</v>
      </c>
      <c r="Q583" s="65">
        <v>1</v>
      </c>
      <c r="S583" s="113">
        <v>1</v>
      </c>
      <c r="AB583" s="23" t="s">
        <v>1093</v>
      </c>
      <c r="AD583" s="23" t="s">
        <v>1805</v>
      </c>
      <c r="AF583" s="23" t="s">
        <v>2389</v>
      </c>
      <c r="AP583" s="73"/>
      <c r="AQ583" s="75"/>
      <c r="AR583" s="76"/>
      <c r="AS583" s="77"/>
      <c r="AV583" s="75"/>
      <c r="AW583" s="83"/>
      <c r="AX583" s="84"/>
      <c r="AY583" s="80"/>
      <c r="BB583" s="81"/>
    </row>
    <row r="584" spans="1:54" ht="15" customHeight="1">
      <c r="A584" s="23" t="s">
        <v>2384</v>
      </c>
      <c r="B584" s="23" t="s">
        <v>2390</v>
      </c>
      <c r="C584" s="23" t="s">
        <v>2087</v>
      </c>
      <c r="D584" s="24">
        <v>301</v>
      </c>
      <c r="E584" s="23">
        <v>2</v>
      </c>
      <c r="G584" s="23" t="s">
        <v>2391</v>
      </c>
      <c r="J584" s="23" t="s">
        <v>257</v>
      </c>
      <c r="K584" s="23" t="s">
        <v>198</v>
      </c>
      <c r="L584" s="23">
        <v>5</v>
      </c>
      <c r="N584" s="62">
        <v>6</v>
      </c>
      <c r="P584" s="64">
        <v>1</v>
      </c>
      <c r="Q584" s="65">
        <v>1</v>
      </c>
      <c r="AB584" s="23" t="s">
        <v>1091</v>
      </c>
      <c r="AC584" s="23" t="s">
        <v>322</v>
      </c>
      <c r="AD584" s="23" t="s">
        <v>259</v>
      </c>
      <c r="AF584" s="23" t="s">
        <v>2392</v>
      </c>
      <c r="AP584" s="73"/>
      <c r="AQ584" s="75"/>
      <c r="AR584" s="76"/>
      <c r="AS584" s="77"/>
      <c r="AV584" s="75"/>
      <c r="AW584" s="83"/>
      <c r="AX584" s="84"/>
      <c r="AY584" s="80"/>
      <c r="BB584" s="81"/>
    </row>
    <row r="585" spans="1:54" ht="15" customHeight="1">
      <c r="A585" s="23" t="s">
        <v>2384</v>
      </c>
      <c r="B585" s="23" t="s">
        <v>2393</v>
      </c>
      <c r="C585" s="23" t="s">
        <v>2087</v>
      </c>
      <c r="D585" s="24">
        <v>302</v>
      </c>
      <c r="E585" s="23">
        <v>2</v>
      </c>
      <c r="G585" s="23" t="s">
        <v>2394</v>
      </c>
      <c r="H585" s="23" t="s">
        <v>2395</v>
      </c>
      <c r="I585" s="23" t="s">
        <v>223</v>
      </c>
      <c r="J585" s="23" t="s">
        <v>257</v>
      </c>
      <c r="K585" s="23" t="s">
        <v>199</v>
      </c>
      <c r="L585" s="23">
        <v>0</v>
      </c>
      <c r="N585" s="62">
        <v>1</v>
      </c>
      <c r="O585" s="63">
        <v>1</v>
      </c>
      <c r="T585" s="68">
        <v>2</v>
      </c>
      <c r="U585" s="63">
        <v>2</v>
      </c>
      <c r="AB585" s="23" t="s">
        <v>204</v>
      </c>
      <c r="AC585" s="23" t="s">
        <v>25</v>
      </c>
      <c r="AD585" s="23" t="s">
        <v>330</v>
      </c>
      <c r="AF585" s="23" t="s">
        <v>2396</v>
      </c>
      <c r="AP585" s="73"/>
      <c r="AQ585" s="75"/>
      <c r="AR585" s="76"/>
      <c r="AS585" s="77"/>
      <c r="AV585" s="75"/>
      <c r="AW585" s="83"/>
      <c r="AX585" s="84"/>
      <c r="AY585" s="80"/>
      <c r="BB585" s="81"/>
    </row>
    <row r="586" spans="1:54" ht="15" customHeight="1">
      <c r="A586" s="23" t="s">
        <v>2384</v>
      </c>
      <c r="B586" s="23" t="s">
        <v>2397</v>
      </c>
      <c r="C586" s="23" t="s">
        <v>2087</v>
      </c>
      <c r="D586" s="24">
        <v>303</v>
      </c>
      <c r="E586" s="23">
        <v>2</v>
      </c>
      <c r="G586" s="23" t="s">
        <v>2398</v>
      </c>
      <c r="J586" s="23" t="s">
        <v>27</v>
      </c>
      <c r="K586" s="23" t="s">
        <v>199</v>
      </c>
      <c r="L586" s="23">
        <v>5</v>
      </c>
      <c r="N586" s="62">
        <v>4</v>
      </c>
      <c r="O586" s="63">
        <v>1</v>
      </c>
      <c r="P586" s="64">
        <v>2</v>
      </c>
      <c r="AB586" s="23" t="s">
        <v>2399</v>
      </c>
      <c r="AD586" s="23" t="s">
        <v>340</v>
      </c>
      <c r="AF586" s="23" t="s">
        <v>2400</v>
      </c>
      <c r="AP586" s="73"/>
      <c r="AQ586" s="75"/>
      <c r="AR586" s="76"/>
      <c r="AS586" s="77"/>
      <c r="AV586" s="75"/>
      <c r="AW586" s="83"/>
      <c r="AX586" s="84"/>
      <c r="AY586" s="80"/>
      <c r="BB586" s="81"/>
    </row>
    <row r="587" spans="1:54" ht="15" customHeight="1">
      <c r="A587" s="23" t="s">
        <v>2384</v>
      </c>
      <c r="B587" s="23" t="s">
        <v>2401</v>
      </c>
      <c r="C587" s="23" t="s">
        <v>2087</v>
      </c>
      <c r="D587" s="24">
        <v>304</v>
      </c>
      <c r="E587" s="23">
        <v>2</v>
      </c>
      <c r="G587" s="23" t="s">
        <v>2402</v>
      </c>
      <c r="J587" s="23" t="s">
        <v>257</v>
      </c>
      <c r="K587" s="23" t="s">
        <v>201</v>
      </c>
      <c r="L587" s="23">
        <v>4</v>
      </c>
      <c r="N587" s="62">
        <v>5</v>
      </c>
      <c r="Q587" s="65">
        <v>2</v>
      </c>
      <c r="AB587" s="23" t="s">
        <v>1088</v>
      </c>
      <c r="AC587" s="23" t="s">
        <v>322</v>
      </c>
      <c r="AD587" s="23" t="s">
        <v>923</v>
      </c>
      <c r="AF587" s="23" t="s">
        <v>2403</v>
      </c>
      <c r="AP587" s="73"/>
      <c r="AQ587" s="75"/>
      <c r="AR587" s="76"/>
      <c r="AS587" s="77"/>
      <c r="AV587" s="75"/>
      <c r="AW587" s="83"/>
      <c r="AX587" s="84"/>
      <c r="AY587" s="80"/>
      <c r="BB587" s="81"/>
    </row>
    <row r="588" spans="1:54" ht="15" customHeight="1">
      <c r="A588" s="23" t="s">
        <v>2384</v>
      </c>
      <c r="B588" s="23" t="s">
        <v>2404</v>
      </c>
      <c r="C588" s="23" t="s">
        <v>2087</v>
      </c>
      <c r="D588" s="24">
        <v>305</v>
      </c>
      <c r="E588" s="23">
        <v>2</v>
      </c>
      <c r="G588" s="23" t="s">
        <v>2405</v>
      </c>
      <c r="H588" s="23" t="s">
        <v>2406</v>
      </c>
      <c r="I588" s="23" t="s">
        <v>223</v>
      </c>
      <c r="J588" s="23" t="s">
        <v>257</v>
      </c>
      <c r="K588" s="23" t="s">
        <v>201</v>
      </c>
      <c r="L588" s="23">
        <v>4</v>
      </c>
      <c r="N588" s="62">
        <v>2</v>
      </c>
      <c r="O588" s="63">
        <v>1</v>
      </c>
      <c r="S588" s="113">
        <v>1</v>
      </c>
      <c r="AB588" s="23" t="s">
        <v>1086</v>
      </c>
      <c r="AC588" s="23" t="s">
        <v>275</v>
      </c>
      <c r="AD588" s="23" t="s">
        <v>276</v>
      </c>
      <c r="AF588" s="23" t="s">
        <v>2407</v>
      </c>
      <c r="AP588" s="73"/>
      <c r="AQ588" s="75"/>
      <c r="AR588" s="76"/>
      <c r="AS588" s="77"/>
      <c r="AV588" s="75"/>
      <c r="AW588" s="83"/>
      <c r="AX588" s="84"/>
      <c r="AY588" s="80"/>
      <c r="BB588" s="81"/>
    </row>
    <row r="589" spans="1:54" ht="15" customHeight="1">
      <c r="A589" s="23" t="s">
        <v>2384</v>
      </c>
      <c r="B589" s="23" t="s">
        <v>2408</v>
      </c>
      <c r="C589" s="23" t="s">
        <v>2087</v>
      </c>
      <c r="D589" s="24">
        <v>306</v>
      </c>
      <c r="E589" s="23">
        <v>2</v>
      </c>
      <c r="G589" s="23" t="s">
        <v>377</v>
      </c>
      <c r="J589" s="23" t="s">
        <v>257</v>
      </c>
      <c r="K589" s="23" t="s">
        <v>200</v>
      </c>
      <c r="L589" s="23">
        <v>5</v>
      </c>
      <c r="N589" s="62">
        <v>3</v>
      </c>
      <c r="O589" s="63">
        <v>1</v>
      </c>
      <c r="Q589" s="65">
        <v>2</v>
      </c>
      <c r="AB589" s="23" t="s">
        <v>2409</v>
      </c>
      <c r="AC589" s="23" t="s">
        <v>378</v>
      </c>
      <c r="AD589" s="23" t="s">
        <v>279</v>
      </c>
      <c r="AF589" s="23" t="s">
        <v>2410</v>
      </c>
      <c r="AP589" s="73"/>
      <c r="AQ589" s="75"/>
      <c r="AR589" s="76"/>
      <c r="AS589" s="77"/>
      <c r="AV589" s="75"/>
      <c r="AW589" s="83"/>
      <c r="AX589" s="84"/>
      <c r="AY589" s="80"/>
      <c r="BB589" s="81"/>
    </row>
    <row r="590" spans="1:54" ht="15" customHeight="1">
      <c r="A590" s="23" t="s">
        <v>2384</v>
      </c>
      <c r="B590" s="23" t="s">
        <v>2411</v>
      </c>
      <c r="C590" s="23" t="s">
        <v>2087</v>
      </c>
      <c r="D590" s="24">
        <v>307</v>
      </c>
      <c r="E590" s="23">
        <v>2</v>
      </c>
      <c r="G590" s="23" t="s">
        <v>673</v>
      </c>
      <c r="J590" s="23" t="s">
        <v>27</v>
      </c>
      <c r="K590" s="23" t="s">
        <v>200</v>
      </c>
      <c r="L590" s="23">
        <v>5</v>
      </c>
      <c r="N590" s="62">
        <v>1</v>
      </c>
      <c r="O590" s="63">
        <v>1</v>
      </c>
      <c r="S590" s="113">
        <v>1</v>
      </c>
      <c r="AB590" s="23" t="s">
        <v>1086</v>
      </c>
      <c r="AD590" s="23" t="s">
        <v>674</v>
      </c>
      <c r="AF590" s="23" t="s">
        <v>2412</v>
      </c>
      <c r="AP590" s="73"/>
      <c r="AQ590" s="75"/>
      <c r="AR590" s="76"/>
      <c r="AS590" s="77"/>
      <c r="AV590" s="75"/>
      <c r="AW590" s="83"/>
      <c r="AX590" s="84"/>
      <c r="AY590" s="80"/>
      <c r="BB590" s="81"/>
    </row>
    <row r="591" spans="1:54" ht="15" customHeight="1">
      <c r="A591" s="23" t="s">
        <v>2384</v>
      </c>
      <c r="B591" s="23" t="s">
        <v>2413</v>
      </c>
      <c r="C591" s="23" t="s">
        <v>2087</v>
      </c>
      <c r="D591" s="24">
        <v>308</v>
      </c>
      <c r="E591" s="23">
        <v>2</v>
      </c>
      <c r="G591" s="23" t="s">
        <v>688</v>
      </c>
      <c r="H591" s="23" t="s">
        <v>689</v>
      </c>
      <c r="I591" s="23" t="s">
        <v>223</v>
      </c>
      <c r="J591" s="23" t="s">
        <v>257</v>
      </c>
      <c r="K591" s="23" t="s">
        <v>202</v>
      </c>
      <c r="L591" s="23">
        <v>3</v>
      </c>
      <c r="N591" s="62">
        <v>4</v>
      </c>
      <c r="O591" s="63">
        <v>1</v>
      </c>
      <c r="R591" s="66">
        <v>1</v>
      </c>
      <c r="T591" s="68">
        <v>1</v>
      </c>
      <c r="U591" s="63">
        <v>4</v>
      </c>
      <c r="AB591" s="23" t="s">
        <v>2188</v>
      </c>
      <c r="AC591" s="23" t="s">
        <v>25</v>
      </c>
      <c r="AD591" s="23" t="s">
        <v>458</v>
      </c>
      <c r="AF591" s="23" t="s">
        <v>2414</v>
      </c>
      <c r="AP591" s="73"/>
      <c r="AQ591" s="75"/>
      <c r="AR591" s="76"/>
      <c r="AS591" s="77"/>
      <c r="AV591" s="75"/>
      <c r="AW591" s="83"/>
      <c r="AX591" s="84"/>
      <c r="AY591" s="80"/>
      <c r="BB591" s="81"/>
    </row>
    <row r="592" spans="1:54" ht="15" customHeight="1">
      <c r="A592" s="23" t="s">
        <v>2384</v>
      </c>
      <c r="B592" s="23" t="s">
        <v>2415</v>
      </c>
      <c r="C592" s="23" t="s">
        <v>2087</v>
      </c>
      <c r="D592" s="24">
        <v>309</v>
      </c>
      <c r="E592" s="23">
        <v>2</v>
      </c>
      <c r="G592" s="23" t="s">
        <v>2416</v>
      </c>
      <c r="J592" s="23" t="s">
        <v>257</v>
      </c>
      <c r="K592" s="23" t="s">
        <v>202</v>
      </c>
      <c r="L592" s="23">
        <v>3</v>
      </c>
      <c r="N592" s="62">
        <v>2</v>
      </c>
      <c r="O592" s="63">
        <v>2</v>
      </c>
      <c r="AB592" s="23" t="s">
        <v>1094</v>
      </c>
      <c r="AD592" s="23" t="s">
        <v>289</v>
      </c>
      <c r="AF592" s="23" t="s">
        <v>2417</v>
      </c>
      <c r="AP592" s="73"/>
      <c r="AQ592" s="75"/>
      <c r="AR592" s="76"/>
      <c r="AS592" s="77"/>
      <c r="AV592" s="75"/>
      <c r="AW592" s="83"/>
      <c r="AX592" s="84"/>
      <c r="AY592" s="80"/>
      <c r="BB592" s="81"/>
    </row>
    <row r="593" spans="1:59" ht="15" customHeight="1">
      <c r="A593" s="23" t="s">
        <v>2384</v>
      </c>
      <c r="B593" s="23" t="s">
        <v>2418</v>
      </c>
      <c r="C593" s="23" t="s">
        <v>2087</v>
      </c>
      <c r="D593" s="24">
        <v>310</v>
      </c>
      <c r="E593" s="23">
        <v>2</v>
      </c>
      <c r="G593" s="23" t="s">
        <v>2419</v>
      </c>
      <c r="H593" s="23" t="s">
        <v>2420</v>
      </c>
      <c r="I593" s="23" t="s">
        <v>223</v>
      </c>
      <c r="J593" s="23" t="s">
        <v>257</v>
      </c>
      <c r="K593" s="23" t="s">
        <v>26</v>
      </c>
      <c r="L593" s="23">
        <v>5</v>
      </c>
      <c r="N593" s="62">
        <v>2</v>
      </c>
      <c r="S593" s="113">
        <v>1</v>
      </c>
      <c r="T593" s="68">
        <v>4</v>
      </c>
      <c r="U593" s="63">
        <v>4</v>
      </c>
      <c r="AB593" s="23" t="s">
        <v>208</v>
      </c>
      <c r="AC593" s="23" t="s">
        <v>25</v>
      </c>
      <c r="AD593" s="23" t="s">
        <v>2421</v>
      </c>
      <c r="AF593" s="23" t="s">
        <v>2422</v>
      </c>
      <c r="AP593" s="73"/>
      <c r="AQ593" s="75"/>
      <c r="AR593" s="76"/>
      <c r="AS593" s="77"/>
      <c r="AV593" s="75"/>
      <c r="AW593" s="83"/>
      <c r="AX593" s="84"/>
      <c r="AY593" s="80"/>
      <c r="BB593" s="81"/>
    </row>
    <row r="594" spans="1:59" ht="15" customHeight="1">
      <c r="A594" s="23" t="s">
        <v>2384</v>
      </c>
      <c r="B594" s="23" t="s">
        <v>2423</v>
      </c>
      <c r="C594" s="23" t="s">
        <v>2087</v>
      </c>
      <c r="D594" s="24">
        <v>311</v>
      </c>
      <c r="E594" s="23">
        <v>1</v>
      </c>
      <c r="F594" s="23" t="s">
        <v>2424</v>
      </c>
      <c r="G594" s="23" t="s">
        <v>2424</v>
      </c>
      <c r="J594" s="23" t="s">
        <v>618</v>
      </c>
      <c r="AF594" s="23" t="s">
        <v>2425</v>
      </c>
      <c r="AI594" s="23" t="s">
        <v>2424</v>
      </c>
      <c r="AL594" s="23" t="s">
        <v>618</v>
      </c>
      <c r="AM594" s="23" t="s">
        <v>2426</v>
      </c>
      <c r="AP594" s="73"/>
      <c r="AQ594" s="75"/>
      <c r="AR594" s="76"/>
      <c r="AS594" s="77"/>
      <c r="AV594" s="75"/>
      <c r="AW594" s="83"/>
      <c r="AX594" s="84"/>
      <c r="AY594" s="80"/>
      <c r="BB594" s="81"/>
      <c r="BG594" s="23" t="s">
        <v>2427</v>
      </c>
    </row>
    <row r="595" spans="1:59" ht="15" customHeight="1">
      <c r="A595" s="23" t="s">
        <v>2384</v>
      </c>
      <c r="B595" s="23" t="s">
        <v>2428</v>
      </c>
      <c r="C595" s="23" t="s">
        <v>2087</v>
      </c>
      <c r="D595" s="24">
        <v>312</v>
      </c>
      <c r="E595" s="23">
        <v>1</v>
      </c>
      <c r="F595" s="23" t="s">
        <v>2424</v>
      </c>
      <c r="G595" s="23" t="s">
        <v>2429</v>
      </c>
      <c r="J595" s="23" t="s">
        <v>619</v>
      </c>
      <c r="L595" s="23">
        <v>1</v>
      </c>
      <c r="Z595" s="68">
        <v>4</v>
      </c>
      <c r="AF595" s="23" t="s">
        <v>2430</v>
      </c>
      <c r="AI595" s="23" t="s">
        <v>2431</v>
      </c>
      <c r="AL595" s="23" t="s">
        <v>619</v>
      </c>
      <c r="AM595" s="23" t="s">
        <v>2426</v>
      </c>
      <c r="AN595" s="23">
        <v>1</v>
      </c>
      <c r="AP595" s="73"/>
      <c r="AQ595" s="75"/>
      <c r="AR595" s="76"/>
      <c r="AS595" s="77"/>
      <c r="AV595" s="75"/>
      <c r="AW595" s="83"/>
      <c r="AX595" s="84"/>
      <c r="AY595" s="80"/>
      <c r="BB595" s="81"/>
      <c r="BG595" s="23" t="s">
        <v>2432</v>
      </c>
    </row>
    <row r="596" spans="1:59" ht="15" customHeight="1">
      <c r="A596" s="23" t="s">
        <v>2384</v>
      </c>
      <c r="B596" s="23" t="s">
        <v>2433</v>
      </c>
      <c r="C596" s="23" t="s">
        <v>2087</v>
      </c>
      <c r="D596" s="24">
        <v>313</v>
      </c>
      <c r="E596" s="23">
        <v>1</v>
      </c>
      <c r="F596" s="23" t="s">
        <v>2424</v>
      </c>
      <c r="G596" s="23" t="s">
        <v>2434</v>
      </c>
      <c r="J596" s="23" t="s">
        <v>619</v>
      </c>
      <c r="L596" s="23">
        <v>2</v>
      </c>
      <c r="Z596" s="68">
        <v>4</v>
      </c>
      <c r="AF596" s="23" t="s">
        <v>2430</v>
      </c>
      <c r="AI596" s="23" t="s">
        <v>2435</v>
      </c>
      <c r="AL596" s="23" t="s">
        <v>619</v>
      </c>
      <c r="AM596" s="23" t="s">
        <v>2426</v>
      </c>
      <c r="AN596" s="23">
        <v>2</v>
      </c>
      <c r="AP596" s="73"/>
      <c r="AQ596" s="75"/>
      <c r="AR596" s="76"/>
      <c r="AS596" s="77"/>
      <c r="AV596" s="75"/>
      <c r="AW596" s="83"/>
      <c r="AX596" s="84"/>
      <c r="AY596" s="80"/>
      <c r="BB596" s="81"/>
      <c r="BG596" s="23" t="s">
        <v>2436</v>
      </c>
    </row>
    <row r="597" spans="1:59" ht="15" customHeight="1">
      <c r="A597" s="23" t="s">
        <v>2384</v>
      </c>
      <c r="B597" s="23" t="s">
        <v>2437</v>
      </c>
      <c r="C597" s="23" t="s">
        <v>2087</v>
      </c>
      <c r="D597" s="24">
        <v>314</v>
      </c>
      <c r="E597" s="23">
        <v>1</v>
      </c>
      <c r="F597" s="23" t="s">
        <v>2424</v>
      </c>
      <c r="G597" s="23" t="s">
        <v>2438</v>
      </c>
      <c r="J597" s="23" t="s">
        <v>619</v>
      </c>
      <c r="L597" s="23">
        <v>3</v>
      </c>
      <c r="Z597" s="68">
        <v>6</v>
      </c>
      <c r="AF597" s="23" t="s">
        <v>2430</v>
      </c>
      <c r="AI597" s="23" t="s">
        <v>2439</v>
      </c>
      <c r="AL597" s="23" t="s">
        <v>619</v>
      </c>
      <c r="AM597" s="23" t="s">
        <v>2426</v>
      </c>
      <c r="AN597" s="23">
        <v>3</v>
      </c>
      <c r="AP597" s="73"/>
      <c r="AQ597" s="75"/>
      <c r="AR597" s="76"/>
      <c r="AS597" s="77"/>
      <c r="AV597" s="75"/>
      <c r="AW597" s="83"/>
      <c r="AX597" s="84"/>
      <c r="AY597" s="80"/>
      <c r="BB597" s="81"/>
      <c r="BG597" s="23" t="s">
        <v>2440</v>
      </c>
    </row>
    <row r="598" spans="1:59" ht="15" customHeight="1">
      <c r="A598" s="23" t="s">
        <v>2384</v>
      </c>
      <c r="B598" s="23" t="s">
        <v>2441</v>
      </c>
      <c r="C598" s="23" t="s">
        <v>2087</v>
      </c>
      <c r="D598" s="24">
        <v>315</v>
      </c>
      <c r="E598" s="23">
        <v>1</v>
      </c>
      <c r="F598" s="23" t="s">
        <v>2424</v>
      </c>
      <c r="G598" s="23" t="s">
        <v>2442</v>
      </c>
      <c r="J598" s="23" t="s">
        <v>619</v>
      </c>
      <c r="L598" s="23">
        <v>4</v>
      </c>
      <c r="Z598" s="68">
        <v>2</v>
      </c>
      <c r="AF598" s="23" t="s">
        <v>2443</v>
      </c>
      <c r="AI598" s="23" t="s">
        <v>2444</v>
      </c>
      <c r="AL598" s="23" t="s">
        <v>619</v>
      </c>
      <c r="AM598" s="23" t="s">
        <v>2426</v>
      </c>
      <c r="AN598" s="23">
        <v>4</v>
      </c>
      <c r="AP598" s="73"/>
      <c r="AQ598" s="75"/>
      <c r="AR598" s="76"/>
      <c r="AS598" s="77"/>
      <c r="AV598" s="75"/>
      <c r="AW598" s="83"/>
      <c r="AX598" s="84"/>
      <c r="AY598" s="80"/>
      <c r="BB598" s="81"/>
      <c r="BG598" s="23" t="s">
        <v>2445</v>
      </c>
    </row>
    <row r="599" spans="1:59" ht="15" customHeight="1">
      <c r="A599" s="23" t="s">
        <v>2384</v>
      </c>
      <c r="B599" s="23" t="s">
        <v>2446</v>
      </c>
      <c r="C599" s="23" t="s">
        <v>2087</v>
      </c>
      <c r="D599" s="24">
        <v>316</v>
      </c>
      <c r="E599" s="23">
        <v>1</v>
      </c>
      <c r="F599" s="23" t="s">
        <v>2424</v>
      </c>
      <c r="G599" s="23" t="s">
        <v>2447</v>
      </c>
      <c r="J599" s="23" t="s">
        <v>621</v>
      </c>
      <c r="L599" s="23">
        <v>1</v>
      </c>
      <c r="Y599" s="66" t="s">
        <v>1697</v>
      </c>
      <c r="AF599" s="23" t="s">
        <v>2448</v>
      </c>
      <c r="AI599" s="23" t="s">
        <v>2449</v>
      </c>
      <c r="AL599" s="23" t="s">
        <v>621</v>
      </c>
      <c r="AM599" s="23" t="s">
        <v>2426</v>
      </c>
      <c r="AN599" s="23">
        <v>1</v>
      </c>
      <c r="AP599" s="73"/>
      <c r="AQ599" s="75"/>
      <c r="AR599" s="76"/>
      <c r="AS599" s="77"/>
      <c r="AV599" s="75"/>
      <c r="AW599" s="83"/>
      <c r="AX599" s="84"/>
      <c r="AY599" s="80"/>
      <c r="BB599" s="81"/>
      <c r="BG599" s="23" t="s">
        <v>2450</v>
      </c>
    </row>
    <row r="600" spans="1:59" ht="15" customHeight="1">
      <c r="A600" s="23" t="s">
        <v>2384</v>
      </c>
      <c r="B600" s="23" t="s">
        <v>2451</v>
      </c>
      <c r="C600" s="23" t="s">
        <v>2087</v>
      </c>
      <c r="D600" s="24">
        <v>317</v>
      </c>
      <c r="E600" s="23">
        <v>1</v>
      </c>
      <c r="F600" s="23" t="s">
        <v>2424</v>
      </c>
      <c r="G600" s="23" t="s">
        <v>2452</v>
      </c>
      <c r="J600" s="23" t="s">
        <v>621</v>
      </c>
      <c r="L600" s="23">
        <v>2</v>
      </c>
      <c r="Y600" s="66" t="s">
        <v>38</v>
      </c>
      <c r="AF600" s="23" t="s">
        <v>2453</v>
      </c>
      <c r="AI600" s="23" t="s">
        <v>2454</v>
      </c>
      <c r="AL600" s="23" t="s">
        <v>621</v>
      </c>
      <c r="AM600" s="23" t="s">
        <v>2426</v>
      </c>
      <c r="AN600" s="23">
        <v>2</v>
      </c>
      <c r="AP600" s="73"/>
      <c r="AQ600" s="75"/>
      <c r="AR600" s="76"/>
      <c r="AS600" s="77"/>
      <c r="AV600" s="75"/>
      <c r="AW600" s="83"/>
      <c r="AX600" s="84"/>
      <c r="AY600" s="80"/>
      <c r="BB600" s="81"/>
    </row>
    <row r="601" spans="1:59" ht="15" customHeight="1">
      <c r="A601" s="23" t="s">
        <v>2384</v>
      </c>
      <c r="B601" s="23" t="s">
        <v>2455</v>
      </c>
      <c r="C601" s="23" t="s">
        <v>2087</v>
      </c>
      <c r="D601" s="24">
        <v>318</v>
      </c>
      <c r="E601" s="23">
        <v>1</v>
      </c>
      <c r="F601" s="23" t="s">
        <v>2424</v>
      </c>
      <c r="G601" s="23" t="s">
        <v>2456</v>
      </c>
      <c r="J601" s="23" t="s">
        <v>621</v>
      </c>
      <c r="L601" s="23">
        <v>3</v>
      </c>
      <c r="Y601" s="66" t="s">
        <v>1696</v>
      </c>
      <c r="AF601" s="23" t="s">
        <v>2457</v>
      </c>
      <c r="AI601" s="23" t="s">
        <v>2458</v>
      </c>
      <c r="AL601" s="23" t="s">
        <v>621</v>
      </c>
      <c r="AM601" s="23" t="s">
        <v>2426</v>
      </c>
      <c r="AN601" s="23">
        <v>3</v>
      </c>
      <c r="AP601" s="73"/>
      <c r="AQ601" s="75"/>
      <c r="AR601" s="76"/>
      <c r="AS601" s="77"/>
      <c r="AV601" s="75"/>
      <c r="AW601" s="83"/>
      <c r="AX601" s="84"/>
      <c r="AY601" s="80"/>
      <c r="BB601" s="81"/>
      <c r="BG601" s="23" t="s">
        <v>2459</v>
      </c>
    </row>
    <row r="602" spans="1:59" ht="15" customHeight="1">
      <c r="A602" s="23" t="s">
        <v>2384</v>
      </c>
      <c r="B602" s="23" t="s">
        <v>2460</v>
      </c>
      <c r="C602" s="23" t="s">
        <v>2087</v>
      </c>
      <c r="D602" s="24">
        <v>319</v>
      </c>
      <c r="E602" s="23">
        <v>1</v>
      </c>
      <c r="F602" s="23" t="s">
        <v>2424</v>
      </c>
      <c r="G602" s="23" t="s">
        <v>2461</v>
      </c>
      <c r="J602" s="23" t="s">
        <v>621</v>
      </c>
      <c r="L602" s="23">
        <v>4</v>
      </c>
      <c r="Y602" s="66" t="s">
        <v>38</v>
      </c>
      <c r="AF602" s="23" t="s">
        <v>2462</v>
      </c>
      <c r="AI602" s="23" t="s">
        <v>2463</v>
      </c>
      <c r="AL602" s="23" t="s">
        <v>621</v>
      </c>
      <c r="AM602" s="23" t="s">
        <v>2426</v>
      </c>
      <c r="AN602" s="23">
        <v>4</v>
      </c>
      <c r="AP602" s="73"/>
      <c r="AQ602" s="75"/>
      <c r="AR602" s="76"/>
      <c r="AS602" s="77"/>
      <c r="AV602" s="75"/>
      <c r="AW602" s="83"/>
      <c r="AX602" s="84"/>
      <c r="AY602" s="80"/>
      <c r="BB602" s="81"/>
      <c r="BG602" s="23" t="s">
        <v>1886</v>
      </c>
    </row>
    <row r="603" spans="1:59" ht="15" customHeight="1">
      <c r="A603" s="23" t="s">
        <v>2384</v>
      </c>
      <c r="B603" s="23" t="s">
        <v>2464</v>
      </c>
      <c r="C603" s="23" t="s">
        <v>2087</v>
      </c>
      <c r="D603" s="24">
        <v>320</v>
      </c>
      <c r="E603" s="23">
        <v>1</v>
      </c>
      <c r="F603" s="23" t="s">
        <v>2424</v>
      </c>
      <c r="G603" s="23" t="s">
        <v>2465</v>
      </c>
      <c r="J603" s="23" t="s">
        <v>31</v>
      </c>
      <c r="AD603" s="23" t="s">
        <v>2466</v>
      </c>
      <c r="AI603" s="23" t="s">
        <v>2465</v>
      </c>
      <c r="AJ603" s="23" t="s">
        <v>2467</v>
      </c>
      <c r="AL603" s="23" t="s">
        <v>31</v>
      </c>
      <c r="AM603" s="23" t="s">
        <v>2426</v>
      </c>
      <c r="AP603" s="73"/>
      <c r="AQ603" s="75"/>
      <c r="AR603" s="76"/>
      <c r="AS603" s="77"/>
      <c r="AV603" s="75"/>
      <c r="AW603" s="83"/>
      <c r="AX603" s="84"/>
      <c r="AY603" s="80">
        <v>6</v>
      </c>
      <c r="AZ603" s="66">
        <v>0</v>
      </c>
      <c r="BB603" s="81"/>
      <c r="BE603" s="23" t="s">
        <v>2466</v>
      </c>
      <c r="BG603" s="23" t="s">
        <v>2468</v>
      </c>
    </row>
    <row r="604" spans="1:59" ht="15" customHeight="1">
      <c r="A604" s="23" t="s">
        <v>2384</v>
      </c>
      <c r="B604" s="23" t="s">
        <v>2469</v>
      </c>
      <c r="C604" s="23" t="s">
        <v>2087</v>
      </c>
      <c r="D604" s="24">
        <v>321</v>
      </c>
      <c r="E604" s="23">
        <v>1</v>
      </c>
      <c r="F604" s="23" t="s">
        <v>2424</v>
      </c>
      <c r="G604" s="23" t="s">
        <v>2470</v>
      </c>
      <c r="J604" s="23" t="s">
        <v>31</v>
      </c>
      <c r="AD604" s="23" t="s">
        <v>2466</v>
      </c>
      <c r="AF604" s="23" t="s">
        <v>2471</v>
      </c>
      <c r="AI604" s="23" t="s">
        <v>2470</v>
      </c>
      <c r="AL604" s="23" t="s">
        <v>31</v>
      </c>
      <c r="AM604" s="23" t="s">
        <v>2426</v>
      </c>
      <c r="AP604" s="73"/>
      <c r="AQ604" s="75"/>
      <c r="AR604" s="76"/>
      <c r="AS604" s="77"/>
      <c r="AV604" s="75"/>
      <c r="AW604" s="83"/>
      <c r="AX604" s="84"/>
      <c r="AY604" s="80">
        <v>2</v>
      </c>
      <c r="AZ604" s="66" t="s">
        <v>1697</v>
      </c>
      <c r="BB604" s="81"/>
      <c r="BE604" s="23" t="s">
        <v>2466</v>
      </c>
      <c r="BG604" s="23" t="s">
        <v>2472</v>
      </c>
    </row>
    <row r="605" spans="1:59" ht="15" customHeight="1">
      <c r="A605" s="23" t="s">
        <v>2384</v>
      </c>
      <c r="B605" s="23" t="s">
        <v>2473</v>
      </c>
      <c r="C605" s="23" t="s">
        <v>2087</v>
      </c>
      <c r="D605" s="24">
        <v>322</v>
      </c>
      <c r="E605" s="23">
        <v>1</v>
      </c>
      <c r="F605" s="23" t="s">
        <v>2424</v>
      </c>
      <c r="G605" s="23" t="s">
        <v>2474</v>
      </c>
      <c r="J605" s="23" t="s">
        <v>31</v>
      </c>
      <c r="AD605" s="23" t="s">
        <v>2466</v>
      </c>
      <c r="AI605" s="23" t="s">
        <v>2474</v>
      </c>
      <c r="AL605" s="23" t="s">
        <v>31</v>
      </c>
      <c r="AM605" s="23" t="s">
        <v>2426</v>
      </c>
      <c r="AP605" s="73"/>
      <c r="AQ605" s="75"/>
      <c r="AR605" s="76"/>
      <c r="AS605" s="77"/>
      <c r="AV605" s="75"/>
      <c r="AW605" s="83"/>
      <c r="AX605" s="84"/>
      <c r="AY605" s="80">
        <v>2</v>
      </c>
      <c r="AZ605" s="66" t="s">
        <v>1111</v>
      </c>
      <c r="BB605" s="81"/>
      <c r="BE605" s="23" t="s">
        <v>2466</v>
      </c>
      <c r="BG605" s="23" t="s">
        <v>2475</v>
      </c>
    </row>
    <row r="606" spans="1:59" ht="15" customHeight="1">
      <c r="A606" s="23" t="s">
        <v>2384</v>
      </c>
      <c r="B606" s="23" t="s">
        <v>2476</v>
      </c>
      <c r="C606" s="23" t="s">
        <v>2087</v>
      </c>
      <c r="D606" s="24">
        <v>323</v>
      </c>
      <c r="E606" s="23">
        <v>1</v>
      </c>
      <c r="F606" s="23" t="s">
        <v>2424</v>
      </c>
      <c r="G606" s="23" t="s">
        <v>2477</v>
      </c>
      <c r="H606" s="23" t="s">
        <v>2478</v>
      </c>
      <c r="I606" s="23" t="s">
        <v>223</v>
      </c>
      <c r="J606" s="23" t="s">
        <v>29</v>
      </c>
      <c r="Q606" s="65">
        <v>4</v>
      </c>
      <c r="R606" s="66" t="s">
        <v>38</v>
      </c>
      <c r="T606" s="68">
        <v>4</v>
      </c>
      <c r="V606" s="69">
        <v>1</v>
      </c>
      <c r="W606" s="70">
        <v>5</v>
      </c>
      <c r="AD606" s="23" t="s">
        <v>822</v>
      </c>
      <c r="AF606" s="23" t="s">
        <v>2479</v>
      </c>
      <c r="AP606" s="73"/>
      <c r="AQ606" s="75"/>
      <c r="AR606" s="76"/>
      <c r="AS606" s="77"/>
      <c r="AV606" s="75"/>
      <c r="AW606" s="83"/>
      <c r="AX606" s="84"/>
      <c r="AY606" s="80"/>
      <c r="BB606" s="81"/>
    </row>
    <row r="607" spans="1:59" ht="15" customHeight="1">
      <c r="A607" s="23" t="s">
        <v>2384</v>
      </c>
      <c r="B607" s="23" t="s">
        <v>2480</v>
      </c>
      <c r="C607" s="23" t="s">
        <v>2087</v>
      </c>
      <c r="D607" s="24">
        <v>324</v>
      </c>
      <c r="E607" s="23">
        <v>4</v>
      </c>
      <c r="F607" s="23" t="s">
        <v>2424</v>
      </c>
      <c r="G607" s="23" t="s">
        <v>2481</v>
      </c>
      <c r="J607" s="23" t="s">
        <v>31</v>
      </c>
      <c r="X607" s="71">
        <v>1</v>
      </c>
      <c r="Y607" s="66">
        <v>1</v>
      </c>
      <c r="AD607" s="23" t="s">
        <v>2482</v>
      </c>
      <c r="AF607" s="23" t="s">
        <v>2483</v>
      </c>
      <c r="AP607" s="73"/>
      <c r="AQ607" s="75"/>
      <c r="AR607" s="76"/>
      <c r="AS607" s="77"/>
      <c r="AV607" s="75"/>
      <c r="AW607" s="83"/>
      <c r="AX607" s="84"/>
      <c r="AY607" s="80"/>
      <c r="BB607" s="81"/>
    </row>
    <row r="608" spans="1:59" ht="15" customHeight="1">
      <c r="A608" s="23" t="s">
        <v>2384</v>
      </c>
      <c r="B608" s="23" t="s">
        <v>2484</v>
      </c>
      <c r="C608" s="23" t="s">
        <v>2087</v>
      </c>
      <c r="D608" s="24">
        <v>325</v>
      </c>
      <c r="E608" s="23">
        <v>2</v>
      </c>
      <c r="F608" s="23" t="s">
        <v>2424</v>
      </c>
      <c r="G608" s="23" t="s">
        <v>2485</v>
      </c>
      <c r="J608" s="23" t="s">
        <v>31</v>
      </c>
      <c r="X608" s="71">
        <v>2</v>
      </c>
      <c r="Y608" s="66">
        <v>3</v>
      </c>
      <c r="AD608" s="23" t="s">
        <v>2482</v>
      </c>
      <c r="AF608" s="23" t="s">
        <v>2486</v>
      </c>
      <c r="AP608" s="73"/>
      <c r="AQ608" s="75"/>
      <c r="AR608" s="76"/>
      <c r="AS608" s="77"/>
      <c r="AV608" s="75"/>
      <c r="AW608" s="83"/>
      <c r="AX608" s="84"/>
      <c r="AY608" s="80"/>
      <c r="BB608" s="81"/>
    </row>
    <row r="609" spans="1:59" ht="15" customHeight="1">
      <c r="A609" s="23" t="s">
        <v>2384</v>
      </c>
      <c r="B609" s="23" t="s">
        <v>2487</v>
      </c>
      <c r="C609" s="23" t="s">
        <v>2087</v>
      </c>
      <c r="D609" s="24">
        <v>326</v>
      </c>
      <c r="E609" s="23">
        <v>2</v>
      </c>
      <c r="F609" s="23" t="s">
        <v>2424</v>
      </c>
      <c r="G609" s="23" t="s">
        <v>2488</v>
      </c>
      <c r="J609" s="23" t="s">
        <v>31</v>
      </c>
      <c r="X609" s="71">
        <v>4</v>
      </c>
      <c r="Y609" s="66">
        <v>2</v>
      </c>
      <c r="AD609" s="23" t="s">
        <v>2482</v>
      </c>
      <c r="AF609" s="23" t="s">
        <v>2489</v>
      </c>
      <c r="AP609" s="73"/>
      <c r="AQ609" s="75"/>
      <c r="AR609" s="76"/>
      <c r="AS609" s="77"/>
      <c r="AV609" s="75"/>
      <c r="AW609" s="83"/>
      <c r="AX609" s="84"/>
      <c r="AY609" s="80"/>
      <c r="BB609" s="81"/>
    </row>
    <row r="610" spans="1:59" ht="15" customHeight="1">
      <c r="A610" s="23" t="s">
        <v>2384</v>
      </c>
      <c r="B610" s="23" t="s">
        <v>2490</v>
      </c>
      <c r="C610" s="23" t="s">
        <v>2087</v>
      </c>
      <c r="D610" s="24">
        <v>327</v>
      </c>
      <c r="E610" s="23">
        <v>1</v>
      </c>
      <c r="F610" s="23" t="s">
        <v>2424</v>
      </c>
      <c r="G610" s="23" t="s">
        <v>2491</v>
      </c>
      <c r="J610" s="23" t="s">
        <v>31</v>
      </c>
      <c r="X610" s="71">
        <v>3</v>
      </c>
      <c r="Y610" s="66" t="s">
        <v>1073</v>
      </c>
      <c r="AD610" s="23" t="s">
        <v>2482</v>
      </c>
      <c r="AF610" s="23" t="s">
        <v>2492</v>
      </c>
      <c r="AP610" s="73"/>
      <c r="AQ610" s="75"/>
      <c r="AR610" s="76"/>
      <c r="AS610" s="77"/>
      <c r="AV610" s="75"/>
      <c r="AW610" s="83"/>
      <c r="AX610" s="84"/>
      <c r="AY610" s="80"/>
      <c r="BB610" s="81"/>
    </row>
    <row r="611" spans="1:59" ht="15" customHeight="1">
      <c r="A611" s="23" t="s">
        <v>2384</v>
      </c>
      <c r="B611" s="23" t="s">
        <v>2493</v>
      </c>
      <c r="C611" s="23" t="s">
        <v>2087</v>
      </c>
      <c r="D611" s="24">
        <v>328</v>
      </c>
      <c r="E611" s="23">
        <v>1</v>
      </c>
      <c r="F611" s="23" t="s">
        <v>2424</v>
      </c>
      <c r="G611" s="23" t="s">
        <v>2494</v>
      </c>
      <c r="J611" s="23" t="s">
        <v>31</v>
      </c>
      <c r="X611" s="71">
        <v>2</v>
      </c>
      <c r="Y611" s="66" t="s">
        <v>1073</v>
      </c>
      <c r="AD611" s="23" t="s">
        <v>2482</v>
      </c>
      <c r="AF611" s="23" t="s">
        <v>2495</v>
      </c>
      <c r="AP611" s="73"/>
      <c r="AQ611" s="75"/>
      <c r="AR611" s="76"/>
      <c r="AS611" s="77"/>
      <c r="AV611" s="75"/>
      <c r="AW611" s="83"/>
      <c r="AX611" s="84"/>
      <c r="AY611" s="80"/>
      <c r="BB611" s="81"/>
    </row>
    <row r="612" spans="1:59" ht="15" customHeight="1">
      <c r="A612" s="23" t="s">
        <v>2384</v>
      </c>
      <c r="B612" s="23" t="s">
        <v>2496</v>
      </c>
      <c r="C612" s="23" t="s">
        <v>2087</v>
      </c>
      <c r="D612" s="24">
        <v>329</v>
      </c>
      <c r="E612" s="23">
        <v>3</v>
      </c>
      <c r="F612" s="23" t="s">
        <v>2424</v>
      </c>
      <c r="G612" s="23" t="s">
        <v>2497</v>
      </c>
      <c r="J612" s="23" t="s">
        <v>29</v>
      </c>
      <c r="Q612" s="65">
        <v>4</v>
      </c>
      <c r="R612" s="66">
        <v>2</v>
      </c>
      <c r="T612" s="68">
        <v>3</v>
      </c>
      <c r="V612" s="69">
        <v>1</v>
      </c>
      <c r="W612" s="70">
        <v>2</v>
      </c>
      <c r="AD612" s="23" t="s">
        <v>490</v>
      </c>
      <c r="AF612" s="23" t="s">
        <v>2498</v>
      </c>
      <c r="AP612" s="73"/>
      <c r="AQ612" s="75"/>
      <c r="AR612" s="76"/>
      <c r="AS612" s="77"/>
      <c r="AV612" s="75"/>
      <c r="AW612" s="83"/>
      <c r="AX612" s="84"/>
      <c r="AY612" s="80"/>
      <c r="BB612" s="81"/>
    </row>
    <row r="613" spans="1:59" ht="15" customHeight="1">
      <c r="A613" s="23" t="s">
        <v>2384</v>
      </c>
      <c r="B613" s="23" t="s">
        <v>2499</v>
      </c>
      <c r="C613" s="23" t="s">
        <v>2087</v>
      </c>
      <c r="D613" s="24">
        <v>330</v>
      </c>
      <c r="E613" s="23">
        <v>2</v>
      </c>
      <c r="F613" s="23" t="s">
        <v>2424</v>
      </c>
      <c r="G613" s="23" t="s">
        <v>2500</v>
      </c>
      <c r="J613" s="23" t="s">
        <v>29</v>
      </c>
      <c r="Q613" s="65">
        <v>3</v>
      </c>
      <c r="R613" s="66">
        <v>5</v>
      </c>
      <c r="T613" s="68">
        <v>4</v>
      </c>
      <c r="V613" s="69">
        <v>2</v>
      </c>
      <c r="W613" s="70">
        <v>1</v>
      </c>
      <c r="AD613" s="23" t="s">
        <v>490</v>
      </c>
      <c r="AF613" s="23" t="s">
        <v>2501</v>
      </c>
      <c r="AP613" s="73"/>
      <c r="AQ613" s="75"/>
      <c r="AR613" s="76"/>
      <c r="AS613" s="77"/>
      <c r="AV613" s="75"/>
      <c r="AW613" s="83"/>
      <c r="AX613" s="84"/>
      <c r="AY613" s="80"/>
      <c r="BB613" s="81"/>
    </row>
    <row r="614" spans="1:59" ht="15" customHeight="1">
      <c r="A614" s="23" t="s">
        <v>2384</v>
      </c>
      <c r="B614" s="23" t="s">
        <v>2502</v>
      </c>
      <c r="C614" s="23" t="s">
        <v>2087</v>
      </c>
      <c r="D614" s="24">
        <v>331</v>
      </c>
      <c r="E614" s="23">
        <v>3</v>
      </c>
      <c r="F614" s="23" t="s">
        <v>2424</v>
      </c>
      <c r="G614" s="23" t="s">
        <v>2503</v>
      </c>
      <c r="J614" s="23" t="s">
        <v>28</v>
      </c>
      <c r="AD614" s="23" t="s">
        <v>479</v>
      </c>
      <c r="AF614" s="23" t="s">
        <v>2504</v>
      </c>
      <c r="AP614" s="73"/>
      <c r="AQ614" s="75"/>
      <c r="AR614" s="76"/>
      <c r="AS614" s="77"/>
      <c r="AV614" s="75"/>
      <c r="AW614" s="83"/>
      <c r="AX614" s="84"/>
      <c r="AY614" s="80"/>
      <c r="BB614" s="81"/>
    </row>
    <row r="615" spans="1:59" ht="15" customHeight="1">
      <c r="A615" s="23" t="s">
        <v>2384</v>
      </c>
      <c r="B615" s="23" t="s">
        <v>2505</v>
      </c>
      <c r="C615" s="23" t="s">
        <v>2087</v>
      </c>
      <c r="D615" s="24">
        <v>332</v>
      </c>
      <c r="E615" s="23">
        <v>2</v>
      </c>
      <c r="F615" s="23" t="s">
        <v>2424</v>
      </c>
      <c r="G615" s="23" t="s">
        <v>2506</v>
      </c>
      <c r="J615" s="23" t="s">
        <v>28</v>
      </c>
      <c r="AD615" s="23" t="s">
        <v>479</v>
      </c>
      <c r="AF615" s="23" t="s">
        <v>2507</v>
      </c>
      <c r="AP615" s="73"/>
      <c r="AQ615" s="75"/>
      <c r="AR615" s="76"/>
      <c r="AS615" s="77"/>
      <c r="AV615" s="75"/>
      <c r="AW615" s="83"/>
      <c r="AX615" s="84"/>
      <c r="AY615" s="80"/>
      <c r="BB615" s="81"/>
    </row>
    <row r="616" spans="1:59" ht="15" customHeight="1">
      <c r="A616" s="23" t="s">
        <v>2384</v>
      </c>
      <c r="B616" s="23" t="s">
        <v>2508</v>
      </c>
      <c r="C616" s="23" t="s">
        <v>2087</v>
      </c>
      <c r="D616" s="24">
        <v>333</v>
      </c>
      <c r="E616" s="23">
        <v>3</v>
      </c>
      <c r="F616" s="23" t="s">
        <v>2424</v>
      </c>
      <c r="G616" s="23" t="s">
        <v>2509</v>
      </c>
      <c r="J616" s="23" t="s">
        <v>28</v>
      </c>
      <c r="AD616" s="23" t="s">
        <v>481</v>
      </c>
      <c r="AF616" s="23" t="s">
        <v>2510</v>
      </c>
      <c r="AP616" s="73"/>
      <c r="AQ616" s="75"/>
      <c r="AR616" s="76"/>
      <c r="AS616" s="77"/>
      <c r="AV616" s="75"/>
      <c r="AW616" s="83"/>
      <c r="AX616" s="84"/>
      <c r="AY616" s="80"/>
      <c r="BB616" s="81"/>
    </row>
    <row r="617" spans="1:59" ht="15" customHeight="1">
      <c r="A617" s="40" t="s">
        <v>2937</v>
      </c>
      <c r="B617" s="40" t="s">
        <v>2827</v>
      </c>
      <c r="C617" s="40" t="s">
        <v>2360</v>
      </c>
      <c r="D617" s="144">
        <v>1</v>
      </c>
      <c r="E617" s="40">
        <v>1</v>
      </c>
      <c r="F617" s="40"/>
      <c r="G617" s="40" t="s">
        <v>2512</v>
      </c>
      <c r="H617" s="23" t="s">
        <v>2513</v>
      </c>
      <c r="I617" s="23" t="s">
        <v>223</v>
      </c>
      <c r="J617" s="23" t="s">
        <v>203</v>
      </c>
      <c r="K617" s="23" t="s">
        <v>198</v>
      </c>
      <c r="O617" s="63">
        <v>3</v>
      </c>
      <c r="P617" s="64">
        <v>2</v>
      </c>
      <c r="Q617" s="65">
        <v>5</v>
      </c>
      <c r="R617" s="66">
        <v>3</v>
      </c>
      <c r="T617" s="68">
        <v>9</v>
      </c>
      <c r="U617" s="63">
        <v>5</v>
      </c>
      <c r="AD617" s="23" t="s">
        <v>2514</v>
      </c>
      <c r="AF617" s="23" t="s">
        <v>2515</v>
      </c>
      <c r="AI617" s="23" t="s">
        <v>2512</v>
      </c>
      <c r="AJ617" s="23" t="s">
        <v>2513</v>
      </c>
      <c r="AK617" s="23" t="s">
        <v>223</v>
      </c>
      <c r="AL617" s="23" t="s">
        <v>203</v>
      </c>
      <c r="AM617" s="23" t="s">
        <v>198</v>
      </c>
      <c r="AP617" s="73"/>
      <c r="AQ617" s="75"/>
      <c r="AR617" s="76"/>
      <c r="AS617" s="77"/>
      <c r="AV617" s="75"/>
      <c r="AW617" s="83"/>
      <c r="AX617" s="84"/>
      <c r="AY617" s="80"/>
      <c r="BB617" s="81"/>
      <c r="BE617" s="23" t="s">
        <v>2514</v>
      </c>
      <c r="BG617" s="23" t="s">
        <v>2516</v>
      </c>
    </row>
    <row r="618" spans="1:59" ht="15" customHeight="1">
      <c r="A618" s="23" t="s">
        <v>2937</v>
      </c>
      <c r="B618" s="23" t="s">
        <v>2828</v>
      </c>
      <c r="C618" s="23" t="s">
        <v>2360</v>
      </c>
      <c r="D618" s="24">
        <v>2</v>
      </c>
      <c r="E618" s="23">
        <v>1</v>
      </c>
      <c r="G618" s="23" t="s">
        <v>2517</v>
      </c>
      <c r="H618" s="23" t="s">
        <v>2518</v>
      </c>
      <c r="I618" s="23" t="s">
        <v>223</v>
      </c>
      <c r="J618" s="23" t="s">
        <v>203</v>
      </c>
      <c r="K618" s="23" t="s">
        <v>199</v>
      </c>
      <c r="O618" s="63">
        <v>4</v>
      </c>
      <c r="P618" s="64">
        <v>4</v>
      </c>
      <c r="Q618" s="65">
        <v>2</v>
      </c>
      <c r="R618" s="66">
        <v>2</v>
      </c>
      <c r="T618" s="68">
        <v>7</v>
      </c>
      <c r="U618" s="63">
        <v>7</v>
      </c>
      <c r="AD618" s="23" t="s">
        <v>2519</v>
      </c>
      <c r="AF618" s="23" t="s">
        <v>2520</v>
      </c>
      <c r="AI618" s="23" t="s">
        <v>2517</v>
      </c>
      <c r="AJ618" s="23" t="s">
        <v>2518</v>
      </c>
      <c r="AK618" s="23" t="s">
        <v>223</v>
      </c>
      <c r="AL618" s="23" t="s">
        <v>203</v>
      </c>
      <c r="AM618" s="23" t="s">
        <v>199</v>
      </c>
      <c r="AP618" s="73"/>
      <c r="AQ618" s="75"/>
      <c r="AR618" s="76"/>
      <c r="AS618" s="77"/>
      <c r="AV618" s="75"/>
      <c r="AW618" s="83"/>
      <c r="AX618" s="84"/>
      <c r="AY618" s="80"/>
      <c r="BB618" s="81"/>
      <c r="BE618" s="23" t="s">
        <v>2519</v>
      </c>
      <c r="BG618" s="23" t="s">
        <v>2521</v>
      </c>
    </row>
    <row r="619" spans="1:59" ht="15" customHeight="1">
      <c r="A619" s="23" t="s">
        <v>2937</v>
      </c>
      <c r="B619" s="23" t="s">
        <v>2829</v>
      </c>
      <c r="C619" s="23" t="s">
        <v>2360</v>
      </c>
      <c r="D619" s="24">
        <v>3</v>
      </c>
      <c r="E619" s="23">
        <v>1</v>
      </c>
      <c r="G619" s="23" t="s">
        <v>2522</v>
      </c>
      <c r="H619" s="23" t="s">
        <v>2523</v>
      </c>
      <c r="I619" s="23" t="s">
        <v>223</v>
      </c>
      <c r="J619" s="23" t="s">
        <v>203</v>
      </c>
      <c r="K619" s="23" t="s">
        <v>201</v>
      </c>
      <c r="O619" s="63">
        <v>4</v>
      </c>
      <c r="P619" s="64">
        <v>2</v>
      </c>
      <c r="Q619" s="65">
        <v>2</v>
      </c>
      <c r="R619" s="66">
        <v>4</v>
      </c>
      <c r="T619" s="68">
        <v>5</v>
      </c>
      <c r="U619" s="63">
        <v>9</v>
      </c>
      <c r="AD619" s="23" t="s">
        <v>2524</v>
      </c>
      <c r="AF619" s="23" t="s">
        <v>2525</v>
      </c>
      <c r="AI619" s="23" t="s">
        <v>2522</v>
      </c>
      <c r="AJ619" s="23" t="s">
        <v>2523</v>
      </c>
      <c r="AK619" s="23" t="s">
        <v>223</v>
      </c>
      <c r="AL619" s="23" t="s">
        <v>203</v>
      </c>
      <c r="AM619" s="23" t="s">
        <v>201</v>
      </c>
      <c r="AP619" s="73"/>
      <c r="AQ619" s="75"/>
      <c r="AR619" s="76"/>
      <c r="AS619" s="77"/>
      <c r="AV619" s="75"/>
      <c r="AW619" s="83"/>
      <c r="AX619" s="84"/>
      <c r="AY619" s="80"/>
      <c r="BB619" s="81"/>
      <c r="BE619" s="23" t="s">
        <v>2524</v>
      </c>
      <c r="BG619" s="23" t="s">
        <v>2526</v>
      </c>
    </row>
    <row r="620" spans="1:59" ht="15" customHeight="1">
      <c r="A620" s="23" t="s">
        <v>2937</v>
      </c>
      <c r="B620" s="23" t="s">
        <v>2830</v>
      </c>
      <c r="C620" s="23" t="s">
        <v>2360</v>
      </c>
      <c r="D620" s="24">
        <v>4</v>
      </c>
      <c r="E620" s="23">
        <v>1</v>
      </c>
      <c r="G620" s="23" t="s">
        <v>2527</v>
      </c>
      <c r="H620" s="23" t="s">
        <v>2528</v>
      </c>
      <c r="I620" s="23" t="s">
        <v>223</v>
      </c>
      <c r="J620" s="23" t="s">
        <v>203</v>
      </c>
      <c r="K620" s="23" t="s">
        <v>200</v>
      </c>
      <c r="O620" s="63">
        <v>5</v>
      </c>
      <c r="P620" s="64">
        <v>2</v>
      </c>
      <c r="Q620" s="65">
        <v>3</v>
      </c>
      <c r="R620" s="66">
        <v>3</v>
      </c>
      <c r="T620" s="68">
        <v>6</v>
      </c>
      <c r="U620" s="63">
        <v>8</v>
      </c>
      <c r="AD620" s="23" t="s">
        <v>250</v>
      </c>
      <c r="AF620" s="23" t="s">
        <v>2529</v>
      </c>
      <c r="AI620" s="23" t="s">
        <v>2527</v>
      </c>
      <c r="AJ620" s="23" t="s">
        <v>2528</v>
      </c>
      <c r="AK620" s="23" t="s">
        <v>223</v>
      </c>
      <c r="AL620" s="23" t="s">
        <v>203</v>
      </c>
      <c r="AM620" s="23" t="s">
        <v>200</v>
      </c>
      <c r="AP620" s="73"/>
      <c r="AQ620" s="75"/>
      <c r="AR620" s="76"/>
      <c r="AS620" s="77"/>
      <c r="AV620" s="75"/>
      <c r="AW620" s="83"/>
      <c r="AX620" s="84"/>
      <c r="AY620" s="80"/>
      <c r="BB620" s="81"/>
      <c r="BE620" s="23" t="s">
        <v>250</v>
      </c>
      <c r="BG620" s="23" t="s">
        <v>2530</v>
      </c>
    </row>
    <row r="621" spans="1:59" ht="15" customHeight="1">
      <c r="A621" s="23" t="s">
        <v>2937</v>
      </c>
      <c r="B621" s="23" t="s">
        <v>2831</v>
      </c>
      <c r="C621" s="23" t="s">
        <v>2360</v>
      </c>
      <c r="D621" s="24">
        <v>5</v>
      </c>
      <c r="E621" s="23">
        <v>1</v>
      </c>
      <c r="G621" s="23" t="s">
        <v>2531</v>
      </c>
      <c r="H621" s="23" t="s">
        <v>2532</v>
      </c>
      <c r="I621" s="23" t="s">
        <v>223</v>
      </c>
      <c r="J621" s="23" t="s">
        <v>203</v>
      </c>
      <c r="K621" s="23" t="s">
        <v>202</v>
      </c>
      <c r="O621" s="63">
        <v>3</v>
      </c>
      <c r="P621" s="64">
        <v>2</v>
      </c>
      <c r="Q621" s="65">
        <v>4</v>
      </c>
      <c r="R621" s="66">
        <v>3</v>
      </c>
      <c r="T621" s="68">
        <v>8</v>
      </c>
      <c r="U621" s="63">
        <v>6</v>
      </c>
      <c r="AD621" s="23" t="s">
        <v>2533</v>
      </c>
      <c r="AF621" s="23" t="s">
        <v>2534</v>
      </c>
      <c r="AI621" s="23" t="s">
        <v>2531</v>
      </c>
      <c r="AJ621" s="23" t="s">
        <v>2532</v>
      </c>
      <c r="AK621" s="23" t="s">
        <v>223</v>
      </c>
      <c r="AL621" s="23" t="s">
        <v>203</v>
      </c>
      <c r="AM621" s="23" t="s">
        <v>202</v>
      </c>
      <c r="AP621" s="73"/>
      <c r="AQ621" s="75"/>
      <c r="AR621" s="76"/>
      <c r="AS621" s="77"/>
      <c r="AV621" s="75"/>
      <c r="AW621" s="83"/>
      <c r="AX621" s="84"/>
      <c r="AY621" s="80"/>
      <c r="BB621" s="81"/>
      <c r="BE621" s="23" t="s">
        <v>2533</v>
      </c>
      <c r="BG621" s="23" t="s">
        <v>2535</v>
      </c>
    </row>
    <row r="622" spans="1:59" ht="15" customHeight="1">
      <c r="A622" s="23" t="s">
        <v>2937</v>
      </c>
      <c r="B622" s="23" t="s">
        <v>2832</v>
      </c>
      <c r="C622" s="23" t="s">
        <v>2360</v>
      </c>
      <c r="D622" s="24">
        <v>6</v>
      </c>
      <c r="E622" s="23">
        <v>1</v>
      </c>
      <c r="G622" s="23" t="s">
        <v>2536</v>
      </c>
      <c r="H622" s="23" t="s">
        <v>2537</v>
      </c>
      <c r="I622" s="23" t="s">
        <v>223</v>
      </c>
      <c r="J622" s="23" t="s">
        <v>203</v>
      </c>
      <c r="K622" s="23" t="s">
        <v>26</v>
      </c>
      <c r="O622" s="63">
        <v>3</v>
      </c>
      <c r="P622" s="64">
        <v>3</v>
      </c>
      <c r="Q622" s="65">
        <v>3</v>
      </c>
      <c r="R622" s="66">
        <v>3</v>
      </c>
      <c r="T622" s="68">
        <v>6</v>
      </c>
      <c r="U622" s="63">
        <v>6</v>
      </c>
      <c r="AD622" s="23" t="s">
        <v>1330</v>
      </c>
      <c r="AF622" s="23" t="s">
        <v>2538</v>
      </c>
      <c r="AI622" s="23" t="s">
        <v>2536</v>
      </c>
      <c r="AJ622" s="23" t="s">
        <v>2537</v>
      </c>
      <c r="AK622" s="23" t="s">
        <v>223</v>
      </c>
      <c r="AL622" s="23" t="s">
        <v>203</v>
      </c>
      <c r="AM622" s="23" t="s">
        <v>26</v>
      </c>
      <c r="AP622" s="73"/>
      <c r="AQ622" s="75"/>
      <c r="AR622" s="76"/>
      <c r="AS622" s="77"/>
      <c r="AV622" s="75"/>
      <c r="AW622" s="83"/>
      <c r="AX622" s="84"/>
      <c r="AY622" s="80"/>
      <c r="BB622" s="81"/>
      <c r="BE622" s="23" t="s">
        <v>1330</v>
      </c>
      <c r="BG622" s="23" t="s">
        <v>2539</v>
      </c>
    </row>
    <row r="623" spans="1:59" ht="15" customHeight="1">
      <c r="A623" s="23" t="s">
        <v>2937</v>
      </c>
      <c r="B623" s="23" t="s">
        <v>2833</v>
      </c>
      <c r="C623" s="23" t="s">
        <v>2360</v>
      </c>
      <c r="D623" s="24">
        <v>7</v>
      </c>
      <c r="E623" s="23">
        <v>1</v>
      </c>
      <c r="G623" s="23" t="s">
        <v>2540</v>
      </c>
      <c r="J623" s="23" t="s">
        <v>312</v>
      </c>
      <c r="K623" s="23" t="s">
        <v>26</v>
      </c>
      <c r="Q623" s="65">
        <v>4</v>
      </c>
      <c r="AB623" s="23" t="s">
        <v>2541</v>
      </c>
      <c r="AD623" s="23" t="s">
        <v>1814</v>
      </c>
      <c r="AF623" s="23" t="s">
        <v>2542</v>
      </c>
      <c r="AP623" s="73"/>
      <c r="AQ623" s="75"/>
      <c r="AR623" s="76"/>
      <c r="AS623" s="77"/>
      <c r="AV623" s="75"/>
      <c r="AW623" s="83"/>
      <c r="AX623" s="84"/>
      <c r="AY623" s="80"/>
      <c r="BB623" s="81"/>
    </row>
    <row r="624" spans="1:59" ht="15" customHeight="1">
      <c r="A624" s="23" t="s">
        <v>2937</v>
      </c>
      <c r="B624" s="23" t="s">
        <v>2834</v>
      </c>
      <c r="C624" s="23" t="s">
        <v>2360</v>
      </c>
      <c r="D624" s="24">
        <v>8</v>
      </c>
      <c r="E624" s="23">
        <v>1</v>
      </c>
      <c r="G624" s="23" t="s">
        <v>2543</v>
      </c>
      <c r="J624" s="23" t="s">
        <v>28</v>
      </c>
      <c r="K624" s="23" t="s">
        <v>26</v>
      </c>
      <c r="M624" s="23" t="s">
        <v>648</v>
      </c>
      <c r="AD624" s="23" t="s">
        <v>1449</v>
      </c>
      <c r="AF624" s="23" t="s">
        <v>2544</v>
      </c>
      <c r="AP624" s="73"/>
      <c r="AQ624" s="75"/>
      <c r="AR624" s="76"/>
      <c r="AS624" s="77"/>
      <c r="AV624" s="75"/>
      <c r="AW624" s="83"/>
      <c r="AX624" s="84"/>
      <c r="AY624" s="80"/>
      <c r="BB624" s="81"/>
    </row>
    <row r="625" spans="1:59" ht="15" customHeight="1">
      <c r="A625" s="23" t="s">
        <v>2937</v>
      </c>
      <c r="B625" s="23" t="s">
        <v>2835</v>
      </c>
      <c r="C625" s="23" t="s">
        <v>2360</v>
      </c>
      <c r="D625" s="24">
        <v>9</v>
      </c>
      <c r="E625" s="23">
        <v>1</v>
      </c>
      <c r="G625" s="23" t="s">
        <v>2545</v>
      </c>
      <c r="H625" s="23" t="s">
        <v>2546</v>
      </c>
      <c r="I625" s="23" t="s">
        <v>223</v>
      </c>
      <c r="J625" s="23" t="s">
        <v>257</v>
      </c>
      <c r="K625" s="23" t="s">
        <v>26</v>
      </c>
      <c r="AD625" s="23" t="s">
        <v>2547</v>
      </c>
      <c r="AF625" s="23" t="s">
        <v>2548</v>
      </c>
      <c r="AI625" s="23" t="s">
        <v>2545</v>
      </c>
      <c r="AJ625" s="23" t="s">
        <v>2549</v>
      </c>
      <c r="AK625" s="23" t="s">
        <v>223</v>
      </c>
      <c r="AL625" s="23" t="s">
        <v>257</v>
      </c>
      <c r="AM625" s="23" t="s">
        <v>26</v>
      </c>
      <c r="AP625" s="73"/>
      <c r="AQ625" s="75"/>
      <c r="AR625" s="76"/>
      <c r="AS625" s="77"/>
      <c r="AV625" s="75"/>
      <c r="AW625" s="83"/>
      <c r="AX625" s="84"/>
      <c r="AY625" s="80"/>
      <c r="BB625" s="81"/>
      <c r="BE625" s="23" t="s">
        <v>2550</v>
      </c>
      <c r="BG625" s="23" t="s">
        <v>2551</v>
      </c>
    </row>
    <row r="626" spans="1:59" ht="15" customHeight="1">
      <c r="A626" s="23" t="s">
        <v>2937</v>
      </c>
      <c r="B626" s="23" t="s">
        <v>2836</v>
      </c>
      <c r="C626" s="23" t="s">
        <v>2360</v>
      </c>
      <c r="D626" s="24">
        <v>10</v>
      </c>
      <c r="E626" s="23">
        <v>1</v>
      </c>
      <c r="G626" s="23" t="s">
        <v>2552</v>
      </c>
      <c r="H626" s="23" t="s">
        <v>2553</v>
      </c>
      <c r="J626" s="23" t="s">
        <v>257</v>
      </c>
      <c r="K626" s="23" t="s">
        <v>26</v>
      </c>
      <c r="N626" s="62">
        <v>3</v>
      </c>
      <c r="S626" s="113">
        <v>2</v>
      </c>
      <c r="AB626" s="23" t="s">
        <v>1082</v>
      </c>
      <c r="AD626" s="23" t="s">
        <v>289</v>
      </c>
      <c r="AF626" s="23" t="s">
        <v>2554</v>
      </c>
      <c r="AP626" s="73"/>
      <c r="AQ626" s="75"/>
      <c r="AR626" s="76"/>
      <c r="AS626" s="77"/>
      <c r="AV626" s="75"/>
      <c r="AW626" s="83"/>
      <c r="AX626" s="84"/>
      <c r="AY626" s="80"/>
      <c r="BB626" s="81"/>
    </row>
    <row r="627" spans="1:59" ht="15" customHeight="1">
      <c r="A627" s="23" t="s">
        <v>2937</v>
      </c>
      <c r="B627" s="23" t="s">
        <v>2837</v>
      </c>
      <c r="C627" s="23" t="s">
        <v>2360</v>
      </c>
      <c r="D627" s="24">
        <v>11</v>
      </c>
      <c r="E627" s="23">
        <v>1</v>
      </c>
      <c r="G627" s="23" t="s">
        <v>2555</v>
      </c>
      <c r="H627" s="23" t="s">
        <v>2556</v>
      </c>
      <c r="J627" s="23" t="s">
        <v>257</v>
      </c>
      <c r="K627" s="23" t="s">
        <v>26</v>
      </c>
      <c r="M627" s="23" t="s">
        <v>648</v>
      </c>
      <c r="AC627" s="23" t="s">
        <v>258</v>
      </c>
      <c r="AD627" s="23" t="s">
        <v>2557</v>
      </c>
      <c r="AF627" s="23" t="s">
        <v>2558</v>
      </c>
      <c r="AP627" s="73"/>
      <c r="AQ627" s="75"/>
      <c r="AR627" s="76"/>
      <c r="AS627" s="77"/>
      <c r="AV627" s="75"/>
      <c r="AW627" s="83"/>
      <c r="AX627" s="84"/>
      <c r="AY627" s="80"/>
      <c r="BB627" s="81"/>
    </row>
    <row r="628" spans="1:59" ht="15" customHeight="1">
      <c r="A628" s="23" t="s">
        <v>2937</v>
      </c>
      <c r="B628" s="23" t="s">
        <v>2838</v>
      </c>
      <c r="C628" s="23" t="s">
        <v>2360</v>
      </c>
      <c r="D628" s="24">
        <v>12</v>
      </c>
      <c r="E628" s="23">
        <v>3</v>
      </c>
      <c r="G628" s="23" t="s">
        <v>2559</v>
      </c>
      <c r="J628" s="23" t="s">
        <v>27</v>
      </c>
      <c r="K628" s="23" t="s">
        <v>26</v>
      </c>
      <c r="O628" s="63">
        <v>1</v>
      </c>
      <c r="R628" s="66">
        <v>1</v>
      </c>
      <c r="S628" s="113">
        <v>1</v>
      </c>
      <c r="AB628" s="23" t="s">
        <v>2560</v>
      </c>
      <c r="AD628" s="23" t="s">
        <v>279</v>
      </c>
      <c r="AF628" s="23" t="s">
        <v>2561</v>
      </c>
      <c r="AP628" s="73"/>
      <c r="AQ628" s="75"/>
      <c r="AR628" s="76"/>
      <c r="AS628" s="77"/>
      <c r="AV628" s="75"/>
      <c r="AW628" s="83"/>
      <c r="AX628" s="84"/>
      <c r="AY628" s="80"/>
      <c r="BB628" s="81"/>
    </row>
    <row r="629" spans="1:59" ht="15" customHeight="1">
      <c r="A629" s="23" t="s">
        <v>2937</v>
      </c>
      <c r="B629" s="23" t="s">
        <v>2839</v>
      </c>
      <c r="C629" s="23" t="s">
        <v>2360</v>
      </c>
      <c r="D629" s="24">
        <v>13</v>
      </c>
      <c r="E629" s="23">
        <v>1</v>
      </c>
      <c r="G629" s="23" t="s">
        <v>2562</v>
      </c>
      <c r="J629" s="23" t="s">
        <v>28</v>
      </c>
      <c r="K629" s="23" t="s">
        <v>26</v>
      </c>
      <c r="M629" s="23" t="s">
        <v>648</v>
      </c>
      <c r="AD629" s="23" t="s">
        <v>439</v>
      </c>
      <c r="AF629" s="23" t="s">
        <v>2563</v>
      </c>
      <c r="AP629" s="73"/>
      <c r="AQ629" s="75"/>
      <c r="AR629" s="76"/>
      <c r="AS629" s="77"/>
      <c r="AV629" s="75"/>
      <c r="AW629" s="83"/>
      <c r="AX629" s="84"/>
      <c r="AY629" s="80"/>
      <c r="BB629" s="81"/>
    </row>
    <row r="630" spans="1:59" ht="15" customHeight="1">
      <c r="A630" s="23" t="s">
        <v>2937</v>
      </c>
      <c r="B630" s="23" t="s">
        <v>2840</v>
      </c>
      <c r="C630" s="23" t="s">
        <v>2360</v>
      </c>
      <c r="D630" s="24">
        <v>14</v>
      </c>
      <c r="E630" s="23">
        <v>1</v>
      </c>
      <c r="G630" s="23" t="s">
        <v>2564</v>
      </c>
      <c r="H630" s="23" t="s">
        <v>2565</v>
      </c>
      <c r="J630" s="23" t="s">
        <v>257</v>
      </c>
      <c r="K630" s="23" t="s">
        <v>26</v>
      </c>
      <c r="N630" s="62">
        <v>2</v>
      </c>
      <c r="O630" s="63">
        <v>1</v>
      </c>
      <c r="P630" s="64">
        <v>1</v>
      </c>
      <c r="S630" s="113">
        <v>1</v>
      </c>
      <c r="AB630" s="23" t="s">
        <v>2566</v>
      </c>
      <c r="AD630" s="23" t="s">
        <v>2567</v>
      </c>
      <c r="AF630" s="23" t="s">
        <v>2568</v>
      </c>
      <c r="AP630" s="73"/>
      <c r="AQ630" s="75"/>
      <c r="AR630" s="76"/>
      <c r="AS630" s="77"/>
      <c r="AV630" s="75"/>
      <c r="AW630" s="83"/>
      <c r="AX630" s="84"/>
      <c r="AY630" s="80"/>
      <c r="BB630" s="81"/>
    </row>
    <row r="631" spans="1:59" ht="15" customHeight="1">
      <c r="A631" s="23" t="s">
        <v>2937</v>
      </c>
      <c r="B631" s="23" t="s">
        <v>2841</v>
      </c>
      <c r="C631" s="23" t="s">
        <v>2360</v>
      </c>
      <c r="D631" s="24">
        <v>15</v>
      </c>
      <c r="E631" s="23">
        <v>1</v>
      </c>
      <c r="G631" s="23" t="s">
        <v>2569</v>
      </c>
      <c r="J631" s="23" t="s">
        <v>28</v>
      </c>
      <c r="K631" s="23" t="s">
        <v>26</v>
      </c>
      <c r="M631" s="23" t="s">
        <v>648</v>
      </c>
      <c r="AD631" s="23" t="s">
        <v>262</v>
      </c>
      <c r="AF631" s="23" t="s">
        <v>2570</v>
      </c>
      <c r="AP631" s="73"/>
      <c r="AQ631" s="75"/>
      <c r="AR631" s="76"/>
      <c r="AS631" s="77"/>
      <c r="AV631" s="75"/>
      <c r="AW631" s="83"/>
      <c r="AX631" s="84"/>
      <c r="AY631" s="80"/>
      <c r="BB631" s="81"/>
    </row>
    <row r="632" spans="1:59" ht="15" customHeight="1">
      <c r="A632" s="23" t="s">
        <v>2937</v>
      </c>
      <c r="B632" s="23" t="s">
        <v>2842</v>
      </c>
      <c r="C632" s="23" t="s">
        <v>2360</v>
      </c>
      <c r="D632" s="24">
        <v>16</v>
      </c>
      <c r="E632" s="23">
        <v>1</v>
      </c>
      <c r="G632" s="23" t="s">
        <v>2571</v>
      </c>
      <c r="J632" s="23" t="s">
        <v>27</v>
      </c>
      <c r="K632" s="23" t="s">
        <v>26</v>
      </c>
      <c r="O632" s="63">
        <v>1</v>
      </c>
      <c r="Q632" s="65">
        <v>1</v>
      </c>
      <c r="S632" s="113">
        <v>1</v>
      </c>
      <c r="AA632" s="72">
        <v>1</v>
      </c>
      <c r="AB632" s="23" t="s">
        <v>2572</v>
      </c>
      <c r="AD632" s="23" t="s">
        <v>262</v>
      </c>
      <c r="AF632" s="23" t="s">
        <v>2573</v>
      </c>
      <c r="AP632" s="73"/>
      <c r="AQ632" s="75"/>
      <c r="AR632" s="76"/>
      <c r="AS632" s="77"/>
      <c r="AV632" s="75"/>
      <c r="AW632" s="83"/>
      <c r="AX632" s="84"/>
      <c r="AY632" s="80"/>
      <c r="BB632" s="81"/>
    </row>
    <row r="633" spans="1:59" ht="15" customHeight="1">
      <c r="A633" s="23" t="s">
        <v>2937</v>
      </c>
      <c r="B633" s="23" t="s">
        <v>2843</v>
      </c>
      <c r="C633" s="23" t="s">
        <v>2360</v>
      </c>
      <c r="D633" s="24">
        <v>17</v>
      </c>
      <c r="E633" s="23">
        <v>1</v>
      </c>
      <c r="G633" s="23" t="s">
        <v>2574</v>
      </c>
      <c r="J633" s="23" t="s">
        <v>29</v>
      </c>
      <c r="K633" s="23" t="s">
        <v>26</v>
      </c>
      <c r="M633" s="23" t="s">
        <v>648</v>
      </c>
      <c r="Q633" s="65">
        <v>3</v>
      </c>
      <c r="R633" s="66">
        <v>2</v>
      </c>
      <c r="T633" s="68">
        <v>3</v>
      </c>
      <c r="V633" s="69">
        <v>1</v>
      </c>
      <c r="W633" s="70">
        <v>1</v>
      </c>
      <c r="AD633" s="23" t="s">
        <v>460</v>
      </c>
      <c r="AF633" s="23" t="s">
        <v>2575</v>
      </c>
      <c r="AP633" s="73"/>
      <c r="AQ633" s="75"/>
      <c r="AR633" s="76"/>
      <c r="AS633" s="77"/>
      <c r="AV633" s="75"/>
      <c r="AW633" s="83"/>
      <c r="AX633" s="84"/>
      <c r="AY633" s="80"/>
      <c r="BB633" s="81"/>
    </row>
    <row r="634" spans="1:59" ht="15" customHeight="1">
      <c r="A634" s="23" t="s">
        <v>2937</v>
      </c>
      <c r="B634" s="23" t="s">
        <v>2844</v>
      </c>
      <c r="C634" s="23" t="s">
        <v>2360</v>
      </c>
      <c r="D634" s="24">
        <v>18</v>
      </c>
      <c r="E634" s="23">
        <v>2</v>
      </c>
      <c r="G634" s="23" t="s">
        <v>2576</v>
      </c>
      <c r="J634" s="23" t="s">
        <v>27</v>
      </c>
      <c r="K634" s="23" t="s">
        <v>26</v>
      </c>
      <c r="N634" s="62">
        <v>0</v>
      </c>
      <c r="S634" s="113">
        <v>2</v>
      </c>
      <c r="AB634" s="23" t="s">
        <v>1082</v>
      </c>
      <c r="AD634" s="23" t="s">
        <v>340</v>
      </c>
      <c r="AF634" s="23" t="s">
        <v>2577</v>
      </c>
      <c r="AP634" s="73"/>
      <c r="AQ634" s="75"/>
      <c r="AR634" s="76"/>
      <c r="AS634" s="77"/>
      <c r="AV634" s="75"/>
      <c r="AW634" s="83"/>
      <c r="AX634" s="84"/>
      <c r="AY634" s="80"/>
      <c r="BB634" s="81"/>
    </row>
    <row r="635" spans="1:59" ht="15" customHeight="1">
      <c r="A635" s="23" t="s">
        <v>2937</v>
      </c>
      <c r="B635" s="23" t="s">
        <v>2845</v>
      </c>
      <c r="C635" s="23" t="s">
        <v>2360</v>
      </c>
      <c r="D635" s="24">
        <v>19</v>
      </c>
      <c r="E635" s="23">
        <v>2</v>
      </c>
      <c r="G635" s="23" t="s">
        <v>2578</v>
      </c>
      <c r="J635" s="23" t="s">
        <v>28</v>
      </c>
      <c r="K635" s="23" t="s">
        <v>26</v>
      </c>
      <c r="M635" s="23" t="s">
        <v>648</v>
      </c>
      <c r="AD635" s="23" t="s">
        <v>284</v>
      </c>
      <c r="AF635" s="23" t="s">
        <v>2579</v>
      </c>
      <c r="AP635" s="73"/>
      <c r="AQ635" s="75"/>
      <c r="AR635" s="76"/>
      <c r="AS635" s="77"/>
      <c r="AV635" s="75"/>
      <c r="AW635" s="83"/>
      <c r="AX635" s="84"/>
      <c r="AY635" s="80"/>
      <c r="BB635" s="81"/>
    </row>
    <row r="636" spans="1:59" ht="15" customHeight="1">
      <c r="A636" s="23" t="s">
        <v>2937</v>
      </c>
      <c r="B636" s="23" t="s">
        <v>2846</v>
      </c>
      <c r="C636" s="23" t="s">
        <v>2360</v>
      </c>
      <c r="D636" s="24">
        <v>20</v>
      </c>
      <c r="E636" s="23">
        <v>2</v>
      </c>
      <c r="G636" s="23" t="s">
        <v>2580</v>
      </c>
      <c r="J636" s="23" t="s">
        <v>257</v>
      </c>
      <c r="K636" s="23" t="s">
        <v>198</v>
      </c>
      <c r="L636" s="23">
        <v>0</v>
      </c>
      <c r="N636" s="62">
        <v>3</v>
      </c>
      <c r="Q636" s="65">
        <v>1</v>
      </c>
      <c r="AB636" s="23" t="s">
        <v>206</v>
      </c>
      <c r="AC636" s="23" t="s">
        <v>258</v>
      </c>
      <c r="AD636" s="23" t="s">
        <v>259</v>
      </c>
      <c r="AF636" s="23" t="s">
        <v>2581</v>
      </c>
      <c r="AP636" s="73"/>
      <c r="AQ636" s="75"/>
      <c r="AR636" s="76"/>
      <c r="AS636" s="77"/>
      <c r="AV636" s="75"/>
      <c r="AW636" s="83"/>
      <c r="AX636" s="84"/>
      <c r="AY636" s="80"/>
      <c r="BB636" s="81"/>
    </row>
    <row r="637" spans="1:59" ht="15" customHeight="1">
      <c r="A637" s="23" t="s">
        <v>2937</v>
      </c>
      <c r="B637" s="23" t="s">
        <v>2847</v>
      </c>
      <c r="C637" s="23" t="s">
        <v>2360</v>
      </c>
      <c r="D637" s="24">
        <v>21</v>
      </c>
      <c r="E637" s="23">
        <v>2</v>
      </c>
      <c r="G637" s="23" t="s">
        <v>2582</v>
      </c>
      <c r="J637" s="23" t="s">
        <v>257</v>
      </c>
      <c r="K637" s="23" t="s">
        <v>198</v>
      </c>
      <c r="L637" s="23">
        <v>0</v>
      </c>
      <c r="N637" s="62">
        <v>3</v>
      </c>
      <c r="O637" s="63">
        <v>1</v>
      </c>
      <c r="T637" s="68">
        <v>3</v>
      </c>
      <c r="AB637" s="23" t="s">
        <v>204</v>
      </c>
      <c r="AD637" s="23" t="s">
        <v>289</v>
      </c>
      <c r="AF637" s="23" t="s">
        <v>2583</v>
      </c>
      <c r="AP637" s="73"/>
      <c r="AQ637" s="75"/>
      <c r="AR637" s="76"/>
      <c r="AS637" s="77"/>
      <c r="AV637" s="75"/>
      <c r="AW637" s="83"/>
      <c r="AX637" s="84"/>
      <c r="AY637" s="80"/>
      <c r="BB637" s="81"/>
    </row>
    <row r="638" spans="1:59" ht="15" customHeight="1">
      <c r="A638" s="23" t="s">
        <v>2937</v>
      </c>
      <c r="B638" s="23" t="s">
        <v>2848</v>
      </c>
      <c r="C638" s="23" t="s">
        <v>2360</v>
      </c>
      <c r="D638" s="24">
        <v>22</v>
      </c>
      <c r="E638" s="23">
        <v>2</v>
      </c>
      <c r="G638" s="23" t="s">
        <v>2584</v>
      </c>
      <c r="J638" s="23" t="s">
        <v>27</v>
      </c>
      <c r="K638" s="23" t="s">
        <v>198</v>
      </c>
      <c r="L638" s="23">
        <v>0</v>
      </c>
      <c r="N638" s="62">
        <v>0</v>
      </c>
      <c r="O638" s="63">
        <v>1</v>
      </c>
      <c r="Q638" s="65">
        <v>1</v>
      </c>
      <c r="AB638" s="23" t="s">
        <v>2179</v>
      </c>
      <c r="AD638" s="23" t="s">
        <v>1805</v>
      </c>
      <c r="AF638" s="23" t="s">
        <v>2585</v>
      </c>
      <c r="AP638" s="73"/>
      <c r="AQ638" s="75"/>
      <c r="AR638" s="76"/>
      <c r="AS638" s="77"/>
      <c r="AV638" s="75"/>
      <c r="AW638" s="83"/>
      <c r="AX638" s="84"/>
      <c r="AY638" s="80"/>
      <c r="BB638" s="81"/>
    </row>
    <row r="639" spans="1:59" ht="15" customHeight="1">
      <c r="A639" s="23" t="s">
        <v>2937</v>
      </c>
      <c r="B639" s="23" t="s">
        <v>2849</v>
      </c>
      <c r="C639" s="23" t="s">
        <v>2360</v>
      </c>
      <c r="D639" s="24">
        <v>23</v>
      </c>
      <c r="E639" s="23">
        <v>2</v>
      </c>
      <c r="G639" s="23" t="s">
        <v>2586</v>
      </c>
      <c r="J639" s="23" t="s">
        <v>27</v>
      </c>
      <c r="K639" s="23" t="s">
        <v>198</v>
      </c>
      <c r="L639" s="23">
        <v>1</v>
      </c>
      <c r="N639" s="62">
        <v>0</v>
      </c>
      <c r="P639" s="64">
        <v>2</v>
      </c>
      <c r="AB639" s="23" t="s">
        <v>1084</v>
      </c>
      <c r="AD639" s="23" t="s">
        <v>307</v>
      </c>
      <c r="AF639" s="23" t="s">
        <v>2587</v>
      </c>
      <c r="AP639" s="73"/>
      <c r="AQ639" s="75"/>
      <c r="AR639" s="76"/>
      <c r="AS639" s="77"/>
      <c r="AV639" s="75"/>
      <c r="AW639" s="83"/>
      <c r="AX639" s="84"/>
      <c r="AY639" s="80"/>
      <c r="BB639" s="81"/>
    </row>
    <row r="640" spans="1:59" ht="15" customHeight="1">
      <c r="A640" s="23" t="s">
        <v>2937</v>
      </c>
      <c r="B640" s="23" t="s">
        <v>2850</v>
      </c>
      <c r="C640" s="23" t="s">
        <v>2360</v>
      </c>
      <c r="D640" s="24">
        <v>24</v>
      </c>
      <c r="E640" s="23">
        <v>2</v>
      </c>
      <c r="G640" s="23" t="s">
        <v>2588</v>
      </c>
      <c r="J640" s="23" t="s">
        <v>257</v>
      </c>
      <c r="K640" s="23" t="s">
        <v>199</v>
      </c>
      <c r="L640" s="23">
        <v>0</v>
      </c>
      <c r="N640" s="62">
        <v>2</v>
      </c>
      <c r="R640" s="66">
        <v>1</v>
      </c>
      <c r="AB640" s="23" t="s">
        <v>207</v>
      </c>
      <c r="AD640" s="23" t="s">
        <v>289</v>
      </c>
      <c r="AF640" s="23" t="s">
        <v>2589</v>
      </c>
      <c r="AP640" s="73"/>
      <c r="AQ640" s="75"/>
      <c r="AR640" s="76"/>
      <c r="AS640" s="77"/>
      <c r="AV640" s="75"/>
      <c r="AW640" s="83"/>
      <c r="AX640" s="84"/>
      <c r="AY640" s="80"/>
      <c r="BB640" s="81"/>
    </row>
    <row r="641" spans="1:54" ht="15" customHeight="1">
      <c r="A641" s="23" t="s">
        <v>2937</v>
      </c>
      <c r="B641" s="23" t="s">
        <v>2851</v>
      </c>
      <c r="C641" s="23" t="s">
        <v>2360</v>
      </c>
      <c r="D641" s="24">
        <v>25</v>
      </c>
      <c r="E641" s="23">
        <v>2</v>
      </c>
      <c r="G641" s="23" t="s">
        <v>2590</v>
      </c>
      <c r="H641" s="23" t="s">
        <v>2591</v>
      </c>
      <c r="J641" s="23" t="s">
        <v>257</v>
      </c>
      <c r="K641" s="23" t="s">
        <v>199</v>
      </c>
      <c r="L641" s="23">
        <v>0</v>
      </c>
      <c r="N641" s="62">
        <v>0</v>
      </c>
      <c r="P641" s="64">
        <v>1</v>
      </c>
      <c r="AB641" s="23" t="s">
        <v>205</v>
      </c>
      <c r="AC641" s="23" t="s">
        <v>258</v>
      </c>
      <c r="AD641" s="23" t="s">
        <v>2592</v>
      </c>
      <c r="AF641" s="23" t="s">
        <v>2593</v>
      </c>
      <c r="AP641" s="73"/>
      <c r="AQ641" s="75"/>
      <c r="AR641" s="76"/>
      <c r="AS641" s="77"/>
      <c r="AV641" s="75"/>
      <c r="AW641" s="83"/>
      <c r="AX641" s="84"/>
      <c r="AY641" s="80"/>
      <c r="BB641" s="81"/>
    </row>
    <row r="642" spans="1:54" ht="15" customHeight="1">
      <c r="A642" s="23" t="s">
        <v>2937</v>
      </c>
      <c r="B642" s="23" t="s">
        <v>2852</v>
      </c>
      <c r="C642" s="23" t="s">
        <v>2360</v>
      </c>
      <c r="D642" s="24">
        <v>26</v>
      </c>
      <c r="E642" s="23">
        <v>2</v>
      </c>
      <c r="G642" s="23" t="s">
        <v>2594</v>
      </c>
      <c r="J642" s="23" t="s">
        <v>27</v>
      </c>
      <c r="K642" s="23" t="s">
        <v>199</v>
      </c>
      <c r="L642" s="23">
        <v>0</v>
      </c>
      <c r="N642" s="62">
        <v>2</v>
      </c>
      <c r="S642" s="113">
        <v>1</v>
      </c>
      <c r="AB642" s="23" t="s">
        <v>208</v>
      </c>
      <c r="AD642" s="23" t="s">
        <v>340</v>
      </c>
      <c r="AF642" s="23" t="s">
        <v>2595</v>
      </c>
      <c r="AP642" s="73"/>
      <c r="AQ642" s="75"/>
      <c r="AR642" s="76"/>
      <c r="AS642" s="77"/>
      <c r="AV642" s="75"/>
      <c r="AW642" s="83"/>
      <c r="AX642" s="84"/>
      <c r="AY642" s="80"/>
      <c r="BB642" s="81"/>
    </row>
    <row r="643" spans="1:54" ht="15" customHeight="1">
      <c r="A643" s="23" t="s">
        <v>2937</v>
      </c>
      <c r="B643" s="23" t="s">
        <v>2853</v>
      </c>
      <c r="C643" s="23" t="s">
        <v>2360</v>
      </c>
      <c r="D643" s="24">
        <v>27</v>
      </c>
      <c r="E643" s="23">
        <v>2</v>
      </c>
      <c r="G643" s="23" t="s">
        <v>2596</v>
      </c>
      <c r="J643" s="23" t="s">
        <v>257</v>
      </c>
      <c r="K643" s="23" t="s">
        <v>199</v>
      </c>
      <c r="L643" s="23">
        <v>1</v>
      </c>
      <c r="N643" s="62">
        <v>3</v>
      </c>
      <c r="P643" s="64">
        <v>1</v>
      </c>
      <c r="AB643" s="23" t="s">
        <v>205</v>
      </c>
      <c r="AD643" s="23" t="s">
        <v>289</v>
      </c>
      <c r="AF643" s="23" t="s">
        <v>2597</v>
      </c>
      <c r="AP643" s="73"/>
      <c r="AQ643" s="75"/>
      <c r="AR643" s="76"/>
      <c r="AS643" s="77"/>
      <c r="AV643" s="75"/>
      <c r="AW643" s="83"/>
      <c r="AX643" s="84"/>
      <c r="AY643" s="80"/>
      <c r="BB643" s="81"/>
    </row>
    <row r="644" spans="1:54" ht="15" customHeight="1">
      <c r="A644" s="23" t="s">
        <v>2937</v>
      </c>
      <c r="B644" s="23" t="s">
        <v>2854</v>
      </c>
      <c r="C644" s="23" t="s">
        <v>2360</v>
      </c>
      <c r="D644" s="24">
        <v>28</v>
      </c>
      <c r="E644" s="23">
        <v>2</v>
      </c>
      <c r="G644" s="23" t="s">
        <v>2598</v>
      </c>
      <c r="J644" s="23" t="s">
        <v>257</v>
      </c>
      <c r="K644" s="23" t="s">
        <v>201</v>
      </c>
      <c r="L644" s="23">
        <v>0</v>
      </c>
      <c r="N644" s="62">
        <v>2</v>
      </c>
      <c r="R644" s="66">
        <v>1</v>
      </c>
      <c r="AB644" s="23" t="s">
        <v>207</v>
      </c>
      <c r="AD644" s="23" t="s">
        <v>289</v>
      </c>
      <c r="AF644" s="23" t="s">
        <v>2599</v>
      </c>
      <c r="AP644" s="73"/>
      <c r="AQ644" s="75"/>
      <c r="AR644" s="76"/>
      <c r="AS644" s="77"/>
      <c r="AV644" s="75"/>
      <c r="AW644" s="83"/>
      <c r="AX644" s="84"/>
      <c r="AY644" s="80"/>
      <c r="BB644" s="81"/>
    </row>
    <row r="645" spans="1:54" ht="15" customHeight="1">
      <c r="A645" s="23" t="s">
        <v>2937</v>
      </c>
      <c r="B645" s="23" t="s">
        <v>2855</v>
      </c>
      <c r="C645" s="23" t="s">
        <v>2360</v>
      </c>
      <c r="D645" s="24">
        <v>29</v>
      </c>
      <c r="E645" s="23">
        <v>2</v>
      </c>
      <c r="G645" s="23" t="s">
        <v>2600</v>
      </c>
      <c r="J645" s="23" t="s">
        <v>27</v>
      </c>
      <c r="K645" s="23" t="s">
        <v>201</v>
      </c>
      <c r="L645" s="23">
        <v>0</v>
      </c>
      <c r="N645" s="62">
        <v>1</v>
      </c>
      <c r="P645" s="64">
        <v>1</v>
      </c>
      <c r="R645" s="66">
        <v>1</v>
      </c>
      <c r="AB645" s="23" t="s">
        <v>2315</v>
      </c>
      <c r="AD645" s="23" t="s">
        <v>1412</v>
      </c>
      <c r="AF645" s="23" t="s">
        <v>2601</v>
      </c>
      <c r="AP645" s="73"/>
      <c r="AQ645" s="75"/>
      <c r="AR645" s="76"/>
      <c r="AS645" s="77"/>
      <c r="AV645" s="75"/>
      <c r="AW645" s="83"/>
      <c r="AX645" s="84"/>
      <c r="AY645" s="80"/>
      <c r="BB645" s="81"/>
    </row>
    <row r="646" spans="1:54" ht="15" customHeight="1">
      <c r="A646" s="23" t="s">
        <v>2937</v>
      </c>
      <c r="B646" s="23" t="s">
        <v>2856</v>
      </c>
      <c r="C646" s="23" t="s">
        <v>2360</v>
      </c>
      <c r="D646" s="24">
        <v>30</v>
      </c>
      <c r="E646" s="23">
        <v>2</v>
      </c>
      <c r="G646" s="23" t="s">
        <v>2602</v>
      </c>
      <c r="J646" s="23" t="s">
        <v>27</v>
      </c>
      <c r="K646" s="23" t="s">
        <v>201</v>
      </c>
      <c r="L646" s="23">
        <v>0</v>
      </c>
      <c r="N646" s="62">
        <v>0</v>
      </c>
      <c r="S646" s="113">
        <v>1</v>
      </c>
      <c r="AB646" s="23" t="s">
        <v>208</v>
      </c>
      <c r="AD646" s="23" t="s">
        <v>2603</v>
      </c>
      <c r="AF646" s="23" t="s">
        <v>2604</v>
      </c>
      <c r="AP646" s="73"/>
      <c r="AQ646" s="75"/>
      <c r="AR646" s="76"/>
      <c r="AS646" s="77"/>
      <c r="AV646" s="75"/>
      <c r="AW646" s="83"/>
      <c r="AX646" s="84"/>
      <c r="AY646" s="80"/>
      <c r="BB646" s="81"/>
    </row>
    <row r="647" spans="1:54" ht="15" customHeight="1">
      <c r="A647" s="23" t="s">
        <v>2937</v>
      </c>
      <c r="B647" s="23" t="s">
        <v>2857</v>
      </c>
      <c r="C647" s="23" t="s">
        <v>2360</v>
      </c>
      <c r="D647" s="24">
        <v>31</v>
      </c>
      <c r="E647" s="23">
        <v>2</v>
      </c>
      <c r="G647" s="23" t="s">
        <v>2605</v>
      </c>
      <c r="J647" s="23" t="s">
        <v>257</v>
      </c>
      <c r="K647" s="23" t="s">
        <v>201</v>
      </c>
      <c r="L647" s="23">
        <v>1</v>
      </c>
      <c r="N647" s="62">
        <v>3</v>
      </c>
      <c r="P647" s="64">
        <v>1</v>
      </c>
      <c r="AB647" s="23" t="s">
        <v>205</v>
      </c>
      <c r="AC647" s="23" t="s">
        <v>258</v>
      </c>
      <c r="AD647" s="23" t="s">
        <v>2606</v>
      </c>
      <c r="AF647" s="23" t="s">
        <v>2607</v>
      </c>
      <c r="AP647" s="73"/>
      <c r="AQ647" s="75"/>
      <c r="AR647" s="76"/>
      <c r="AS647" s="77"/>
      <c r="AV647" s="75"/>
      <c r="AW647" s="83"/>
      <c r="AX647" s="84"/>
      <c r="AY647" s="80"/>
      <c r="BB647" s="81"/>
    </row>
    <row r="648" spans="1:54" ht="15" customHeight="1">
      <c r="A648" s="23" t="s">
        <v>2937</v>
      </c>
      <c r="B648" s="23" t="s">
        <v>2858</v>
      </c>
      <c r="C648" s="23" t="s">
        <v>2360</v>
      </c>
      <c r="D648" s="24">
        <v>32</v>
      </c>
      <c r="E648" s="23">
        <v>2</v>
      </c>
      <c r="G648" s="23" t="s">
        <v>2608</v>
      </c>
      <c r="J648" s="23" t="s">
        <v>257</v>
      </c>
      <c r="K648" s="23" t="s">
        <v>200</v>
      </c>
      <c r="L648" s="23">
        <v>0</v>
      </c>
      <c r="N648" s="62">
        <v>1</v>
      </c>
      <c r="O648" s="63">
        <v>1</v>
      </c>
      <c r="AB648" s="23" t="s">
        <v>204</v>
      </c>
      <c r="AC648" s="23" t="s">
        <v>378</v>
      </c>
      <c r="AD648" s="23" t="s">
        <v>279</v>
      </c>
      <c r="AF648" s="23" t="s">
        <v>2609</v>
      </c>
      <c r="AP648" s="73"/>
      <c r="AQ648" s="75"/>
      <c r="AR648" s="76"/>
      <c r="AS648" s="77"/>
      <c r="AV648" s="75"/>
      <c r="AW648" s="83"/>
      <c r="AX648" s="84"/>
      <c r="AY648" s="80"/>
      <c r="BB648" s="81"/>
    </row>
    <row r="649" spans="1:54" ht="15" customHeight="1">
      <c r="A649" s="23" t="s">
        <v>2937</v>
      </c>
      <c r="B649" s="23" t="s">
        <v>2859</v>
      </c>
      <c r="C649" s="23" t="s">
        <v>2360</v>
      </c>
      <c r="D649" s="24">
        <v>33</v>
      </c>
      <c r="E649" s="23">
        <v>2</v>
      </c>
      <c r="G649" s="23" t="s">
        <v>2610</v>
      </c>
      <c r="J649" s="23" t="s">
        <v>27</v>
      </c>
      <c r="K649" s="23" t="s">
        <v>200</v>
      </c>
      <c r="L649" s="23">
        <v>0</v>
      </c>
      <c r="N649" s="62">
        <v>0</v>
      </c>
      <c r="O649" s="63">
        <v>2</v>
      </c>
      <c r="AB649" s="23" t="s">
        <v>1094</v>
      </c>
      <c r="AD649" s="23" t="s">
        <v>1805</v>
      </c>
      <c r="AF649" s="23" t="s">
        <v>2611</v>
      </c>
      <c r="AP649" s="73"/>
      <c r="AQ649" s="75"/>
      <c r="AR649" s="76"/>
      <c r="AS649" s="77"/>
      <c r="AV649" s="75"/>
      <c r="AW649" s="83"/>
      <c r="AX649" s="84"/>
      <c r="AY649" s="80"/>
      <c r="BB649" s="81"/>
    </row>
    <row r="650" spans="1:54" ht="15" customHeight="1">
      <c r="A650" s="23" t="s">
        <v>2937</v>
      </c>
      <c r="B650" s="23" t="s">
        <v>2860</v>
      </c>
      <c r="C650" s="23" t="s">
        <v>2360</v>
      </c>
      <c r="D650" s="24">
        <v>34</v>
      </c>
      <c r="E650" s="23">
        <v>2</v>
      </c>
      <c r="G650" s="23" t="s">
        <v>2612</v>
      </c>
      <c r="J650" s="23" t="s">
        <v>27</v>
      </c>
      <c r="K650" s="23" t="s">
        <v>200</v>
      </c>
      <c r="L650" s="23">
        <v>0</v>
      </c>
      <c r="N650" s="62">
        <v>3</v>
      </c>
      <c r="O650" s="63">
        <v>1</v>
      </c>
      <c r="R650" s="66">
        <v>1</v>
      </c>
      <c r="AB650" s="23" t="s">
        <v>2188</v>
      </c>
      <c r="AD650" s="23" t="s">
        <v>279</v>
      </c>
      <c r="AF650" s="23" t="s">
        <v>2613</v>
      </c>
      <c r="AP650" s="73"/>
      <c r="AQ650" s="75"/>
      <c r="AR650" s="76"/>
      <c r="AS650" s="77"/>
      <c r="AV650" s="75"/>
      <c r="AW650" s="83"/>
      <c r="AX650" s="84"/>
      <c r="AY650" s="80"/>
      <c r="BB650" s="81"/>
    </row>
    <row r="651" spans="1:54" ht="15" customHeight="1">
      <c r="A651" s="23" t="s">
        <v>2937</v>
      </c>
      <c r="B651" s="23" t="s">
        <v>2861</v>
      </c>
      <c r="C651" s="23" t="s">
        <v>2360</v>
      </c>
      <c r="D651" s="24">
        <v>35</v>
      </c>
      <c r="E651" s="23">
        <v>2</v>
      </c>
      <c r="G651" s="23" t="s">
        <v>2614</v>
      </c>
      <c r="J651" s="23" t="s">
        <v>257</v>
      </c>
      <c r="K651" s="23" t="s">
        <v>200</v>
      </c>
      <c r="L651" s="23">
        <v>1</v>
      </c>
      <c r="N651" s="62">
        <v>3</v>
      </c>
      <c r="Q651" s="65">
        <v>1</v>
      </c>
      <c r="AB651" s="23" t="s">
        <v>206</v>
      </c>
      <c r="AC651" s="23" t="s">
        <v>258</v>
      </c>
      <c r="AD651" s="23" t="s">
        <v>2615</v>
      </c>
      <c r="AF651" s="23" t="s">
        <v>2616</v>
      </c>
      <c r="AP651" s="73"/>
      <c r="AQ651" s="75"/>
      <c r="AR651" s="76"/>
      <c r="AS651" s="77"/>
      <c r="AV651" s="75"/>
      <c r="AW651" s="83"/>
      <c r="AX651" s="84"/>
      <c r="AY651" s="80"/>
      <c r="BB651" s="81"/>
    </row>
    <row r="652" spans="1:54" ht="15" customHeight="1">
      <c r="A652" s="23" t="s">
        <v>2937</v>
      </c>
      <c r="B652" s="23" t="s">
        <v>2862</v>
      </c>
      <c r="C652" s="23" t="s">
        <v>2360</v>
      </c>
      <c r="D652" s="24">
        <v>36</v>
      </c>
      <c r="E652" s="23">
        <v>2</v>
      </c>
      <c r="G652" s="23" t="s">
        <v>2617</v>
      </c>
      <c r="J652" s="23" t="s">
        <v>257</v>
      </c>
      <c r="K652" s="23" t="s">
        <v>202</v>
      </c>
      <c r="L652" s="23">
        <v>0</v>
      </c>
      <c r="N652" s="62">
        <v>2</v>
      </c>
      <c r="P652" s="64">
        <v>1</v>
      </c>
      <c r="AB652" s="23" t="s">
        <v>205</v>
      </c>
      <c r="AC652" s="23" t="s">
        <v>258</v>
      </c>
      <c r="AD652" s="23" t="s">
        <v>325</v>
      </c>
      <c r="AF652" s="23" t="s">
        <v>2618</v>
      </c>
      <c r="AP652" s="73"/>
      <c r="AQ652" s="75"/>
      <c r="AR652" s="76"/>
      <c r="AS652" s="77"/>
      <c r="AV652" s="75"/>
      <c r="AW652" s="83"/>
      <c r="AX652" s="84"/>
      <c r="AY652" s="80"/>
      <c r="BB652" s="81"/>
    </row>
    <row r="653" spans="1:54" ht="15" customHeight="1">
      <c r="A653" s="23" t="s">
        <v>2937</v>
      </c>
      <c r="B653" s="23" t="s">
        <v>2863</v>
      </c>
      <c r="C653" s="23" t="s">
        <v>2360</v>
      </c>
      <c r="D653" s="24">
        <v>37</v>
      </c>
      <c r="E653" s="23">
        <v>2</v>
      </c>
      <c r="G653" s="23" t="s">
        <v>2619</v>
      </c>
      <c r="J653" s="23" t="s">
        <v>257</v>
      </c>
      <c r="K653" s="23" t="s">
        <v>202</v>
      </c>
      <c r="L653" s="23">
        <v>0</v>
      </c>
      <c r="N653" s="62">
        <v>2</v>
      </c>
      <c r="Q653" s="65">
        <v>1</v>
      </c>
      <c r="AB653" s="23" t="s">
        <v>206</v>
      </c>
      <c r="AC653" s="23" t="s">
        <v>258</v>
      </c>
      <c r="AD653" s="23" t="s">
        <v>2620</v>
      </c>
      <c r="AF653" s="23" t="s">
        <v>2621</v>
      </c>
      <c r="AP653" s="73"/>
      <c r="AQ653" s="75"/>
      <c r="AR653" s="76"/>
      <c r="AS653" s="77"/>
      <c r="AV653" s="75"/>
      <c r="AW653" s="83"/>
      <c r="AX653" s="84"/>
      <c r="AY653" s="80"/>
      <c r="BB653" s="81"/>
    </row>
    <row r="654" spans="1:54" ht="15" customHeight="1">
      <c r="A654" s="23" t="s">
        <v>2937</v>
      </c>
      <c r="B654" s="23" t="s">
        <v>2864</v>
      </c>
      <c r="C654" s="23" t="s">
        <v>2360</v>
      </c>
      <c r="D654" s="24">
        <v>38</v>
      </c>
      <c r="E654" s="23">
        <v>2</v>
      </c>
      <c r="G654" s="23" t="s">
        <v>2622</v>
      </c>
      <c r="J654" s="23" t="s">
        <v>27</v>
      </c>
      <c r="K654" s="23" t="s">
        <v>202</v>
      </c>
      <c r="L654" s="23">
        <v>0</v>
      </c>
      <c r="N654" s="62">
        <v>1</v>
      </c>
      <c r="R654" s="66">
        <v>2</v>
      </c>
      <c r="AB654" s="23" t="s">
        <v>1095</v>
      </c>
      <c r="AD654" s="23" t="s">
        <v>2623</v>
      </c>
      <c r="AF654" s="23" t="s">
        <v>2624</v>
      </c>
      <c r="AP654" s="73"/>
      <c r="AQ654" s="75"/>
      <c r="AR654" s="76"/>
      <c r="AS654" s="77"/>
      <c r="AV654" s="75"/>
      <c r="AW654" s="83"/>
      <c r="AX654" s="84"/>
      <c r="AY654" s="80"/>
      <c r="BB654" s="81"/>
    </row>
    <row r="655" spans="1:54" ht="15" customHeight="1">
      <c r="A655" s="23" t="s">
        <v>2937</v>
      </c>
      <c r="B655" s="23" t="s">
        <v>2865</v>
      </c>
      <c r="C655" s="23" t="s">
        <v>2360</v>
      </c>
      <c r="D655" s="24">
        <v>39</v>
      </c>
      <c r="E655" s="23">
        <v>2</v>
      </c>
      <c r="G655" s="23" t="s">
        <v>2625</v>
      </c>
      <c r="J655" s="23" t="s">
        <v>312</v>
      </c>
      <c r="K655" s="23" t="s">
        <v>202</v>
      </c>
      <c r="L655" s="23">
        <v>0</v>
      </c>
      <c r="P655" s="64">
        <v>1</v>
      </c>
      <c r="Q655" s="65">
        <v>1</v>
      </c>
      <c r="R655" s="66">
        <v>1</v>
      </c>
      <c r="AB655" s="23" t="s">
        <v>2626</v>
      </c>
      <c r="AD655" s="23" t="s">
        <v>412</v>
      </c>
      <c r="AF655" s="23" t="s">
        <v>2627</v>
      </c>
      <c r="AP655" s="73"/>
      <c r="AQ655" s="75"/>
      <c r="AR655" s="76"/>
      <c r="AS655" s="77"/>
      <c r="AV655" s="75"/>
      <c r="AW655" s="83"/>
      <c r="AX655" s="84"/>
      <c r="AY655" s="80"/>
      <c r="BB655" s="81"/>
    </row>
    <row r="656" spans="1:54" ht="15" customHeight="1">
      <c r="A656" s="23" t="s">
        <v>2937</v>
      </c>
      <c r="B656" s="23" t="s">
        <v>2866</v>
      </c>
      <c r="C656" s="23" t="s">
        <v>2360</v>
      </c>
      <c r="D656" s="24">
        <v>40</v>
      </c>
      <c r="E656" s="23">
        <v>2</v>
      </c>
      <c r="G656" s="23" t="s">
        <v>2628</v>
      </c>
      <c r="J656" s="23" t="s">
        <v>28</v>
      </c>
      <c r="K656" s="23" t="s">
        <v>26</v>
      </c>
      <c r="M656" s="23" t="s">
        <v>691</v>
      </c>
      <c r="AD656" s="23" t="s">
        <v>1449</v>
      </c>
      <c r="AF656" s="23" t="s">
        <v>2629</v>
      </c>
      <c r="AP656" s="73"/>
      <c r="AQ656" s="75"/>
      <c r="AR656" s="76"/>
      <c r="AS656" s="77"/>
      <c r="AV656" s="75"/>
      <c r="AW656" s="83"/>
      <c r="AX656" s="84"/>
      <c r="AY656" s="80"/>
      <c r="BB656" s="81"/>
    </row>
    <row r="657" spans="1:59" ht="15" customHeight="1">
      <c r="A657" s="23" t="s">
        <v>2937</v>
      </c>
      <c r="B657" s="23" t="s">
        <v>2867</v>
      </c>
      <c r="C657" s="23" t="s">
        <v>2360</v>
      </c>
      <c r="D657" s="24">
        <v>41</v>
      </c>
      <c r="E657" s="23">
        <v>1</v>
      </c>
      <c r="G657" s="23" t="s">
        <v>2630</v>
      </c>
      <c r="J657" s="23" t="s">
        <v>28</v>
      </c>
      <c r="K657" s="23" t="s">
        <v>26</v>
      </c>
      <c r="M657" s="23" t="s">
        <v>691</v>
      </c>
      <c r="AD657" s="23" t="s">
        <v>2631</v>
      </c>
      <c r="AF657" s="23" t="s">
        <v>2632</v>
      </c>
      <c r="AP657" s="73"/>
      <c r="AQ657" s="75"/>
      <c r="AR657" s="76"/>
      <c r="AS657" s="77"/>
      <c r="AV657" s="75"/>
      <c r="AW657" s="83"/>
      <c r="AX657" s="84"/>
      <c r="AY657" s="80"/>
      <c r="BB657" s="81"/>
    </row>
    <row r="658" spans="1:59" ht="15" customHeight="1">
      <c r="A658" s="23" t="s">
        <v>2937</v>
      </c>
      <c r="B658" s="23" t="s">
        <v>2868</v>
      </c>
      <c r="C658" s="23" t="s">
        <v>2360</v>
      </c>
      <c r="D658" s="24">
        <v>42</v>
      </c>
      <c r="E658" s="23">
        <v>1</v>
      </c>
      <c r="G658" s="23" t="s">
        <v>2633</v>
      </c>
      <c r="I658" s="23" t="s">
        <v>223</v>
      </c>
      <c r="J658" s="23" t="s">
        <v>29</v>
      </c>
      <c r="K658" s="23" t="s">
        <v>26</v>
      </c>
      <c r="M658" s="23" t="s">
        <v>691</v>
      </c>
      <c r="Q658" s="65">
        <v>3</v>
      </c>
      <c r="R658" s="66">
        <v>3</v>
      </c>
      <c r="T658" s="68">
        <v>2</v>
      </c>
      <c r="V658" s="69">
        <v>1</v>
      </c>
      <c r="W658" s="70">
        <v>1</v>
      </c>
      <c r="AD658" s="23" t="s">
        <v>2634</v>
      </c>
      <c r="AF658" s="23" t="s">
        <v>2635</v>
      </c>
      <c r="AP658" s="73"/>
      <c r="AQ658" s="75"/>
      <c r="AR658" s="76"/>
      <c r="AS658" s="77"/>
      <c r="AV658" s="75"/>
      <c r="AW658" s="83"/>
      <c r="AX658" s="84"/>
      <c r="AY658" s="80"/>
      <c r="BB658" s="81"/>
    </row>
    <row r="659" spans="1:59" ht="15" customHeight="1">
      <c r="A659" s="23" t="s">
        <v>2937</v>
      </c>
      <c r="B659" s="23" t="s">
        <v>2869</v>
      </c>
      <c r="C659" s="23" t="s">
        <v>2360</v>
      </c>
      <c r="D659" s="24">
        <v>43</v>
      </c>
      <c r="E659" s="23">
        <v>1</v>
      </c>
      <c r="F659" s="23" t="s">
        <v>2636</v>
      </c>
      <c r="G659" s="23" t="s">
        <v>2636</v>
      </c>
      <c r="H659" s="33" t="s">
        <v>709</v>
      </c>
      <c r="J659" s="23" t="s">
        <v>618</v>
      </c>
      <c r="AF659" s="23" t="s">
        <v>2637</v>
      </c>
      <c r="AI659" s="23" t="s">
        <v>2636</v>
      </c>
      <c r="AJ659" s="23" t="s">
        <v>710</v>
      </c>
      <c r="AL659" s="23" t="s">
        <v>618</v>
      </c>
      <c r="AM659" s="23" t="s">
        <v>2426</v>
      </c>
      <c r="AP659" s="73"/>
      <c r="AQ659" s="75"/>
      <c r="AR659" s="76"/>
      <c r="AS659" s="77"/>
      <c r="AV659" s="75"/>
      <c r="AW659" s="83"/>
      <c r="AX659" s="84"/>
      <c r="AY659" s="80"/>
      <c r="BB659" s="81"/>
      <c r="BG659" s="23" t="s">
        <v>2638</v>
      </c>
    </row>
    <row r="660" spans="1:59" ht="15" customHeight="1">
      <c r="A660" s="23" t="s">
        <v>2937</v>
      </c>
      <c r="B660" s="23" t="s">
        <v>2870</v>
      </c>
      <c r="C660" s="23" t="s">
        <v>2360</v>
      </c>
      <c r="D660" s="24">
        <v>44</v>
      </c>
      <c r="E660" s="23">
        <v>1</v>
      </c>
      <c r="F660" s="23" t="s">
        <v>2636</v>
      </c>
      <c r="G660" s="23" t="s">
        <v>2639</v>
      </c>
      <c r="J660" s="23" t="s">
        <v>619</v>
      </c>
      <c r="L660" s="23">
        <v>1</v>
      </c>
      <c r="Z660" s="68">
        <v>6</v>
      </c>
      <c r="AI660" s="23" t="s">
        <v>2640</v>
      </c>
      <c r="AL660" s="23" t="s">
        <v>619</v>
      </c>
      <c r="AM660" s="23" t="s">
        <v>2426</v>
      </c>
      <c r="AN660" s="23">
        <v>1</v>
      </c>
      <c r="AP660" s="73"/>
      <c r="AQ660" s="75"/>
      <c r="AR660" s="76"/>
      <c r="AS660" s="77"/>
      <c r="AV660" s="75"/>
      <c r="AW660" s="83"/>
      <c r="AX660" s="84"/>
      <c r="AY660" s="80"/>
      <c r="BB660" s="81"/>
      <c r="BG660" s="23" t="s">
        <v>2641</v>
      </c>
    </row>
    <row r="661" spans="1:59" ht="15" customHeight="1">
      <c r="A661" s="23" t="s">
        <v>2937</v>
      </c>
      <c r="B661" s="23" t="s">
        <v>2871</v>
      </c>
      <c r="C661" s="23" t="s">
        <v>2360</v>
      </c>
      <c r="D661" s="24">
        <v>45</v>
      </c>
      <c r="E661" s="23">
        <v>1</v>
      </c>
      <c r="F661" s="23" t="s">
        <v>2636</v>
      </c>
      <c r="G661" s="23" t="s">
        <v>2642</v>
      </c>
      <c r="J661" s="23" t="s">
        <v>619</v>
      </c>
      <c r="L661" s="23">
        <v>2</v>
      </c>
      <c r="Z661" s="68">
        <v>6</v>
      </c>
      <c r="AF661" s="23" t="s">
        <v>2643</v>
      </c>
      <c r="AI661" s="23" t="s">
        <v>2644</v>
      </c>
      <c r="AL661" s="23" t="s">
        <v>619</v>
      </c>
      <c r="AM661" s="23" t="s">
        <v>2426</v>
      </c>
      <c r="AN661" s="23">
        <v>2</v>
      </c>
      <c r="AP661" s="73"/>
      <c r="AQ661" s="75"/>
      <c r="AR661" s="76"/>
      <c r="AS661" s="77"/>
      <c r="AV661" s="75"/>
      <c r="AW661" s="83"/>
      <c r="AX661" s="84"/>
      <c r="AY661" s="80"/>
      <c r="BB661" s="81"/>
      <c r="BG661" s="23" t="s">
        <v>2645</v>
      </c>
    </row>
    <row r="662" spans="1:59" ht="15" customHeight="1">
      <c r="A662" s="23" t="s">
        <v>2937</v>
      </c>
      <c r="B662" s="23" t="s">
        <v>2872</v>
      </c>
      <c r="C662" s="23" t="s">
        <v>2360</v>
      </c>
      <c r="D662" s="24">
        <v>46</v>
      </c>
      <c r="E662" s="23">
        <v>1</v>
      </c>
      <c r="F662" s="23" t="s">
        <v>2636</v>
      </c>
      <c r="G662" s="23" t="s">
        <v>2646</v>
      </c>
      <c r="J662" s="23" t="s">
        <v>621</v>
      </c>
      <c r="L662" s="23">
        <v>1</v>
      </c>
      <c r="Y662" s="66" t="s">
        <v>1112</v>
      </c>
      <c r="AI662" s="23" t="s">
        <v>2647</v>
      </c>
      <c r="AL662" s="23" t="s">
        <v>621</v>
      </c>
      <c r="AM662" s="23" t="s">
        <v>2426</v>
      </c>
      <c r="AN662" s="23">
        <v>1</v>
      </c>
      <c r="AP662" s="73"/>
      <c r="AQ662" s="75"/>
      <c r="AR662" s="76"/>
      <c r="AS662" s="77"/>
      <c r="AV662" s="75"/>
      <c r="AW662" s="83"/>
      <c r="AX662" s="84"/>
      <c r="AY662" s="80"/>
      <c r="BB662" s="81"/>
      <c r="BG662" s="23" t="s">
        <v>2648</v>
      </c>
    </row>
    <row r="663" spans="1:59" ht="15" customHeight="1">
      <c r="A663" s="23" t="s">
        <v>2937</v>
      </c>
      <c r="B663" s="23" t="s">
        <v>2873</v>
      </c>
      <c r="C663" s="23" t="s">
        <v>2360</v>
      </c>
      <c r="D663" s="24">
        <v>47</v>
      </c>
      <c r="E663" s="23">
        <v>1</v>
      </c>
      <c r="F663" s="23" t="s">
        <v>2636</v>
      </c>
      <c r="G663" s="23" t="s">
        <v>2649</v>
      </c>
      <c r="J663" s="23" t="s">
        <v>621</v>
      </c>
      <c r="L663" s="23">
        <v>2</v>
      </c>
      <c r="Y663" s="66" t="s">
        <v>38</v>
      </c>
      <c r="AF663" s="23" t="s">
        <v>2650</v>
      </c>
      <c r="AI663" s="23" t="s">
        <v>2651</v>
      </c>
      <c r="AL663" s="23" t="s">
        <v>621</v>
      </c>
      <c r="AM663" s="23" t="s">
        <v>2426</v>
      </c>
      <c r="AN663" s="23">
        <v>2</v>
      </c>
      <c r="AP663" s="73"/>
      <c r="AQ663" s="75"/>
      <c r="AR663" s="76"/>
      <c r="AS663" s="77"/>
      <c r="AV663" s="75"/>
      <c r="AW663" s="83"/>
      <c r="AX663" s="84"/>
      <c r="AY663" s="80"/>
      <c r="BB663" s="81"/>
      <c r="BG663" s="23" t="s">
        <v>2652</v>
      </c>
    </row>
    <row r="664" spans="1:59" ht="15" customHeight="1">
      <c r="A664" s="23" t="s">
        <v>2937</v>
      </c>
      <c r="B664" s="23" t="s">
        <v>2874</v>
      </c>
      <c r="C664" s="23" t="s">
        <v>2360</v>
      </c>
      <c r="D664" s="24">
        <v>47</v>
      </c>
      <c r="E664" s="23">
        <v>1</v>
      </c>
      <c r="F664" s="23" t="s">
        <v>2636</v>
      </c>
      <c r="G664" s="23" t="s">
        <v>2649</v>
      </c>
      <c r="J664" s="23" t="s">
        <v>621</v>
      </c>
      <c r="L664" s="23">
        <v>2</v>
      </c>
      <c r="AF664" s="23" t="s">
        <v>2650</v>
      </c>
      <c r="AI664" s="23" t="s">
        <v>2653</v>
      </c>
      <c r="AL664" s="23" t="s">
        <v>621</v>
      </c>
      <c r="AM664" s="23" t="s">
        <v>2426</v>
      </c>
      <c r="AN664" s="23">
        <v>2</v>
      </c>
      <c r="AP664" s="73"/>
      <c r="AQ664" s="75"/>
      <c r="AR664" s="76"/>
      <c r="AS664" s="77"/>
      <c r="AV664" s="75"/>
      <c r="AW664" s="83"/>
      <c r="AX664" s="84"/>
      <c r="AY664" s="80"/>
      <c r="BB664" s="81"/>
      <c r="BG664" s="23" t="s">
        <v>2654</v>
      </c>
    </row>
    <row r="665" spans="1:59" ht="15" customHeight="1">
      <c r="A665" s="23" t="s">
        <v>2937</v>
      </c>
      <c r="B665" s="23" t="s">
        <v>2875</v>
      </c>
      <c r="C665" s="23" t="s">
        <v>2360</v>
      </c>
      <c r="D665" s="24">
        <v>47</v>
      </c>
      <c r="E665" s="23">
        <v>1</v>
      </c>
      <c r="F665" s="23" t="s">
        <v>2636</v>
      </c>
      <c r="G665" s="23" t="s">
        <v>2649</v>
      </c>
      <c r="J665" s="23" t="s">
        <v>621</v>
      </c>
      <c r="L665" s="23">
        <v>2</v>
      </c>
      <c r="AF665" s="23" t="s">
        <v>2650</v>
      </c>
      <c r="AI665" s="23" t="s">
        <v>2655</v>
      </c>
      <c r="AL665" s="23" t="s">
        <v>621</v>
      </c>
      <c r="AM665" s="23" t="s">
        <v>2426</v>
      </c>
      <c r="AN665" s="23">
        <v>2</v>
      </c>
      <c r="AP665" s="73"/>
      <c r="AQ665" s="75"/>
      <c r="AR665" s="76"/>
      <c r="AS665" s="77"/>
      <c r="AV665" s="75"/>
      <c r="AW665" s="83"/>
      <c r="AX665" s="84"/>
      <c r="AY665" s="80"/>
      <c r="BB665" s="81"/>
      <c r="BG665" s="23" t="s">
        <v>2656</v>
      </c>
    </row>
    <row r="666" spans="1:59" ht="15" customHeight="1">
      <c r="A666" s="23" t="s">
        <v>2937</v>
      </c>
      <c r="B666" s="23" t="s">
        <v>2876</v>
      </c>
      <c r="C666" s="23" t="s">
        <v>2360</v>
      </c>
      <c r="D666" s="24">
        <v>48</v>
      </c>
      <c r="E666" s="23">
        <v>1</v>
      </c>
      <c r="F666" s="23" t="s">
        <v>2636</v>
      </c>
      <c r="G666" s="23" t="s">
        <v>2636</v>
      </c>
      <c r="J666" s="23" t="s">
        <v>621</v>
      </c>
      <c r="L666" s="23">
        <v>3</v>
      </c>
      <c r="AF666" s="23" t="s">
        <v>2657</v>
      </c>
      <c r="AI666" s="23" t="s">
        <v>2658</v>
      </c>
      <c r="AL666" s="23" t="s">
        <v>621</v>
      </c>
      <c r="AM666" s="23" t="s">
        <v>2426</v>
      </c>
      <c r="AN666" s="23">
        <v>3</v>
      </c>
      <c r="AP666" s="73"/>
      <c r="AQ666" s="75"/>
      <c r="AR666" s="76"/>
      <c r="AS666" s="77"/>
      <c r="AV666" s="75"/>
      <c r="AW666" s="83"/>
      <c r="AX666" s="84"/>
      <c r="AY666" s="80"/>
      <c r="BB666" s="81"/>
      <c r="BG666" s="23" t="s">
        <v>2659</v>
      </c>
    </row>
    <row r="667" spans="1:59" ht="15" customHeight="1">
      <c r="A667" s="23" t="s">
        <v>2937</v>
      </c>
      <c r="B667" s="23" t="s">
        <v>2877</v>
      </c>
      <c r="C667" s="23" t="s">
        <v>2360</v>
      </c>
      <c r="D667" s="24">
        <v>49</v>
      </c>
      <c r="E667" s="23">
        <v>1</v>
      </c>
      <c r="F667" s="23" t="s">
        <v>2636</v>
      </c>
      <c r="G667" s="23" t="s">
        <v>2660</v>
      </c>
      <c r="J667" s="23" t="s">
        <v>31</v>
      </c>
      <c r="AI667" s="23" t="s">
        <v>2660</v>
      </c>
      <c r="AL667" s="23" t="s">
        <v>31</v>
      </c>
      <c r="AM667" s="23" t="s">
        <v>2426</v>
      </c>
      <c r="AP667" s="73"/>
      <c r="AQ667" s="75"/>
      <c r="AR667" s="76"/>
      <c r="AS667" s="77"/>
      <c r="AV667" s="75"/>
      <c r="AW667" s="83"/>
      <c r="AX667" s="84"/>
      <c r="AY667" s="80">
        <v>2</v>
      </c>
      <c r="AZ667" s="66">
        <v>0</v>
      </c>
      <c r="BB667" s="81"/>
    </row>
    <row r="668" spans="1:59" ht="15" customHeight="1">
      <c r="A668" s="23" t="s">
        <v>2937</v>
      </c>
      <c r="B668" s="23" t="s">
        <v>2878</v>
      </c>
      <c r="C668" s="23" t="s">
        <v>2360</v>
      </c>
      <c r="D668" s="24">
        <v>50</v>
      </c>
      <c r="E668" s="23">
        <v>1</v>
      </c>
      <c r="F668" s="23" t="s">
        <v>2636</v>
      </c>
      <c r="G668" s="23" t="s">
        <v>2661</v>
      </c>
      <c r="J668" s="23" t="s">
        <v>31</v>
      </c>
      <c r="AI668" s="23" t="s">
        <v>2661</v>
      </c>
      <c r="AL668" s="23" t="s">
        <v>31</v>
      </c>
      <c r="AM668" s="23" t="s">
        <v>2426</v>
      </c>
      <c r="AP668" s="73"/>
      <c r="AQ668" s="75"/>
      <c r="AR668" s="76"/>
      <c r="AS668" s="77"/>
      <c r="AV668" s="75"/>
      <c r="AW668" s="83"/>
      <c r="AX668" s="84"/>
      <c r="AY668" s="80">
        <v>4</v>
      </c>
      <c r="AZ668" s="66">
        <v>1</v>
      </c>
      <c r="BB668" s="81"/>
      <c r="BG668" s="23" t="s">
        <v>2662</v>
      </c>
    </row>
    <row r="669" spans="1:59" ht="15" customHeight="1">
      <c r="A669" s="23" t="s">
        <v>2937</v>
      </c>
      <c r="B669" s="23" t="s">
        <v>2879</v>
      </c>
      <c r="C669" s="23" t="s">
        <v>2360</v>
      </c>
      <c r="D669" s="24">
        <v>51</v>
      </c>
      <c r="E669" s="23">
        <v>1</v>
      </c>
      <c r="F669" s="23" t="s">
        <v>2636</v>
      </c>
      <c r="G669" s="23" t="s">
        <v>2663</v>
      </c>
      <c r="J669" s="23" t="s">
        <v>31</v>
      </c>
      <c r="AI669" s="23" t="s">
        <v>2663</v>
      </c>
      <c r="AL669" s="23" t="s">
        <v>31</v>
      </c>
      <c r="AM669" s="23" t="s">
        <v>2426</v>
      </c>
      <c r="AP669" s="73"/>
      <c r="AQ669" s="75"/>
      <c r="AR669" s="76"/>
      <c r="AS669" s="77"/>
      <c r="AV669" s="75"/>
      <c r="AW669" s="83"/>
      <c r="AX669" s="84"/>
      <c r="AY669" s="80">
        <v>2</v>
      </c>
      <c r="AZ669" s="66" t="s">
        <v>1071</v>
      </c>
      <c r="BB669" s="81">
        <v>1</v>
      </c>
      <c r="BG669" s="23" t="s">
        <v>2664</v>
      </c>
    </row>
    <row r="670" spans="1:59" ht="15" customHeight="1">
      <c r="A670" s="23" t="s">
        <v>2937</v>
      </c>
      <c r="B670" s="23" t="s">
        <v>2880</v>
      </c>
      <c r="C670" s="23" t="s">
        <v>2360</v>
      </c>
      <c r="D670" s="24">
        <v>52</v>
      </c>
      <c r="E670" s="23">
        <v>1</v>
      </c>
      <c r="F670" s="23" t="s">
        <v>2636</v>
      </c>
      <c r="G670" s="23" t="s">
        <v>2665</v>
      </c>
      <c r="J670" s="23" t="s">
        <v>31</v>
      </c>
      <c r="AI670" s="23" t="s">
        <v>2665</v>
      </c>
      <c r="AL670" s="23" t="s">
        <v>31</v>
      </c>
      <c r="AM670" s="23" t="s">
        <v>2426</v>
      </c>
      <c r="AP670" s="73"/>
      <c r="AQ670" s="75"/>
      <c r="AR670" s="76"/>
      <c r="AS670" s="77"/>
      <c r="AV670" s="75"/>
      <c r="AW670" s="83"/>
      <c r="AX670" s="84"/>
      <c r="AY670" s="80">
        <v>3</v>
      </c>
      <c r="AZ670" s="66">
        <v>1</v>
      </c>
      <c r="BB670" s="81"/>
      <c r="BG670" s="23" t="s">
        <v>2666</v>
      </c>
    </row>
    <row r="671" spans="1:59" ht="15" customHeight="1">
      <c r="A671" s="23" t="s">
        <v>2937</v>
      </c>
      <c r="B671" s="23" t="s">
        <v>2881</v>
      </c>
      <c r="C671" s="23" t="s">
        <v>2360</v>
      </c>
      <c r="D671" s="24">
        <v>53</v>
      </c>
      <c r="E671" s="23">
        <v>1</v>
      </c>
      <c r="F671" s="23" t="s">
        <v>2636</v>
      </c>
      <c r="G671" s="23" t="s">
        <v>2667</v>
      </c>
      <c r="J671" s="23" t="s">
        <v>31</v>
      </c>
      <c r="AD671" s="23" t="s">
        <v>2668</v>
      </c>
      <c r="AI671" s="23" t="s">
        <v>2669</v>
      </c>
      <c r="AL671" s="23" t="s">
        <v>31</v>
      </c>
      <c r="AM671" s="23" t="s">
        <v>2426</v>
      </c>
      <c r="AP671" s="73"/>
      <c r="AQ671" s="75"/>
      <c r="AR671" s="76"/>
      <c r="AS671" s="77"/>
      <c r="AV671" s="75"/>
      <c r="AW671" s="83"/>
      <c r="AX671" s="84"/>
      <c r="AY671" s="80">
        <v>4</v>
      </c>
      <c r="AZ671" s="66" t="s">
        <v>1073</v>
      </c>
      <c r="BB671" s="81">
        <v>1</v>
      </c>
      <c r="BE671" s="23" t="s">
        <v>2668</v>
      </c>
      <c r="BG671" s="23" t="s">
        <v>2670</v>
      </c>
    </row>
    <row r="672" spans="1:59" ht="15" customHeight="1">
      <c r="A672" s="23" t="s">
        <v>2937</v>
      </c>
      <c r="B672" s="23" t="s">
        <v>2882</v>
      </c>
      <c r="C672" s="23" t="s">
        <v>2360</v>
      </c>
      <c r="D672" s="24">
        <v>54</v>
      </c>
      <c r="E672" s="23">
        <v>1</v>
      </c>
      <c r="F672" s="23" t="s">
        <v>2636</v>
      </c>
      <c r="G672" s="23" t="s">
        <v>2667</v>
      </c>
      <c r="J672" s="23" t="s">
        <v>31</v>
      </c>
      <c r="AD672" s="23" t="s">
        <v>2668</v>
      </c>
      <c r="AI672" s="23" t="s">
        <v>2671</v>
      </c>
      <c r="AL672" s="23" t="s">
        <v>31</v>
      </c>
      <c r="AM672" s="23" t="s">
        <v>2426</v>
      </c>
      <c r="AP672" s="73"/>
      <c r="AQ672" s="75"/>
      <c r="AR672" s="76"/>
      <c r="AS672" s="77"/>
      <c r="AV672" s="75"/>
      <c r="AW672" s="83"/>
      <c r="AX672" s="84"/>
      <c r="AY672" s="80">
        <v>2</v>
      </c>
      <c r="AZ672" s="66">
        <v>0</v>
      </c>
      <c r="BB672" s="81"/>
      <c r="BE672" s="23" t="s">
        <v>2668</v>
      </c>
      <c r="BG672" s="23" t="s">
        <v>2672</v>
      </c>
    </row>
    <row r="673" spans="1:59" ht="15" customHeight="1">
      <c r="A673" s="23" t="s">
        <v>2937</v>
      </c>
      <c r="B673" s="23" t="s">
        <v>2883</v>
      </c>
      <c r="C673" s="23" t="s">
        <v>2360</v>
      </c>
      <c r="D673" s="24">
        <v>55</v>
      </c>
      <c r="E673" s="23">
        <v>1</v>
      </c>
      <c r="F673" s="23" t="s">
        <v>2636</v>
      </c>
      <c r="G673" s="23" t="s">
        <v>2667</v>
      </c>
      <c r="J673" s="23" t="s">
        <v>31</v>
      </c>
      <c r="AD673" s="23" t="s">
        <v>2668</v>
      </c>
      <c r="AI673" s="23" t="s">
        <v>2673</v>
      </c>
      <c r="AL673" s="23" t="s">
        <v>31</v>
      </c>
      <c r="AM673" s="23" t="s">
        <v>2426</v>
      </c>
      <c r="AP673" s="73"/>
      <c r="AQ673" s="75"/>
      <c r="AR673" s="76"/>
      <c r="AS673" s="77"/>
      <c r="AV673" s="75"/>
      <c r="AW673" s="83"/>
      <c r="AX673" s="84"/>
      <c r="AY673" s="80">
        <v>5</v>
      </c>
      <c r="AZ673" s="66" t="s">
        <v>1073</v>
      </c>
      <c r="BB673" s="81">
        <v>1</v>
      </c>
      <c r="BE673" s="23" t="s">
        <v>2668</v>
      </c>
      <c r="BG673" s="23" t="s">
        <v>2674</v>
      </c>
    </row>
    <row r="674" spans="1:59" ht="15" customHeight="1">
      <c r="A674" s="23" t="s">
        <v>2937</v>
      </c>
      <c r="B674" s="23" t="s">
        <v>2884</v>
      </c>
      <c r="C674" s="23" t="s">
        <v>2360</v>
      </c>
      <c r="D674" s="24">
        <v>56</v>
      </c>
      <c r="E674" s="23">
        <v>1</v>
      </c>
      <c r="F674" s="23" t="s">
        <v>2636</v>
      </c>
      <c r="G674" s="23" t="s">
        <v>2675</v>
      </c>
      <c r="J674" s="23" t="s">
        <v>31</v>
      </c>
      <c r="AD674" s="23" t="s">
        <v>2668</v>
      </c>
      <c r="AI674" s="23" t="s">
        <v>2676</v>
      </c>
      <c r="AL674" s="23" t="s">
        <v>31</v>
      </c>
      <c r="AM674" s="23" t="s">
        <v>2426</v>
      </c>
      <c r="AP674" s="73"/>
      <c r="AQ674" s="75"/>
      <c r="AR674" s="76"/>
      <c r="AS674" s="77"/>
      <c r="AV674" s="75"/>
      <c r="AW674" s="83"/>
      <c r="AX674" s="84"/>
      <c r="AY674" s="80">
        <v>4</v>
      </c>
      <c r="AZ674" s="66">
        <v>0</v>
      </c>
      <c r="BB674" s="81"/>
      <c r="BE674" s="23" t="s">
        <v>2668</v>
      </c>
      <c r="BG674" s="23" t="s">
        <v>2677</v>
      </c>
    </row>
    <row r="675" spans="1:59" ht="15" customHeight="1">
      <c r="A675" s="23" t="s">
        <v>2937</v>
      </c>
      <c r="B675" s="23" t="s">
        <v>2885</v>
      </c>
      <c r="C675" s="23" t="s">
        <v>2360</v>
      </c>
      <c r="D675" s="24">
        <v>57</v>
      </c>
      <c r="E675" s="23">
        <v>1</v>
      </c>
      <c r="F675" s="23" t="s">
        <v>2636</v>
      </c>
      <c r="G675" s="23" t="s">
        <v>2675</v>
      </c>
      <c r="J675" s="23" t="s">
        <v>31</v>
      </c>
      <c r="AD675" s="23" t="s">
        <v>2668</v>
      </c>
      <c r="AI675" s="23" t="s">
        <v>2678</v>
      </c>
      <c r="AL675" s="23" t="s">
        <v>31</v>
      </c>
      <c r="AM675" s="23" t="s">
        <v>2426</v>
      </c>
      <c r="AP675" s="73"/>
      <c r="AQ675" s="75"/>
      <c r="AR675" s="76"/>
      <c r="AS675" s="77"/>
      <c r="AV675" s="75"/>
      <c r="AW675" s="83"/>
      <c r="AX675" s="84"/>
      <c r="AY675" s="80">
        <v>1</v>
      </c>
      <c r="AZ675" s="66" t="s">
        <v>1073</v>
      </c>
      <c r="BB675" s="81">
        <v>1</v>
      </c>
      <c r="BE675" s="23" t="s">
        <v>2668</v>
      </c>
      <c r="BG675" s="23" t="s">
        <v>2679</v>
      </c>
    </row>
    <row r="676" spans="1:59" ht="15" customHeight="1">
      <c r="A676" s="23" t="s">
        <v>2937</v>
      </c>
      <c r="B676" s="23" t="s">
        <v>2886</v>
      </c>
      <c r="C676" s="23" t="s">
        <v>2360</v>
      </c>
      <c r="D676" s="24">
        <v>58</v>
      </c>
      <c r="E676" s="23">
        <v>1</v>
      </c>
      <c r="F676" s="23" t="s">
        <v>2636</v>
      </c>
      <c r="G676" s="23" t="s">
        <v>2675</v>
      </c>
      <c r="J676" s="23" t="s">
        <v>31</v>
      </c>
      <c r="AD676" s="23" t="s">
        <v>2668</v>
      </c>
      <c r="AI676" s="23" t="s">
        <v>2680</v>
      </c>
      <c r="AL676" s="23" t="s">
        <v>31</v>
      </c>
      <c r="AM676" s="23" t="s">
        <v>2426</v>
      </c>
      <c r="AP676" s="73"/>
      <c r="AQ676" s="75"/>
      <c r="AR676" s="76"/>
      <c r="AS676" s="77"/>
      <c r="AV676" s="75"/>
      <c r="AW676" s="83"/>
      <c r="AX676" s="84"/>
      <c r="AY676" s="80">
        <v>3</v>
      </c>
      <c r="AZ676" s="66" t="s">
        <v>1073</v>
      </c>
      <c r="BB676" s="81">
        <v>1</v>
      </c>
      <c r="BE676" s="23" t="s">
        <v>2668</v>
      </c>
      <c r="BG676" s="23" t="s">
        <v>2681</v>
      </c>
    </row>
    <row r="677" spans="1:59" ht="15" customHeight="1">
      <c r="A677" s="23" t="s">
        <v>2937</v>
      </c>
      <c r="B677" s="23" t="s">
        <v>2887</v>
      </c>
      <c r="C677" s="23" t="s">
        <v>2360</v>
      </c>
      <c r="D677" s="24">
        <v>59</v>
      </c>
      <c r="E677" s="23">
        <v>1</v>
      </c>
      <c r="F677" s="23" t="s">
        <v>2636</v>
      </c>
      <c r="G677" s="23" t="s">
        <v>2682</v>
      </c>
      <c r="I677" s="23" t="s">
        <v>223</v>
      </c>
      <c r="J677" s="23" t="s">
        <v>29</v>
      </c>
      <c r="Q677" s="65">
        <v>4</v>
      </c>
      <c r="R677" s="66">
        <v>4</v>
      </c>
      <c r="T677" s="68">
        <v>3</v>
      </c>
      <c r="W677" s="70">
        <v>1</v>
      </c>
      <c r="AD677" s="23" t="s">
        <v>2683</v>
      </c>
      <c r="AF677" s="23" t="s">
        <v>2684</v>
      </c>
      <c r="AP677" s="73"/>
      <c r="AQ677" s="75"/>
      <c r="AR677" s="76"/>
      <c r="AS677" s="77"/>
      <c r="AV677" s="75"/>
      <c r="AW677" s="83"/>
      <c r="AX677" s="84"/>
      <c r="AY677" s="80"/>
      <c r="BB677" s="81"/>
    </row>
    <row r="678" spans="1:59" ht="15" customHeight="1">
      <c r="A678" s="23" t="s">
        <v>2937</v>
      </c>
      <c r="B678" s="23" t="s">
        <v>2888</v>
      </c>
      <c r="C678" s="23" t="s">
        <v>2360</v>
      </c>
      <c r="D678" s="24">
        <v>60</v>
      </c>
      <c r="E678" s="23">
        <v>1</v>
      </c>
      <c r="F678" s="23" t="s">
        <v>2636</v>
      </c>
      <c r="G678" s="23" t="s">
        <v>2685</v>
      </c>
      <c r="H678" s="23" t="s">
        <v>2686</v>
      </c>
      <c r="I678" s="23" t="s">
        <v>223</v>
      </c>
      <c r="J678" s="23" t="s">
        <v>29</v>
      </c>
      <c r="Q678" s="65">
        <v>4</v>
      </c>
      <c r="R678" s="66">
        <v>2</v>
      </c>
      <c r="T678" s="68">
        <v>4</v>
      </c>
      <c r="V678" s="69">
        <v>2</v>
      </c>
      <c r="AA678" s="72">
        <v>2</v>
      </c>
      <c r="AD678" s="23" t="s">
        <v>1794</v>
      </c>
      <c r="AF678" s="23" t="s">
        <v>2687</v>
      </c>
      <c r="AP678" s="73"/>
      <c r="AQ678" s="75"/>
      <c r="AR678" s="76"/>
      <c r="AS678" s="77"/>
      <c r="AV678" s="75"/>
      <c r="AW678" s="83"/>
      <c r="AX678" s="84"/>
      <c r="AY678" s="80"/>
      <c r="BB678" s="81"/>
    </row>
    <row r="679" spans="1:59" ht="15" customHeight="1">
      <c r="A679" s="23" t="s">
        <v>2937</v>
      </c>
      <c r="B679" s="23" t="s">
        <v>2889</v>
      </c>
      <c r="C679" s="23" t="s">
        <v>2360</v>
      </c>
      <c r="D679" s="24">
        <v>61</v>
      </c>
      <c r="E679" s="23">
        <v>1</v>
      </c>
      <c r="F679" s="23" t="s">
        <v>2688</v>
      </c>
      <c r="G679" s="23" t="s">
        <v>2688</v>
      </c>
      <c r="H679" s="33" t="s">
        <v>709</v>
      </c>
      <c r="J679" s="23" t="s">
        <v>618</v>
      </c>
      <c r="AF679" s="23" t="s">
        <v>2689</v>
      </c>
      <c r="AI679" s="23" t="s">
        <v>2688</v>
      </c>
      <c r="AJ679" s="23" t="s">
        <v>710</v>
      </c>
      <c r="AL679" s="23" t="s">
        <v>618</v>
      </c>
      <c r="AM679" s="23" t="s">
        <v>2426</v>
      </c>
      <c r="AP679" s="73"/>
      <c r="AQ679" s="75"/>
      <c r="AR679" s="76"/>
      <c r="AS679" s="77"/>
      <c r="AV679" s="75"/>
      <c r="AW679" s="83"/>
      <c r="AX679" s="84"/>
      <c r="AY679" s="80"/>
      <c r="BB679" s="81"/>
      <c r="BG679" s="23" t="s">
        <v>2690</v>
      </c>
    </row>
    <row r="680" spans="1:59" ht="15" customHeight="1">
      <c r="A680" s="23" t="s">
        <v>2937</v>
      </c>
      <c r="B680" s="23" t="s">
        <v>2890</v>
      </c>
      <c r="C680" s="23" t="s">
        <v>2360</v>
      </c>
      <c r="D680" s="24">
        <v>62</v>
      </c>
      <c r="E680" s="23">
        <v>1</v>
      </c>
      <c r="F680" s="23" t="s">
        <v>2688</v>
      </c>
      <c r="G680" s="23" t="s">
        <v>2691</v>
      </c>
      <c r="J680" s="23" t="s">
        <v>619</v>
      </c>
      <c r="L680" s="23">
        <v>1</v>
      </c>
      <c r="Z680" s="68">
        <v>3</v>
      </c>
      <c r="AI680" s="23" t="s">
        <v>2692</v>
      </c>
      <c r="AL680" s="23" t="s">
        <v>619</v>
      </c>
      <c r="AM680" s="23" t="s">
        <v>2426</v>
      </c>
      <c r="AN680" s="23">
        <v>1</v>
      </c>
      <c r="AP680" s="73"/>
      <c r="AQ680" s="75"/>
      <c r="AR680" s="76"/>
      <c r="AS680" s="77"/>
      <c r="AV680" s="75"/>
      <c r="AW680" s="83"/>
      <c r="AX680" s="84"/>
      <c r="AY680" s="80"/>
      <c r="BB680" s="81"/>
      <c r="BG680" s="23" t="s">
        <v>2693</v>
      </c>
    </row>
    <row r="681" spans="1:59" ht="15" customHeight="1">
      <c r="A681" s="23" t="s">
        <v>2937</v>
      </c>
      <c r="B681" s="23" t="s">
        <v>2891</v>
      </c>
      <c r="C681" s="23" t="s">
        <v>2360</v>
      </c>
      <c r="D681" s="24">
        <v>63</v>
      </c>
      <c r="E681" s="23">
        <v>1</v>
      </c>
      <c r="F681" s="23" t="s">
        <v>2688</v>
      </c>
      <c r="G681" s="23" t="s">
        <v>2694</v>
      </c>
      <c r="J681" s="23" t="s">
        <v>619</v>
      </c>
      <c r="L681" s="23">
        <v>2</v>
      </c>
      <c r="Z681" s="68">
        <v>3</v>
      </c>
      <c r="AF681" s="23" t="s">
        <v>2695</v>
      </c>
      <c r="AI681" s="23" t="s">
        <v>2696</v>
      </c>
      <c r="AL681" s="23" t="s">
        <v>619</v>
      </c>
      <c r="AM681" s="23" t="s">
        <v>2426</v>
      </c>
      <c r="AN681" s="23">
        <v>2</v>
      </c>
      <c r="AP681" s="73"/>
      <c r="AQ681" s="75"/>
      <c r="AR681" s="76"/>
      <c r="AS681" s="77"/>
      <c r="AV681" s="75"/>
      <c r="AW681" s="83"/>
      <c r="AX681" s="84"/>
      <c r="AY681" s="80"/>
      <c r="BB681" s="81"/>
      <c r="BG681" s="23" t="s">
        <v>1487</v>
      </c>
    </row>
    <row r="682" spans="1:59" ht="15" customHeight="1">
      <c r="A682" s="23" t="s">
        <v>2937</v>
      </c>
      <c r="B682" s="23" t="s">
        <v>2892</v>
      </c>
      <c r="C682" s="23" t="s">
        <v>2360</v>
      </c>
      <c r="D682" s="24">
        <v>64</v>
      </c>
      <c r="E682" s="23">
        <v>1</v>
      </c>
      <c r="F682" s="23" t="s">
        <v>2688</v>
      </c>
      <c r="G682" s="23" t="s">
        <v>2697</v>
      </c>
      <c r="J682" s="23" t="s">
        <v>621</v>
      </c>
      <c r="L682" s="23">
        <v>1</v>
      </c>
      <c r="Y682" s="66" t="s">
        <v>38</v>
      </c>
      <c r="AF682" s="23" t="s">
        <v>2698</v>
      </c>
      <c r="AI682" s="23" t="s">
        <v>2699</v>
      </c>
      <c r="AL682" s="23" t="s">
        <v>621</v>
      </c>
      <c r="AM682" s="23" t="s">
        <v>2426</v>
      </c>
      <c r="AN682" s="23">
        <v>1</v>
      </c>
      <c r="AP682" s="73"/>
      <c r="AQ682" s="75"/>
      <c r="AR682" s="76"/>
      <c r="AS682" s="77"/>
      <c r="AV682" s="75"/>
      <c r="AW682" s="83"/>
      <c r="AX682" s="84"/>
      <c r="AY682" s="80"/>
      <c r="BB682" s="81"/>
      <c r="BG682" s="23" t="s">
        <v>2700</v>
      </c>
    </row>
    <row r="683" spans="1:59" ht="15" customHeight="1">
      <c r="A683" s="23" t="s">
        <v>2937</v>
      </c>
      <c r="B683" s="23" t="s">
        <v>2893</v>
      </c>
      <c r="C683" s="23" t="s">
        <v>2360</v>
      </c>
      <c r="D683" s="24">
        <v>65</v>
      </c>
      <c r="E683" s="23">
        <v>1</v>
      </c>
      <c r="F683" s="23" t="s">
        <v>2688</v>
      </c>
      <c r="G683" s="23" t="s">
        <v>2701</v>
      </c>
      <c r="J683" s="23" t="s">
        <v>2702</v>
      </c>
      <c r="AF683" s="23" t="s">
        <v>2703</v>
      </c>
      <c r="AI683" s="23" t="s">
        <v>2704</v>
      </c>
      <c r="AJ683" s="23" t="s">
        <v>2705</v>
      </c>
      <c r="AK683" s="23" t="s">
        <v>223</v>
      </c>
      <c r="AL683" s="23" t="s">
        <v>29</v>
      </c>
      <c r="AM683" s="23" t="s">
        <v>2426</v>
      </c>
      <c r="AP683" s="73"/>
      <c r="AQ683" s="75"/>
      <c r="AR683" s="76"/>
      <c r="AS683" s="77">
        <v>4</v>
      </c>
      <c r="AT683" s="66">
        <v>1</v>
      </c>
      <c r="AU683" s="68">
        <v>6</v>
      </c>
      <c r="AV683" s="75"/>
      <c r="AW683" s="83">
        <v>2</v>
      </c>
      <c r="AX683" s="84"/>
      <c r="AY683" s="80"/>
      <c r="BB683" s="81">
        <v>0</v>
      </c>
      <c r="BE683" s="23" t="s">
        <v>2706</v>
      </c>
      <c r="BG683" s="23" t="s">
        <v>2707</v>
      </c>
    </row>
    <row r="684" spans="1:59" ht="15" customHeight="1">
      <c r="A684" s="23" t="s">
        <v>2937</v>
      </c>
      <c r="B684" s="23" t="s">
        <v>2894</v>
      </c>
      <c r="C684" s="23" t="s">
        <v>2360</v>
      </c>
      <c r="D684" s="24">
        <v>66</v>
      </c>
      <c r="E684" s="23">
        <v>1</v>
      </c>
      <c r="F684" s="23" t="s">
        <v>2688</v>
      </c>
      <c r="G684" s="23" t="s">
        <v>2701</v>
      </c>
      <c r="J684" s="23" t="s">
        <v>2702</v>
      </c>
      <c r="AF684" s="23" t="s">
        <v>2708</v>
      </c>
      <c r="AI684" s="23" t="s">
        <v>2709</v>
      </c>
      <c r="AJ684" s="23" t="s">
        <v>2710</v>
      </c>
      <c r="AK684" s="23" t="s">
        <v>223</v>
      </c>
      <c r="AL684" s="23" t="s">
        <v>29</v>
      </c>
      <c r="AM684" s="23" t="s">
        <v>2426</v>
      </c>
      <c r="AP684" s="73"/>
      <c r="AQ684" s="75"/>
      <c r="AR684" s="76"/>
      <c r="AS684" s="77">
        <v>2</v>
      </c>
      <c r="AT684" s="66">
        <v>2</v>
      </c>
      <c r="AU684" s="68">
        <v>8</v>
      </c>
      <c r="AV684" s="75"/>
      <c r="AW684" s="83">
        <v>1</v>
      </c>
      <c r="AX684" s="84">
        <v>1</v>
      </c>
      <c r="AY684" s="80"/>
      <c r="BB684" s="81">
        <v>0</v>
      </c>
      <c r="BE684" s="23" t="s">
        <v>2706</v>
      </c>
      <c r="BG684" s="23" t="s">
        <v>2711</v>
      </c>
    </row>
    <row r="685" spans="1:59" ht="15" customHeight="1">
      <c r="A685" s="23" t="s">
        <v>2937</v>
      </c>
      <c r="B685" s="23" t="s">
        <v>2895</v>
      </c>
      <c r="C685" s="23" t="s">
        <v>2360</v>
      </c>
      <c r="D685" s="24">
        <v>67</v>
      </c>
      <c r="E685" s="23">
        <v>1</v>
      </c>
      <c r="F685" s="23" t="s">
        <v>2688</v>
      </c>
      <c r="G685" s="23" t="s">
        <v>2701</v>
      </c>
      <c r="J685" s="23" t="s">
        <v>2702</v>
      </c>
      <c r="AF685" s="23" t="s">
        <v>2712</v>
      </c>
      <c r="AI685" s="23" t="s">
        <v>2713</v>
      </c>
      <c r="AJ685" s="23" t="s">
        <v>2714</v>
      </c>
      <c r="AK685" s="23" t="s">
        <v>223</v>
      </c>
      <c r="AL685" s="23" t="s">
        <v>29</v>
      </c>
      <c r="AM685" s="23" t="s">
        <v>2426</v>
      </c>
      <c r="AP685" s="73"/>
      <c r="AQ685" s="75"/>
      <c r="AR685" s="76"/>
      <c r="AS685" s="77">
        <v>6</v>
      </c>
      <c r="AT685" s="66">
        <v>3</v>
      </c>
      <c r="AU685" s="68">
        <v>4</v>
      </c>
      <c r="AV685" s="75"/>
      <c r="AW685" s="83">
        <v>1</v>
      </c>
      <c r="AX685" s="84">
        <v>1</v>
      </c>
      <c r="AY685" s="80"/>
      <c r="BB685" s="81">
        <v>0</v>
      </c>
      <c r="BE685" s="23" t="s">
        <v>2706</v>
      </c>
      <c r="BG685" s="23" t="s">
        <v>2715</v>
      </c>
    </row>
    <row r="686" spans="1:59" ht="15" customHeight="1">
      <c r="A686" s="23" t="s">
        <v>2937</v>
      </c>
      <c r="B686" s="23" t="s">
        <v>2896</v>
      </c>
      <c r="C686" s="23" t="s">
        <v>2360</v>
      </c>
      <c r="D686" s="24">
        <v>68</v>
      </c>
      <c r="E686" s="23">
        <v>1</v>
      </c>
      <c r="F686" s="23" t="s">
        <v>2688</v>
      </c>
      <c r="G686" s="23" t="s">
        <v>2701</v>
      </c>
      <c r="J686" s="23" t="s">
        <v>2702</v>
      </c>
      <c r="AF686" s="23" t="s">
        <v>2716</v>
      </c>
      <c r="AI686" s="23" t="s">
        <v>2717</v>
      </c>
      <c r="AJ686" s="23" t="s">
        <v>2718</v>
      </c>
      <c r="AK686" s="23" t="s">
        <v>223</v>
      </c>
      <c r="AL686" s="23" t="s">
        <v>29</v>
      </c>
      <c r="AM686" s="23" t="s">
        <v>2426</v>
      </c>
      <c r="AP686" s="73"/>
      <c r="AQ686" s="75"/>
      <c r="AR686" s="76"/>
      <c r="AS686" s="77">
        <v>3</v>
      </c>
      <c r="AT686" s="66">
        <v>3</v>
      </c>
      <c r="AU686" s="68">
        <v>5</v>
      </c>
      <c r="AV686" s="75"/>
      <c r="AW686" s="83">
        <v>2</v>
      </c>
      <c r="AX686" s="84">
        <v>2</v>
      </c>
      <c r="AY686" s="80"/>
      <c r="BB686" s="81">
        <v>0</v>
      </c>
      <c r="BE686" s="23" t="s">
        <v>2706</v>
      </c>
      <c r="BG686" s="23" t="s">
        <v>2719</v>
      </c>
    </row>
    <row r="687" spans="1:59" ht="15" customHeight="1">
      <c r="A687" s="23" t="s">
        <v>2937</v>
      </c>
      <c r="B687" s="23" t="s">
        <v>2897</v>
      </c>
      <c r="C687" s="23" t="s">
        <v>2360</v>
      </c>
      <c r="D687" s="24">
        <v>69</v>
      </c>
      <c r="E687" s="23">
        <v>1</v>
      </c>
      <c r="F687" s="23" t="s">
        <v>2688</v>
      </c>
      <c r="G687" s="23" t="s">
        <v>2701</v>
      </c>
      <c r="J687" s="23" t="s">
        <v>2702</v>
      </c>
      <c r="AF687" s="23" t="s">
        <v>2720</v>
      </c>
      <c r="AI687" s="23" t="s">
        <v>2721</v>
      </c>
      <c r="AJ687" s="23" t="s">
        <v>2722</v>
      </c>
      <c r="AK687" s="23" t="s">
        <v>223</v>
      </c>
      <c r="AL687" s="23" t="s">
        <v>29</v>
      </c>
      <c r="AM687" s="23" t="s">
        <v>2426</v>
      </c>
      <c r="AP687" s="73"/>
      <c r="AQ687" s="75"/>
      <c r="AR687" s="76"/>
      <c r="AS687" s="77">
        <v>2</v>
      </c>
      <c r="AT687" s="66">
        <v>4</v>
      </c>
      <c r="AU687" s="68">
        <v>5</v>
      </c>
      <c r="AV687" s="75"/>
      <c r="AW687" s="83"/>
      <c r="AX687" s="84">
        <v>2</v>
      </c>
      <c r="AY687" s="80"/>
      <c r="BB687" s="81">
        <v>0</v>
      </c>
      <c r="BE687" s="23" t="s">
        <v>2706</v>
      </c>
      <c r="BG687" s="23" t="s">
        <v>2723</v>
      </c>
    </row>
    <row r="688" spans="1:59" ht="15" customHeight="1">
      <c r="A688" s="23" t="s">
        <v>2937</v>
      </c>
      <c r="B688" s="23" t="s">
        <v>2898</v>
      </c>
      <c r="C688" s="23" t="s">
        <v>2360</v>
      </c>
      <c r="D688" s="24">
        <v>70</v>
      </c>
      <c r="E688" s="23">
        <v>1</v>
      </c>
      <c r="F688" s="23" t="s">
        <v>2688</v>
      </c>
      <c r="G688" s="23" t="s">
        <v>2724</v>
      </c>
      <c r="J688" s="23" t="s">
        <v>31</v>
      </c>
      <c r="AI688" s="23" t="s">
        <v>2724</v>
      </c>
      <c r="AL688" s="23" t="s">
        <v>31</v>
      </c>
      <c r="AM688" s="23" t="s">
        <v>2426</v>
      </c>
      <c r="AP688" s="73"/>
      <c r="AQ688" s="75"/>
      <c r="AR688" s="76"/>
      <c r="AS688" s="77"/>
      <c r="AV688" s="75"/>
      <c r="AW688" s="83"/>
      <c r="AX688" s="84"/>
      <c r="AY688" s="80">
        <v>2</v>
      </c>
      <c r="AZ688" s="66" t="s">
        <v>1073</v>
      </c>
      <c r="BB688" s="81"/>
      <c r="BG688" s="23" t="s">
        <v>2725</v>
      </c>
    </row>
    <row r="689" spans="1:59" ht="15" customHeight="1">
      <c r="A689" s="23" t="s">
        <v>2937</v>
      </c>
      <c r="B689" s="23" t="s">
        <v>2899</v>
      </c>
      <c r="C689" s="23" t="s">
        <v>2360</v>
      </c>
      <c r="D689" s="24">
        <v>71</v>
      </c>
      <c r="E689" s="23">
        <v>1</v>
      </c>
      <c r="F689" s="23" t="s">
        <v>2688</v>
      </c>
      <c r="G689" s="23" t="s">
        <v>2726</v>
      </c>
      <c r="J689" s="23" t="s">
        <v>31</v>
      </c>
      <c r="AI689" s="23" t="s">
        <v>2726</v>
      </c>
      <c r="AL689" s="23" t="s">
        <v>31</v>
      </c>
      <c r="AM689" s="23" t="s">
        <v>2426</v>
      </c>
      <c r="AP689" s="73"/>
      <c r="AQ689" s="75"/>
      <c r="AR689" s="76"/>
      <c r="AS689" s="77"/>
      <c r="AV689" s="75"/>
      <c r="AW689" s="83"/>
      <c r="AX689" s="84"/>
      <c r="AY689" s="80">
        <v>4</v>
      </c>
      <c r="AZ689" s="66">
        <v>0</v>
      </c>
      <c r="BB689" s="81"/>
      <c r="BG689" s="23" t="s">
        <v>2727</v>
      </c>
    </row>
    <row r="690" spans="1:59" ht="15" customHeight="1">
      <c r="A690" s="23" t="s">
        <v>2937</v>
      </c>
      <c r="B690" s="23" t="s">
        <v>2900</v>
      </c>
      <c r="C690" s="23" t="s">
        <v>2360</v>
      </c>
      <c r="D690" s="24">
        <v>72</v>
      </c>
      <c r="E690" s="23">
        <v>1</v>
      </c>
      <c r="F690" s="23" t="s">
        <v>2688</v>
      </c>
      <c r="G690" s="23" t="s">
        <v>2728</v>
      </c>
      <c r="J690" s="23" t="s">
        <v>31</v>
      </c>
      <c r="AI690" s="23" t="s">
        <v>2728</v>
      </c>
      <c r="AL690" s="23" t="s">
        <v>31</v>
      </c>
      <c r="AM690" s="23" t="s">
        <v>2426</v>
      </c>
      <c r="AP690" s="73"/>
      <c r="AQ690" s="75"/>
      <c r="AR690" s="76"/>
      <c r="AS690" s="77"/>
      <c r="AV690" s="75"/>
      <c r="AW690" s="83"/>
      <c r="AX690" s="84"/>
      <c r="AY690" s="80">
        <v>3</v>
      </c>
      <c r="AZ690" s="66">
        <v>0</v>
      </c>
      <c r="BB690" s="81"/>
      <c r="BG690" s="23" t="s">
        <v>2729</v>
      </c>
    </row>
    <row r="691" spans="1:59" ht="15" customHeight="1">
      <c r="A691" s="23" t="s">
        <v>2937</v>
      </c>
      <c r="B691" s="23" t="s">
        <v>2901</v>
      </c>
      <c r="C691" s="23" t="s">
        <v>2360</v>
      </c>
      <c r="D691" s="24">
        <v>73</v>
      </c>
      <c r="E691" s="23">
        <v>1</v>
      </c>
      <c r="F691" s="23" t="s">
        <v>2688</v>
      </c>
      <c r="G691" s="23" t="s">
        <v>2730</v>
      </c>
      <c r="J691" s="23" t="s">
        <v>31</v>
      </c>
      <c r="AI691" s="23" t="s">
        <v>2730</v>
      </c>
      <c r="AL691" s="23" t="s">
        <v>31</v>
      </c>
      <c r="AM691" s="23" t="s">
        <v>2426</v>
      </c>
      <c r="AP691" s="73"/>
      <c r="AQ691" s="75"/>
      <c r="AR691" s="76"/>
      <c r="AS691" s="77"/>
      <c r="AV691" s="75"/>
      <c r="AW691" s="83"/>
      <c r="AX691" s="84"/>
      <c r="AY691" s="80">
        <v>1</v>
      </c>
      <c r="AZ691" s="66">
        <v>0</v>
      </c>
      <c r="BB691" s="81"/>
      <c r="BG691" s="23" t="s">
        <v>2731</v>
      </c>
    </row>
    <row r="692" spans="1:59" ht="15" customHeight="1">
      <c r="A692" s="23" t="s">
        <v>2937</v>
      </c>
      <c r="B692" s="23" t="s">
        <v>2902</v>
      </c>
      <c r="C692" s="23" t="s">
        <v>2360</v>
      </c>
      <c r="D692" s="24">
        <v>74</v>
      </c>
      <c r="E692" s="23">
        <v>1</v>
      </c>
      <c r="F692" s="23" t="s">
        <v>2688</v>
      </c>
      <c r="G692" s="23" t="s">
        <v>2732</v>
      </c>
      <c r="J692" s="23" t="s">
        <v>31</v>
      </c>
      <c r="AI692" s="23" t="s">
        <v>2732</v>
      </c>
      <c r="AL692" s="23" t="s">
        <v>31</v>
      </c>
      <c r="AM692" s="23" t="s">
        <v>2426</v>
      </c>
      <c r="AP692" s="73"/>
      <c r="AQ692" s="75"/>
      <c r="AR692" s="76"/>
      <c r="AS692" s="77"/>
      <c r="AV692" s="75"/>
      <c r="AW692" s="83"/>
      <c r="AX692" s="84"/>
      <c r="AY692" s="80">
        <v>5</v>
      </c>
      <c r="AZ692" s="66">
        <v>0</v>
      </c>
      <c r="BB692" s="81"/>
      <c r="BG692" s="23" t="s">
        <v>2733</v>
      </c>
    </row>
    <row r="693" spans="1:59" ht="15" customHeight="1">
      <c r="A693" s="23" t="s">
        <v>2937</v>
      </c>
      <c r="B693" s="23" t="s">
        <v>2903</v>
      </c>
      <c r="C693" s="23" t="s">
        <v>2360</v>
      </c>
      <c r="D693" s="24">
        <v>75</v>
      </c>
      <c r="E693" s="23">
        <v>1</v>
      </c>
      <c r="F693" s="23" t="s">
        <v>2688</v>
      </c>
      <c r="G693" s="23" t="s">
        <v>2734</v>
      </c>
      <c r="J693" s="23" t="s">
        <v>31</v>
      </c>
      <c r="AI693" s="23" t="s">
        <v>2734</v>
      </c>
      <c r="AL693" s="23" t="s">
        <v>31</v>
      </c>
      <c r="AM693" s="23" t="s">
        <v>2426</v>
      </c>
      <c r="AP693" s="73"/>
      <c r="AQ693" s="75"/>
      <c r="AR693" s="76"/>
      <c r="AS693" s="77"/>
      <c r="AV693" s="75"/>
      <c r="AW693" s="83"/>
      <c r="AX693" s="84"/>
      <c r="AY693" s="80">
        <v>2</v>
      </c>
      <c r="AZ693" s="66">
        <v>0</v>
      </c>
      <c r="BB693" s="81"/>
      <c r="BG693" s="23" t="s">
        <v>2735</v>
      </c>
    </row>
    <row r="694" spans="1:59" ht="15" customHeight="1">
      <c r="A694" s="23" t="s">
        <v>2937</v>
      </c>
      <c r="B694" s="23" t="s">
        <v>2904</v>
      </c>
      <c r="C694" s="23" t="s">
        <v>2360</v>
      </c>
      <c r="D694" s="24">
        <v>76</v>
      </c>
      <c r="E694" s="23">
        <v>1</v>
      </c>
      <c r="F694" s="23" t="s">
        <v>2688</v>
      </c>
      <c r="G694" s="23" t="s">
        <v>2704</v>
      </c>
      <c r="H694" s="23" t="s">
        <v>2736</v>
      </c>
      <c r="I694" s="23" t="s">
        <v>223</v>
      </c>
      <c r="J694" s="23" t="s">
        <v>257</v>
      </c>
      <c r="K694" s="23" t="s">
        <v>26</v>
      </c>
      <c r="AD694" s="23" t="s">
        <v>2737</v>
      </c>
      <c r="AF694" s="23" t="s">
        <v>2738</v>
      </c>
      <c r="AI694" s="23" t="s">
        <v>2739</v>
      </c>
      <c r="AL694" s="23" t="s">
        <v>2702</v>
      </c>
      <c r="AM694" s="23" t="s">
        <v>2426</v>
      </c>
      <c r="AP694" s="73"/>
      <c r="AQ694" s="75"/>
      <c r="AR694" s="76"/>
      <c r="AS694" s="77"/>
      <c r="AV694" s="75"/>
      <c r="AW694" s="83"/>
      <c r="AX694" s="84"/>
      <c r="AY694" s="80"/>
      <c r="BB694" s="81"/>
      <c r="BG694" s="23" t="s">
        <v>2740</v>
      </c>
    </row>
    <row r="695" spans="1:59" ht="15" customHeight="1">
      <c r="A695" s="23" t="s">
        <v>2937</v>
      </c>
      <c r="B695" s="23" t="s">
        <v>2905</v>
      </c>
      <c r="C695" s="23" t="s">
        <v>2360</v>
      </c>
      <c r="D695" s="24">
        <v>77</v>
      </c>
      <c r="E695" s="23">
        <v>1</v>
      </c>
      <c r="F695" s="23" t="s">
        <v>2688</v>
      </c>
      <c r="G695" s="23" t="s">
        <v>2709</v>
      </c>
      <c r="H695" s="23" t="s">
        <v>2741</v>
      </c>
      <c r="I695" s="23" t="s">
        <v>223</v>
      </c>
      <c r="J695" s="23" t="s">
        <v>257</v>
      </c>
      <c r="K695" s="23" t="s">
        <v>26</v>
      </c>
      <c r="AD695" s="23" t="s">
        <v>2737</v>
      </c>
      <c r="AF695" s="23" t="s">
        <v>2742</v>
      </c>
      <c r="AI695" s="23" t="s">
        <v>2743</v>
      </c>
      <c r="AL695" s="23" t="s">
        <v>2702</v>
      </c>
      <c r="AM695" s="23" t="s">
        <v>2426</v>
      </c>
      <c r="AP695" s="73"/>
      <c r="AQ695" s="75"/>
      <c r="AR695" s="76"/>
      <c r="AS695" s="77"/>
      <c r="AV695" s="75"/>
      <c r="AW695" s="83"/>
      <c r="AX695" s="84"/>
      <c r="AY695" s="80"/>
      <c r="BB695" s="81"/>
      <c r="BG695" s="23" t="s">
        <v>2744</v>
      </c>
    </row>
    <row r="696" spans="1:59" ht="15" customHeight="1">
      <c r="A696" s="23" t="s">
        <v>2937</v>
      </c>
      <c r="B696" s="23" t="s">
        <v>2906</v>
      </c>
      <c r="C696" s="23" t="s">
        <v>2360</v>
      </c>
      <c r="D696" s="24">
        <v>78</v>
      </c>
      <c r="E696" s="23">
        <v>1</v>
      </c>
      <c r="F696" s="23" t="s">
        <v>2688</v>
      </c>
      <c r="G696" s="23" t="s">
        <v>2713</v>
      </c>
      <c r="H696" s="23" t="s">
        <v>2745</v>
      </c>
      <c r="I696" s="23" t="s">
        <v>223</v>
      </c>
      <c r="J696" s="23" t="s">
        <v>257</v>
      </c>
      <c r="K696" s="23" t="s">
        <v>26</v>
      </c>
      <c r="AD696" s="23" t="s">
        <v>2737</v>
      </c>
      <c r="AF696" s="23" t="s">
        <v>2746</v>
      </c>
      <c r="AI696" s="23" t="s">
        <v>2747</v>
      </c>
      <c r="AL696" s="23" t="s">
        <v>2702</v>
      </c>
      <c r="AM696" s="23" t="s">
        <v>2426</v>
      </c>
      <c r="AP696" s="73"/>
      <c r="AQ696" s="75"/>
      <c r="AR696" s="76"/>
      <c r="AS696" s="77"/>
      <c r="AV696" s="75"/>
      <c r="AW696" s="83"/>
      <c r="AX696" s="84"/>
      <c r="AY696" s="80"/>
      <c r="BB696" s="81"/>
      <c r="BG696" s="23" t="s">
        <v>2748</v>
      </c>
    </row>
    <row r="697" spans="1:59" ht="15" customHeight="1">
      <c r="A697" s="23" t="s">
        <v>2937</v>
      </c>
      <c r="B697" s="23" t="s">
        <v>2907</v>
      </c>
      <c r="C697" s="23" t="s">
        <v>2360</v>
      </c>
      <c r="D697" s="24">
        <v>79</v>
      </c>
      <c r="E697" s="23">
        <v>1</v>
      </c>
      <c r="F697" s="23" t="s">
        <v>2688</v>
      </c>
      <c r="G697" s="23" t="s">
        <v>2717</v>
      </c>
      <c r="H697" s="23" t="s">
        <v>2749</v>
      </c>
      <c r="I697" s="23" t="s">
        <v>223</v>
      </c>
      <c r="J697" s="23" t="s">
        <v>257</v>
      </c>
      <c r="K697" s="23" t="s">
        <v>26</v>
      </c>
      <c r="AD697" s="23" t="s">
        <v>2737</v>
      </c>
      <c r="AF697" s="23" t="s">
        <v>2750</v>
      </c>
      <c r="AI697" s="23" t="s">
        <v>2751</v>
      </c>
      <c r="AL697" s="23" t="s">
        <v>2702</v>
      </c>
      <c r="AM697" s="23" t="s">
        <v>2426</v>
      </c>
      <c r="AP697" s="73"/>
      <c r="AQ697" s="75"/>
      <c r="AR697" s="76"/>
      <c r="AS697" s="77"/>
      <c r="AV697" s="75"/>
      <c r="AW697" s="83"/>
      <c r="AX697" s="84"/>
      <c r="AY697" s="80"/>
      <c r="BB697" s="81"/>
      <c r="BG697" s="23" t="s">
        <v>2752</v>
      </c>
    </row>
    <row r="698" spans="1:59" ht="15" customHeight="1">
      <c r="A698" s="23" t="s">
        <v>2937</v>
      </c>
      <c r="B698" s="23" t="s">
        <v>2908</v>
      </c>
      <c r="C698" s="23" t="s">
        <v>2360</v>
      </c>
      <c r="D698" s="24">
        <v>80</v>
      </c>
      <c r="E698" s="23">
        <v>1</v>
      </c>
      <c r="F698" s="23" t="s">
        <v>2688</v>
      </c>
      <c r="G698" s="23" t="s">
        <v>2721</v>
      </c>
      <c r="H698" s="23" t="s">
        <v>2753</v>
      </c>
      <c r="I698" s="23" t="s">
        <v>223</v>
      </c>
      <c r="J698" s="23" t="s">
        <v>257</v>
      </c>
      <c r="K698" s="23" t="s">
        <v>26</v>
      </c>
      <c r="AD698" s="23" t="s">
        <v>2737</v>
      </c>
      <c r="AF698" s="23" t="s">
        <v>2754</v>
      </c>
      <c r="AI698" s="23" t="s">
        <v>2755</v>
      </c>
      <c r="AL698" s="23" t="s">
        <v>2702</v>
      </c>
      <c r="AM698" s="23" t="s">
        <v>2426</v>
      </c>
      <c r="AP698" s="73"/>
      <c r="AQ698" s="75"/>
      <c r="AR698" s="76"/>
      <c r="AS698" s="77"/>
      <c r="AV698" s="75"/>
      <c r="AW698" s="83"/>
      <c r="AX698" s="84"/>
      <c r="AY698" s="80"/>
      <c r="BB698" s="81"/>
      <c r="BG698" s="23" t="s">
        <v>2756</v>
      </c>
    </row>
    <row r="699" spans="1:59" ht="15" customHeight="1">
      <c r="A699" s="23" t="s">
        <v>2937</v>
      </c>
      <c r="B699" s="23" t="s">
        <v>2909</v>
      </c>
      <c r="C699" s="23" t="s">
        <v>2360</v>
      </c>
      <c r="D699" s="24">
        <v>81</v>
      </c>
      <c r="E699" s="23">
        <v>1</v>
      </c>
      <c r="F699" s="23" t="s">
        <v>2688</v>
      </c>
      <c r="G699" s="23" t="s">
        <v>2757</v>
      </c>
      <c r="H699" s="23" t="s">
        <v>2758</v>
      </c>
      <c r="I699" s="23" t="s">
        <v>223</v>
      </c>
      <c r="J699" s="23" t="s">
        <v>29</v>
      </c>
      <c r="Q699" s="65">
        <v>2</v>
      </c>
      <c r="R699" s="66">
        <v>2</v>
      </c>
      <c r="T699" s="68">
        <v>3</v>
      </c>
      <c r="AD699" s="23" t="s">
        <v>1135</v>
      </c>
      <c r="AF699" s="23" t="s">
        <v>2759</v>
      </c>
      <c r="AP699" s="73"/>
      <c r="AQ699" s="75"/>
      <c r="AR699" s="76"/>
      <c r="AS699" s="77"/>
      <c r="AV699" s="75"/>
      <c r="AW699" s="83"/>
      <c r="AX699" s="84"/>
      <c r="AY699" s="80"/>
      <c r="BB699" s="81"/>
    </row>
    <row r="700" spans="1:59" ht="15" customHeight="1">
      <c r="A700" s="23" t="s">
        <v>2937</v>
      </c>
      <c r="B700" s="23" t="s">
        <v>2910</v>
      </c>
      <c r="C700" s="23" t="s">
        <v>2360</v>
      </c>
      <c r="D700" s="24">
        <v>82</v>
      </c>
      <c r="E700" s="23">
        <v>2</v>
      </c>
      <c r="F700" s="23" t="s">
        <v>2688</v>
      </c>
      <c r="G700" s="23" t="s">
        <v>2760</v>
      </c>
      <c r="J700" s="23" t="s">
        <v>28</v>
      </c>
      <c r="AD700" s="23" t="s">
        <v>481</v>
      </c>
      <c r="AF700" s="23" t="s">
        <v>2761</v>
      </c>
      <c r="AP700" s="73"/>
      <c r="AQ700" s="75"/>
      <c r="AR700" s="76"/>
      <c r="AS700" s="77"/>
      <c r="AV700" s="75"/>
      <c r="AW700" s="83"/>
      <c r="AX700" s="84"/>
      <c r="AY700" s="80"/>
      <c r="BB700" s="81"/>
    </row>
    <row r="701" spans="1:59" ht="15" customHeight="1">
      <c r="A701" s="23" t="s">
        <v>2937</v>
      </c>
      <c r="B701" s="23" t="s">
        <v>2911</v>
      </c>
      <c r="C701" s="23" t="s">
        <v>2360</v>
      </c>
      <c r="D701" s="24">
        <v>83</v>
      </c>
      <c r="E701" s="23">
        <v>2</v>
      </c>
      <c r="F701" s="23" t="s">
        <v>2688</v>
      </c>
      <c r="G701" s="23" t="s">
        <v>2762</v>
      </c>
      <c r="J701" s="23" t="s">
        <v>28</v>
      </c>
      <c r="AD701" s="23" t="s">
        <v>479</v>
      </c>
      <c r="AF701" s="23" t="s">
        <v>2763</v>
      </c>
      <c r="AP701" s="73"/>
      <c r="AQ701" s="75"/>
      <c r="AR701" s="76"/>
      <c r="AS701" s="77"/>
      <c r="AV701" s="75"/>
      <c r="AW701" s="83"/>
      <c r="AX701" s="84"/>
      <c r="AY701" s="80"/>
      <c r="BB701" s="81"/>
    </row>
    <row r="702" spans="1:59" ht="15" customHeight="1">
      <c r="A702" s="23" t="s">
        <v>2937</v>
      </c>
      <c r="B702" s="23" t="s">
        <v>2912</v>
      </c>
      <c r="C702" s="23" t="s">
        <v>2360</v>
      </c>
      <c r="D702" s="24">
        <v>84</v>
      </c>
      <c r="E702" s="23">
        <v>1</v>
      </c>
      <c r="F702" s="23" t="s">
        <v>2764</v>
      </c>
      <c r="G702" s="23" t="s">
        <v>2765</v>
      </c>
      <c r="J702" s="23" t="s">
        <v>28</v>
      </c>
      <c r="AD702" s="23" t="s">
        <v>481</v>
      </c>
      <c r="AF702" s="23" t="s">
        <v>2766</v>
      </c>
      <c r="AP702" s="73"/>
      <c r="AQ702" s="75"/>
      <c r="AR702" s="76"/>
      <c r="AS702" s="77"/>
      <c r="AV702" s="75"/>
      <c r="AW702" s="83"/>
      <c r="AX702" s="84"/>
      <c r="AY702" s="80"/>
      <c r="BB702" s="81"/>
    </row>
    <row r="703" spans="1:59" ht="15" customHeight="1">
      <c r="A703" s="23" t="s">
        <v>2937</v>
      </c>
      <c r="B703" s="23" t="s">
        <v>2913</v>
      </c>
      <c r="C703" s="23" t="s">
        <v>2360</v>
      </c>
      <c r="D703" s="24">
        <v>84</v>
      </c>
      <c r="E703" s="23">
        <v>1</v>
      </c>
      <c r="F703" s="23" t="s">
        <v>2764</v>
      </c>
      <c r="G703" s="23" t="s">
        <v>2767</v>
      </c>
      <c r="J703" s="23" t="s">
        <v>28</v>
      </c>
      <c r="AD703" s="23" t="s">
        <v>481</v>
      </c>
      <c r="AF703" s="23" t="s">
        <v>2768</v>
      </c>
      <c r="AP703" s="73"/>
      <c r="AQ703" s="75"/>
      <c r="AR703" s="76"/>
      <c r="AS703" s="77"/>
      <c r="AV703" s="75"/>
      <c r="AW703" s="83"/>
      <c r="AX703" s="84"/>
      <c r="AY703" s="80"/>
      <c r="BB703" s="81"/>
    </row>
    <row r="704" spans="1:59" ht="15" customHeight="1">
      <c r="A704" s="23" t="s">
        <v>2937</v>
      </c>
      <c r="B704" s="23" t="s">
        <v>2914</v>
      </c>
      <c r="C704" s="23" t="s">
        <v>2360</v>
      </c>
      <c r="D704" s="24">
        <v>84</v>
      </c>
      <c r="E704" s="23">
        <v>1</v>
      </c>
      <c r="F704" s="23" t="s">
        <v>2764</v>
      </c>
      <c r="G704" s="23" t="s">
        <v>2769</v>
      </c>
      <c r="J704" s="23" t="s">
        <v>28</v>
      </c>
      <c r="AD704" s="23" t="s">
        <v>481</v>
      </c>
      <c r="AF704" s="23" t="s">
        <v>2770</v>
      </c>
      <c r="AP704" s="73"/>
      <c r="AQ704" s="75"/>
      <c r="AR704" s="76"/>
      <c r="AS704" s="77"/>
      <c r="AV704" s="75"/>
      <c r="AW704" s="83"/>
      <c r="AX704" s="84"/>
      <c r="AY704" s="80"/>
      <c r="BB704" s="81"/>
    </row>
    <row r="705" spans="1:54" ht="15" customHeight="1">
      <c r="A705" s="23" t="s">
        <v>2937</v>
      </c>
      <c r="B705" s="23" t="s">
        <v>2915</v>
      </c>
      <c r="C705" s="23" t="s">
        <v>2360</v>
      </c>
      <c r="D705" s="24">
        <v>84</v>
      </c>
      <c r="E705" s="23">
        <v>1</v>
      </c>
      <c r="F705" s="23" t="s">
        <v>2764</v>
      </c>
      <c r="G705" s="23" t="s">
        <v>2771</v>
      </c>
      <c r="J705" s="23" t="s">
        <v>28</v>
      </c>
      <c r="AD705" s="23" t="s">
        <v>481</v>
      </c>
      <c r="AF705" s="23" t="s">
        <v>2772</v>
      </c>
      <c r="AP705" s="73"/>
      <c r="AQ705" s="75"/>
      <c r="AR705" s="76"/>
      <c r="AS705" s="77"/>
      <c r="AV705" s="75"/>
      <c r="AW705" s="83"/>
      <c r="AX705" s="84"/>
      <c r="AY705" s="80"/>
      <c r="BB705" s="81"/>
    </row>
    <row r="706" spans="1:54" ht="15" customHeight="1">
      <c r="A706" s="23" t="s">
        <v>2937</v>
      </c>
      <c r="B706" s="23" t="s">
        <v>2916</v>
      </c>
      <c r="C706" s="23" t="s">
        <v>2360</v>
      </c>
      <c r="D706" s="24">
        <v>85</v>
      </c>
      <c r="E706" s="23">
        <v>2</v>
      </c>
      <c r="F706" s="23" t="s">
        <v>2764</v>
      </c>
      <c r="G706" s="23" t="s">
        <v>2773</v>
      </c>
      <c r="J706" s="23" t="s">
        <v>28</v>
      </c>
      <c r="AD706" s="23" t="s">
        <v>481</v>
      </c>
      <c r="AF706" s="23" t="s">
        <v>2774</v>
      </c>
      <c r="AP706" s="73"/>
      <c r="AQ706" s="75"/>
      <c r="AR706" s="76"/>
      <c r="AS706" s="77"/>
      <c r="AV706" s="75"/>
      <c r="AW706" s="83"/>
      <c r="AX706" s="84"/>
      <c r="AY706" s="80"/>
      <c r="BB706" s="81"/>
    </row>
    <row r="707" spans="1:54" ht="15" customHeight="1">
      <c r="A707" s="23" t="s">
        <v>2937</v>
      </c>
      <c r="B707" s="23" t="s">
        <v>2917</v>
      </c>
      <c r="C707" s="23" t="s">
        <v>2360</v>
      </c>
      <c r="D707" s="24">
        <v>86</v>
      </c>
      <c r="E707" s="23">
        <v>2</v>
      </c>
      <c r="F707" s="23" t="s">
        <v>2775</v>
      </c>
      <c r="G707" s="23" t="s">
        <v>2776</v>
      </c>
      <c r="J707" s="23" t="s">
        <v>29</v>
      </c>
      <c r="Q707" s="65">
        <v>2</v>
      </c>
      <c r="R707" s="66">
        <v>2</v>
      </c>
      <c r="T707" s="68">
        <v>3</v>
      </c>
      <c r="V707" s="69">
        <v>1</v>
      </c>
      <c r="W707" s="70">
        <v>1</v>
      </c>
      <c r="AD707" s="23" t="s">
        <v>836</v>
      </c>
      <c r="AF707" s="23" t="s">
        <v>2777</v>
      </c>
      <c r="AP707" s="73"/>
      <c r="AQ707" s="75"/>
      <c r="AR707" s="76"/>
      <c r="AS707" s="77"/>
      <c r="AV707" s="75"/>
      <c r="AW707" s="83"/>
      <c r="AX707" s="84"/>
      <c r="AY707" s="80"/>
      <c r="BB707" s="81"/>
    </row>
    <row r="708" spans="1:54" ht="15" customHeight="1">
      <c r="A708" s="23" t="s">
        <v>2937</v>
      </c>
      <c r="B708" s="23" t="s">
        <v>2918</v>
      </c>
      <c r="C708" s="23" t="s">
        <v>2360</v>
      </c>
      <c r="D708" s="24">
        <v>87</v>
      </c>
      <c r="E708" s="23">
        <v>2</v>
      </c>
      <c r="F708" s="23" t="s">
        <v>2775</v>
      </c>
      <c r="G708" s="23" t="s">
        <v>2778</v>
      </c>
      <c r="J708" s="23" t="s">
        <v>28</v>
      </c>
      <c r="AD708" s="23" t="s">
        <v>845</v>
      </c>
      <c r="AF708" s="23" t="s">
        <v>2779</v>
      </c>
      <c r="AP708" s="73"/>
      <c r="AQ708" s="75"/>
      <c r="AR708" s="76"/>
      <c r="AS708" s="77"/>
      <c r="AV708" s="75"/>
      <c r="AW708" s="83"/>
      <c r="AX708" s="84"/>
      <c r="AY708" s="80"/>
      <c r="BB708" s="81"/>
    </row>
    <row r="709" spans="1:54" ht="15" customHeight="1">
      <c r="A709" s="23" t="s">
        <v>2937</v>
      </c>
      <c r="B709" s="23" t="s">
        <v>2919</v>
      </c>
      <c r="C709" s="23" t="s">
        <v>2360</v>
      </c>
      <c r="D709" s="24">
        <v>88</v>
      </c>
      <c r="E709" s="23">
        <v>1</v>
      </c>
      <c r="F709" s="23" t="s">
        <v>2780</v>
      </c>
      <c r="G709" s="23" t="s">
        <v>2781</v>
      </c>
      <c r="J709" s="23" t="s">
        <v>29</v>
      </c>
      <c r="Q709" s="65">
        <v>3</v>
      </c>
      <c r="R709" s="66">
        <v>5</v>
      </c>
      <c r="T709" s="68">
        <v>7</v>
      </c>
      <c r="V709" s="69">
        <v>2</v>
      </c>
      <c r="W709" s="70">
        <v>1</v>
      </c>
      <c r="AA709" s="72">
        <v>1</v>
      </c>
      <c r="AD709" s="23" t="s">
        <v>1794</v>
      </c>
      <c r="AF709" s="23" t="s">
        <v>2782</v>
      </c>
      <c r="AP709" s="73"/>
      <c r="AQ709" s="75"/>
      <c r="AR709" s="76"/>
      <c r="AS709" s="77"/>
      <c r="AV709" s="75"/>
      <c r="AW709" s="83"/>
      <c r="AX709" s="84"/>
      <c r="AY709" s="80"/>
      <c r="BB709" s="81"/>
    </row>
    <row r="710" spans="1:54" ht="15" customHeight="1">
      <c r="A710" s="23" t="s">
        <v>2937</v>
      </c>
      <c r="B710" s="23" t="s">
        <v>2920</v>
      </c>
      <c r="C710" s="23" t="s">
        <v>2360</v>
      </c>
      <c r="D710" s="24">
        <v>89</v>
      </c>
      <c r="E710" s="23">
        <v>2</v>
      </c>
      <c r="F710" s="23" t="s">
        <v>2780</v>
      </c>
      <c r="G710" s="23" t="s">
        <v>2783</v>
      </c>
      <c r="J710" s="23" t="s">
        <v>29</v>
      </c>
      <c r="Q710" s="65">
        <v>4</v>
      </c>
      <c r="R710" s="66">
        <v>2</v>
      </c>
      <c r="T710" s="68">
        <v>4</v>
      </c>
      <c r="V710" s="69">
        <v>1</v>
      </c>
      <c r="W710" s="70">
        <v>2</v>
      </c>
      <c r="AD710" s="23" t="s">
        <v>2784</v>
      </c>
      <c r="AF710" s="23" t="s">
        <v>2785</v>
      </c>
      <c r="AP710" s="73"/>
      <c r="AQ710" s="75"/>
      <c r="AR710" s="76"/>
      <c r="AS710" s="77"/>
      <c r="AV710" s="75"/>
      <c r="AW710" s="83"/>
      <c r="AX710" s="84"/>
      <c r="AY710" s="80"/>
      <c r="BB710" s="81"/>
    </row>
    <row r="711" spans="1:54" ht="15" customHeight="1">
      <c r="A711" s="23" t="s">
        <v>2937</v>
      </c>
      <c r="B711" s="23" t="s">
        <v>2921</v>
      </c>
      <c r="C711" s="23" t="s">
        <v>2360</v>
      </c>
      <c r="D711" s="24">
        <v>90</v>
      </c>
      <c r="E711" s="23">
        <v>2</v>
      </c>
      <c r="F711" s="23" t="s">
        <v>2786</v>
      </c>
      <c r="G711" s="23" t="s">
        <v>2787</v>
      </c>
      <c r="J711" s="23" t="s">
        <v>28</v>
      </c>
      <c r="AD711" s="23" t="s">
        <v>492</v>
      </c>
      <c r="AF711" s="23" t="s">
        <v>2788</v>
      </c>
      <c r="AP711" s="73"/>
      <c r="AQ711" s="75"/>
      <c r="AR711" s="76"/>
      <c r="AS711" s="77"/>
      <c r="AV711" s="75"/>
      <c r="AW711" s="83"/>
      <c r="AX711" s="84"/>
      <c r="AY711" s="80"/>
      <c r="BB711" s="81"/>
    </row>
    <row r="712" spans="1:54" ht="15" customHeight="1">
      <c r="A712" s="23" t="s">
        <v>2937</v>
      </c>
      <c r="B712" s="23" t="s">
        <v>2922</v>
      </c>
      <c r="C712" s="23" t="s">
        <v>2360</v>
      </c>
      <c r="D712" s="24">
        <v>91</v>
      </c>
      <c r="E712" s="23">
        <v>2</v>
      </c>
      <c r="F712" s="23" t="s">
        <v>2786</v>
      </c>
      <c r="G712" s="23" t="s">
        <v>2789</v>
      </c>
      <c r="J712" s="23" t="s">
        <v>28</v>
      </c>
      <c r="AD712" s="23" t="s">
        <v>492</v>
      </c>
      <c r="AF712" s="23" t="s">
        <v>2790</v>
      </c>
      <c r="AP712" s="73"/>
      <c r="AQ712" s="75"/>
      <c r="AR712" s="76"/>
      <c r="AS712" s="77"/>
      <c r="AV712" s="75"/>
      <c r="AW712" s="83"/>
      <c r="AX712" s="84"/>
      <c r="AY712" s="80"/>
      <c r="BB712" s="81"/>
    </row>
    <row r="713" spans="1:54" ht="15" customHeight="1">
      <c r="A713" s="23" t="s">
        <v>2937</v>
      </c>
      <c r="B713" s="23" t="s">
        <v>2923</v>
      </c>
      <c r="C713" s="23" t="s">
        <v>2360</v>
      </c>
      <c r="D713" s="24">
        <v>92</v>
      </c>
      <c r="E713" s="23">
        <v>2</v>
      </c>
      <c r="F713" s="23" t="s">
        <v>2786</v>
      </c>
      <c r="G713" s="23" t="s">
        <v>2791</v>
      </c>
      <c r="J713" s="23" t="s">
        <v>28</v>
      </c>
      <c r="AD713" s="23" t="s">
        <v>845</v>
      </c>
      <c r="AF713" s="23" t="s">
        <v>2792</v>
      </c>
      <c r="AP713" s="73"/>
      <c r="AQ713" s="75"/>
      <c r="AR713" s="76"/>
      <c r="AS713" s="77"/>
      <c r="AV713" s="75"/>
      <c r="AW713" s="83"/>
      <c r="AX713" s="84"/>
      <c r="AY713" s="80"/>
      <c r="BB713" s="81"/>
    </row>
    <row r="714" spans="1:54" ht="15" customHeight="1">
      <c r="A714" s="23" t="s">
        <v>2937</v>
      </c>
      <c r="B714" s="23" t="s">
        <v>2924</v>
      </c>
      <c r="C714" s="23" t="s">
        <v>2360</v>
      </c>
      <c r="D714" s="24">
        <v>93</v>
      </c>
      <c r="E714" s="23">
        <v>2</v>
      </c>
      <c r="F714" s="23" t="s">
        <v>2793</v>
      </c>
      <c r="G714" s="23" t="s">
        <v>2794</v>
      </c>
      <c r="J714" s="23" t="s">
        <v>29</v>
      </c>
      <c r="Q714" s="65">
        <v>3</v>
      </c>
      <c r="R714" s="66">
        <v>4</v>
      </c>
      <c r="T714" s="68">
        <v>2</v>
      </c>
      <c r="W714" s="70">
        <v>2</v>
      </c>
      <c r="AD714" s="23" t="s">
        <v>2795</v>
      </c>
      <c r="AF714" s="23" t="s">
        <v>2796</v>
      </c>
      <c r="AP714" s="73"/>
      <c r="AQ714" s="75"/>
      <c r="AR714" s="76"/>
      <c r="AS714" s="77"/>
      <c r="AV714" s="75"/>
      <c r="AW714" s="83"/>
      <c r="AX714" s="84"/>
      <c r="AY714" s="80"/>
      <c r="BB714" s="81"/>
    </row>
    <row r="715" spans="1:54" ht="15" customHeight="1">
      <c r="A715" s="23" t="s">
        <v>2937</v>
      </c>
      <c r="B715" s="23" t="s">
        <v>2925</v>
      </c>
      <c r="C715" s="23" t="s">
        <v>2360</v>
      </c>
      <c r="D715" s="24">
        <v>94</v>
      </c>
      <c r="E715" s="23">
        <v>2</v>
      </c>
      <c r="F715" s="23" t="s">
        <v>2793</v>
      </c>
      <c r="G715" s="23" t="s">
        <v>2797</v>
      </c>
      <c r="J715" s="23" t="s">
        <v>28</v>
      </c>
      <c r="AD715" s="23" t="s">
        <v>2798</v>
      </c>
      <c r="AF715" s="23" t="s">
        <v>2799</v>
      </c>
      <c r="AP715" s="73"/>
      <c r="AQ715" s="75"/>
      <c r="AR715" s="76"/>
      <c r="AS715" s="77"/>
      <c r="AV715" s="75"/>
      <c r="AW715" s="83"/>
      <c r="AX715" s="84"/>
      <c r="AY715" s="80"/>
      <c r="BB715" s="81"/>
    </row>
    <row r="716" spans="1:54" ht="15" customHeight="1">
      <c r="A716" s="23" t="s">
        <v>2937</v>
      </c>
      <c r="B716" s="23" t="s">
        <v>2926</v>
      </c>
      <c r="C716" s="23" t="s">
        <v>2360</v>
      </c>
      <c r="D716" s="24">
        <v>95</v>
      </c>
      <c r="E716" s="23">
        <v>2</v>
      </c>
      <c r="F716" s="23" t="s">
        <v>2800</v>
      </c>
      <c r="G716" s="23" t="s">
        <v>2801</v>
      </c>
      <c r="J716" s="23" t="s">
        <v>29</v>
      </c>
      <c r="Q716" s="65">
        <v>3</v>
      </c>
      <c r="R716" s="66">
        <v>1</v>
      </c>
      <c r="T716" s="68">
        <v>4</v>
      </c>
      <c r="V716" s="69">
        <v>1</v>
      </c>
      <c r="AD716" s="23" t="s">
        <v>2802</v>
      </c>
      <c r="AF716" s="23" t="s">
        <v>2803</v>
      </c>
      <c r="AP716" s="73"/>
      <c r="AQ716" s="75"/>
      <c r="AR716" s="76"/>
      <c r="AS716" s="77"/>
      <c r="AV716" s="75"/>
      <c r="AW716" s="83"/>
      <c r="AX716" s="84"/>
      <c r="AY716" s="80"/>
      <c r="BB716" s="81"/>
    </row>
    <row r="717" spans="1:54" ht="15" customHeight="1">
      <c r="A717" s="23" t="s">
        <v>2937</v>
      </c>
      <c r="B717" s="23" t="s">
        <v>2927</v>
      </c>
      <c r="C717" s="23" t="s">
        <v>2360</v>
      </c>
      <c r="D717" s="24">
        <v>96</v>
      </c>
      <c r="E717" s="23">
        <v>2</v>
      </c>
      <c r="F717" s="23" t="s">
        <v>2800</v>
      </c>
      <c r="G717" s="23" t="s">
        <v>2804</v>
      </c>
      <c r="J717" s="23" t="s">
        <v>29</v>
      </c>
      <c r="Q717" s="65">
        <v>2</v>
      </c>
      <c r="R717" s="66">
        <v>3</v>
      </c>
      <c r="T717" s="68">
        <v>2</v>
      </c>
      <c r="V717" s="69">
        <v>1</v>
      </c>
      <c r="W717" s="70">
        <v>1</v>
      </c>
      <c r="AD717" s="23" t="s">
        <v>2802</v>
      </c>
      <c r="AF717" s="23" t="s">
        <v>2805</v>
      </c>
      <c r="AP717" s="73"/>
      <c r="AQ717" s="75"/>
      <c r="AR717" s="76"/>
      <c r="AS717" s="77"/>
      <c r="AV717" s="75"/>
      <c r="AW717" s="83"/>
      <c r="AX717" s="84"/>
      <c r="AY717" s="80"/>
      <c r="BB717" s="81"/>
    </row>
    <row r="718" spans="1:54" ht="15" customHeight="1">
      <c r="A718" s="23" t="s">
        <v>2937</v>
      </c>
      <c r="B718" s="23" t="s">
        <v>2928</v>
      </c>
      <c r="C718" s="23" t="s">
        <v>2360</v>
      </c>
      <c r="D718" s="24">
        <v>97</v>
      </c>
      <c r="E718" s="23">
        <v>2</v>
      </c>
      <c r="F718" s="23" t="s">
        <v>2800</v>
      </c>
      <c r="G718" s="23" t="s">
        <v>2806</v>
      </c>
      <c r="J718" s="23" t="s">
        <v>28</v>
      </c>
      <c r="AD718" s="23" t="s">
        <v>845</v>
      </c>
      <c r="AF718" s="23" t="s">
        <v>2807</v>
      </c>
      <c r="AP718" s="73"/>
      <c r="AQ718" s="75"/>
      <c r="AR718" s="76"/>
      <c r="AS718" s="77"/>
      <c r="AV718" s="75"/>
      <c r="AW718" s="83"/>
      <c r="AX718" s="84"/>
      <c r="AY718" s="80"/>
      <c r="BB718" s="81"/>
    </row>
    <row r="719" spans="1:54" ht="15" customHeight="1">
      <c r="A719" s="23" t="s">
        <v>2937</v>
      </c>
      <c r="B719" s="23" t="s">
        <v>2929</v>
      </c>
      <c r="C719" s="23" t="s">
        <v>2360</v>
      </c>
      <c r="D719" s="24">
        <v>98</v>
      </c>
      <c r="E719" s="23">
        <v>3</v>
      </c>
      <c r="F719" s="23" t="s">
        <v>2808</v>
      </c>
      <c r="G719" s="23" t="s">
        <v>2809</v>
      </c>
      <c r="J719" s="23" t="s">
        <v>29</v>
      </c>
      <c r="Q719" s="65">
        <v>3</v>
      </c>
      <c r="R719" s="66">
        <v>3</v>
      </c>
      <c r="T719" s="68">
        <v>2</v>
      </c>
      <c r="V719" s="69">
        <v>1</v>
      </c>
      <c r="AD719" s="23" t="s">
        <v>467</v>
      </c>
      <c r="AF719" s="23" t="s">
        <v>2810</v>
      </c>
      <c r="AP719" s="73"/>
      <c r="AQ719" s="75"/>
      <c r="AR719" s="76"/>
      <c r="AS719" s="77"/>
      <c r="AV719" s="75"/>
      <c r="AW719" s="83"/>
      <c r="AX719" s="84"/>
      <c r="AY719" s="80"/>
      <c r="BB719" s="81"/>
    </row>
    <row r="720" spans="1:54" ht="15" customHeight="1">
      <c r="A720" s="23" t="s">
        <v>2937</v>
      </c>
      <c r="B720" s="23" t="s">
        <v>2930</v>
      </c>
      <c r="C720" s="23" t="s">
        <v>2360</v>
      </c>
      <c r="D720" s="24">
        <v>99</v>
      </c>
      <c r="E720" s="23">
        <v>1</v>
      </c>
      <c r="F720" s="23" t="s">
        <v>2808</v>
      </c>
      <c r="G720" s="23" t="s">
        <v>2811</v>
      </c>
      <c r="J720" s="23" t="s">
        <v>29</v>
      </c>
      <c r="Q720" s="65">
        <v>4</v>
      </c>
      <c r="R720" s="66">
        <v>2</v>
      </c>
      <c r="T720" s="68">
        <v>4</v>
      </c>
      <c r="V720" s="69">
        <v>1</v>
      </c>
      <c r="W720" s="70">
        <v>2</v>
      </c>
      <c r="AA720" s="72">
        <v>1</v>
      </c>
      <c r="AD720" s="23" t="s">
        <v>467</v>
      </c>
      <c r="AF720" s="23" t="s">
        <v>2812</v>
      </c>
      <c r="AP720" s="73"/>
      <c r="AQ720" s="75"/>
      <c r="AR720" s="76"/>
      <c r="AS720" s="77"/>
      <c r="AV720" s="75"/>
      <c r="AW720" s="83"/>
      <c r="AX720" s="84"/>
      <c r="AY720" s="80"/>
      <c r="BB720" s="81"/>
    </row>
    <row r="721" spans="1:73" ht="15" customHeight="1">
      <c r="A721" s="23" t="s">
        <v>2937</v>
      </c>
      <c r="B721" s="23" t="s">
        <v>2931</v>
      </c>
      <c r="C721" s="23" t="s">
        <v>2360</v>
      </c>
      <c r="D721" s="24">
        <v>100</v>
      </c>
      <c r="E721" s="23">
        <v>2</v>
      </c>
      <c r="F721" s="23" t="s">
        <v>2808</v>
      </c>
      <c r="G721" s="23" t="s">
        <v>2813</v>
      </c>
      <c r="J721" s="23" t="s">
        <v>28</v>
      </c>
      <c r="AD721" s="23" t="s">
        <v>845</v>
      </c>
      <c r="AF721" s="23" t="s">
        <v>2814</v>
      </c>
      <c r="AP721" s="73"/>
      <c r="AQ721" s="75"/>
      <c r="AR721" s="76"/>
      <c r="AS721" s="77"/>
      <c r="AV721" s="75"/>
      <c r="AW721" s="83"/>
      <c r="AX721" s="84"/>
      <c r="AY721" s="80"/>
      <c r="BB721" s="81"/>
    </row>
    <row r="722" spans="1:73" ht="15" customHeight="1">
      <c r="A722" s="23" t="s">
        <v>2937</v>
      </c>
      <c r="B722" s="23" t="s">
        <v>2932</v>
      </c>
      <c r="C722" s="23" t="s">
        <v>2360</v>
      </c>
      <c r="D722" s="24">
        <v>101</v>
      </c>
      <c r="E722" s="23">
        <v>2</v>
      </c>
      <c r="F722" s="23" t="s">
        <v>2815</v>
      </c>
      <c r="G722" s="23" t="s">
        <v>2816</v>
      </c>
      <c r="J722" s="23" t="s">
        <v>28</v>
      </c>
      <c r="AD722" s="23" t="s">
        <v>479</v>
      </c>
      <c r="AF722" s="23" t="s">
        <v>2817</v>
      </c>
      <c r="AP722" s="73"/>
      <c r="AQ722" s="75"/>
      <c r="AR722" s="76"/>
      <c r="AS722" s="77"/>
      <c r="AV722" s="75"/>
      <c r="AW722" s="83"/>
      <c r="AX722" s="84"/>
      <c r="AY722" s="80"/>
      <c r="BB722" s="81"/>
    </row>
    <row r="723" spans="1:73" ht="15" customHeight="1">
      <c r="A723" s="24" t="s">
        <v>2937</v>
      </c>
      <c r="B723" s="23" t="s">
        <v>2933</v>
      </c>
      <c r="C723" s="23" t="s">
        <v>2360</v>
      </c>
      <c r="D723" s="24">
        <v>102</v>
      </c>
      <c r="E723" s="23">
        <v>2</v>
      </c>
      <c r="F723" s="23" t="s">
        <v>2815</v>
      </c>
      <c r="G723" s="23" t="s">
        <v>2818</v>
      </c>
      <c r="J723" s="23" t="s">
        <v>28</v>
      </c>
      <c r="AD723" s="23" t="s">
        <v>479</v>
      </c>
      <c r="AF723" s="23" t="s">
        <v>2819</v>
      </c>
      <c r="AP723" s="73"/>
      <c r="AQ723" s="75"/>
      <c r="AR723" s="76"/>
      <c r="AS723" s="77"/>
      <c r="AV723" s="75"/>
      <c r="AW723" s="83"/>
      <c r="AX723" s="84"/>
      <c r="AY723" s="80"/>
      <c r="BB723" s="81"/>
    </row>
    <row r="724" spans="1:73" ht="15" customHeight="1">
      <c r="A724" s="24" t="s">
        <v>2937</v>
      </c>
      <c r="B724" s="23" t="s">
        <v>2934</v>
      </c>
      <c r="C724" s="23" t="s">
        <v>2360</v>
      </c>
      <c r="D724" s="24">
        <v>103</v>
      </c>
      <c r="E724" s="23">
        <v>2</v>
      </c>
      <c r="F724" s="23" t="s">
        <v>2815</v>
      </c>
      <c r="G724" s="23" t="s">
        <v>2820</v>
      </c>
      <c r="J724" s="23" t="s">
        <v>29</v>
      </c>
      <c r="Q724" s="65" t="s">
        <v>32</v>
      </c>
      <c r="R724" s="66">
        <v>3</v>
      </c>
      <c r="T724" s="68">
        <v>2</v>
      </c>
      <c r="V724" s="69">
        <v>1</v>
      </c>
      <c r="AD724" s="23" t="s">
        <v>30</v>
      </c>
      <c r="AF724" s="23" t="s">
        <v>2821</v>
      </c>
      <c r="AP724" s="73"/>
      <c r="AQ724" s="75"/>
      <c r="AR724" s="76"/>
      <c r="AS724" s="77"/>
      <c r="AV724" s="75"/>
      <c r="AW724" s="83"/>
      <c r="AX724" s="84"/>
      <c r="AY724" s="80"/>
      <c r="BB724" s="81"/>
    </row>
    <row r="725" spans="1:73" ht="15" customHeight="1">
      <c r="A725" s="24" t="s">
        <v>2937</v>
      </c>
      <c r="B725" s="23" t="s">
        <v>2935</v>
      </c>
      <c r="C725" s="23" t="s">
        <v>2360</v>
      </c>
      <c r="D725" s="24">
        <v>104</v>
      </c>
      <c r="E725" s="23">
        <v>2</v>
      </c>
      <c r="F725" s="23" t="s">
        <v>2649</v>
      </c>
      <c r="G725" s="23" t="s">
        <v>2822</v>
      </c>
      <c r="J725" s="23" t="s">
        <v>28</v>
      </c>
      <c r="AD725" s="23" t="s">
        <v>845</v>
      </c>
      <c r="AF725" s="23" t="s">
        <v>2823</v>
      </c>
      <c r="AP725" s="73"/>
      <c r="AQ725" s="75"/>
      <c r="AR725" s="76"/>
      <c r="AS725" s="77"/>
      <c r="AV725" s="75"/>
      <c r="AW725" s="83"/>
      <c r="AX725" s="84"/>
      <c r="AY725" s="80"/>
      <c r="BB725" s="81"/>
    </row>
    <row r="726" spans="1:73" ht="15" customHeight="1">
      <c r="A726" s="24" t="s">
        <v>2937</v>
      </c>
      <c r="B726" s="23" t="s">
        <v>2936</v>
      </c>
      <c r="C726" s="23" t="s">
        <v>2360</v>
      </c>
      <c r="D726" s="24">
        <v>105</v>
      </c>
      <c r="E726" s="23">
        <v>1</v>
      </c>
      <c r="F726" s="23" t="s">
        <v>2649</v>
      </c>
      <c r="G726" s="23" t="s">
        <v>2824</v>
      </c>
      <c r="J726" s="23" t="s">
        <v>28</v>
      </c>
      <c r="AD726" s="23" t="s">
        <v>2825</v>
      </c>
      <c r="AF726" s="23" t="s">
        <v>2826</v>
      </c>
      <c r="AP726" s="73"/>
      <c r="AQ726" s="75"/>
      <c r="AR726" s="76"/>
      <c r="AS726" s="77"/>
      <c r="AV726" s="75"/>
      <c r="AW726" s="83"/>
      <c r="AX726" s="84"/>
      <c r="AY726" s="80"/>
      <c r="BB726" s="81"/>
    </row>
    <row r="727" spans="1:73" ht="15" customHeight="1">
      <c r="A727" s="24" t="s">
        <v>2937</v>
      </c>
      <c r="B727" s="28" t="s">
        <v>3078</v>
      </c>
      <c r="C727" s="23" t="s">
        <v>2360</v>
      </c>
      <c r="D727" s="31">
        <v>994</v>
      </c>
      <c r="E727" s="28">
        <v>1</v>
      </c>
      <c r="F727" s="28"/>
      <c r="G727" s="28" t="s">
        <v>2512</v>
      </c>
      <c r="J727" s="23" t="s">
        <v>861</v>
      </c>
      <c r="K727" s="23" t="s">
        <v>198</v>
      </c>
      <c r="N727" s="73"/>
      <c r="O727" s="75"/>
      <c r="P727" s="76"/>
      <c r="Q727" s="77"/>
      <c r="U727" s="75"/>
      <c r="V727" s="83"/>
      <c r="W727" s="84"/>
      <c r="X727" s="80"/>
      <c r="AA727" s="81"/>
      <c r="AB727" s="42"/>
      <c r="AE727" s="23"/>
      <c r="AI727" s="28" t="s">
        <v>2512</v>
      </c>
      <c r="AL727" s="23" t="s">
        <v>861</v>
      </c>
      <c r="AP727" s="73"/>
      <c r="AQ727" s="75"/>
      <c r="AR727" s="76"/>
      <c r="AS727" s="77"/>
      <c r="AV727" s="75"/>
      <c r="AW727" s="83"/>
      <c r="AX727" s="84"/>
      <c r="AY727" s="80"/>
      <c r="BB727" s="81"/>
    </row>
    <row r="728" spans="1:73" ht="15" customHeight="1">
      <c r="A728" s="24" t="s">
        <v>2937</v>
      </c>
      <c r="B728" s="23" t="s">
        <v>3079</v>
      </c>
      <c r="C728" s="23" t="s">
        <v>2360</v>
      </c>
      <c r="D728" s="24">
        <v>995</v>
      </c>
      <c r="E728" s="23">
        <v>1</v>
      </c>
      <c r="G728" s="23" t="s">
        <v>2517</v>
      </c>
      <c r="J728" s="23" t="s">
        <v>861</v>
      </c>
      <c r="K728" s="23" t="s">
        <v>199</v>
      </c>
      <c r="N728" s="73"/>
      <c r="O728" s="75"/>
      <c r="P728" s="76"/>
      <c r="Q728" s="77"/>
      <c r="U728" s="75"/>
      <c r="V728" s="83"/>
      <c r="W728" s="84"/>
      <c r="X728" s="80"/>
      <c r="AA728" s="81"/>
      <c r="AB728" s="42"/>
      <c r="AE728" s="23"/>
      <c r="AI728" s="23" t="s">
        <v>2517</v>
      </c>
      <c r="AL728" s="23" t="s">
        <v>861</v>
      </c>
      <c r="AP728" s="73"/>
      <c r="AQ728" s="75"/>
      <c r="AR728" s="76"/>
      <c r="AS728" s="77"/>
      <c r="AV728" s="75"/>
      <c r="AW728" s="83"/>
      <c r="AX728" s="84"/>
      <c r="AY728" s="80"/>
      <c r="BB728" s="81"/>
    </row>
    <row r="729" spans="1:73" ht="15" customHeight="1">
      <c r="A729" s="24" t="s">
        <v>2937</v>
      </c>
      <c r="B729" s="23" t="s">
        <v>3080</v>
      </c>
      <c r="C729" s="23" t="s">
        <v>2360</v>
      </c>
      <c r="D729" s="31">
        <v>996</v>
      </c>
      <c r="E729" s="23">
        <v>1</v>
      </c>
      <c r="G729" s="23" t="s">
        <v>2522</v>
      </c>
      <c r="J729" s="23" t="s">
        <v>861</v>
      </c>
      <c r="K729" s="23" t="s">
        <v>201</v>
      </c>
      <c r="N729" s="73"/>
      <c r="O729" s="75"/>
      <c r="P729" s="76"/>
      <c r="Q729" s="77"/>
      <c r="U729" s="75"/>
      <c r="V729" s="83"/>
      <c r="W729" s="84"/>
      <c r="X729" s="80"/>
      <c r="AA729" s="81"/>
      <c r="AB729" s="42"/>
      <c r="AE729" s="23"/>
      <c r="AI729" s="23" t="s">
        <v>2522</v>
      </c>
      <c r="AL729" s="23" t="s">
        <v>861</v>
      </c>
      <c r="AP729" s="73"/>
      <c r="AQ729" s="75"/>
      <c r="AR729" s="76"/>
      <c r="AS729" s="77"/>
      <c r="AV729" s="75"/>
      <c r="AW729" s="83"/>
      <c r="AX729" s="84"/>
      <c r="AY729" s="80"/>
      <c r="BB729" s="81"/>
    </row>
    <row r="730" spans="1:73" ht="15" customHeight="1">
      <c r="A730" s="24" t="s">
        <v>2937</v>
      </c>
      <c r="B730" s="23" t="s">
        <v>3081</v>
      </c>
      <c r="C730" s="23" t="s">
        <v>2360</v>
      </c>
      <c r="D730" s="24">
        <v>997</v>
      </c>
      <c r="E730" s="23">
        <v>1</v>
      </c>
      <c r="G730" s="23" t="s">
        <v>2527</v>
      </c>
      <c r="J730" s="23" t="s">
        <v>861</v>
      </c>
      <c r="K730" s="23" t="s">
        <v>200</v>
      </c>
      <c r="N730" s="73"/>
      <c r="O730" s="75"/>
      <c r="P730" s="76"/>
      <c r="Q730" s="77"/>
      <c r="U730" s="75"/>
      <c r="V730" s="83"/>
      <c r="W730" s="84"/>
      <c r="X730" s="80"/>
      <c r="AA730" s="81"/>
      <c r="AB730" s="42"/>
      <c r="AE730" s="23"/>
      <c r="AI730" s="23" t="s">
        <v>2527</v>
      </c>
      <c r="AL730" s="23" t="s">
        <v>861</v>
      </c>
      <c r="AP730" s="73"/>
      <c r="AQ730" s="75"/>
      <c r="AR730" s="76"/>
      <c r="AS730" s="77"/>
      <c r="AV730" s="75"/>
      <c r="AW730" s="83"/>
      <c r="AX730" s="84"/>
      <c r="AY730" s="80"/>
      <c r="BB730" s="81"/>
    </row>
    <row r="731" spans="1:73" s="32" customFormat="1" ht="15" customHeight="1">
      <c r="A731" s="24" t="s">
        <v>2937</v>
      </c>
      <c r="B731" s="139" t="s">
        <v>3082</v>
      </c>
      <c r="C731" s="23" t="s">
        <v>2360</v>
      </c>
      <c r="D731" s="31">
        <v>998</v>
      </c>
      <c r="E731" s="139">
        <v>1</v>
      </c>
      <c r="F731" s="139"/>
      <c r="G731" s="139" t="s">
        <v>2531</v>
      </c>
      <c r="H731" s="139"/>
      <c r="I731" s="139"/>
      <c r="J731" s="139" t="s">
        <v>861</v>
      </c>
      <c r="K731" s="139" t="s">
        <v>202</v>
      </c>
      <c r="L731" s="139"/>
      <c r="M731" s="139"/>
      <c r="N731" s="140"/>
      <c r="O731" s="75"/>
      <c r="P731" s="76"/>
      <c r="Q731" s="77"/>
      <c r="R731" s="66"/>
      <c r="S731" s="113"/>
      <c r="T731" s="68"/>
      <c r="U731" s="75"/>
      <c r="V731" s="83"/>
      <c r="W731" s="84"/>
      <c r="X731" s="80"/>
      <c r="Y731" s="66"/>
      <c r="Z731" s="68"/>
      <c r="AA731" s="81"/>
      <c r="AB731" s="142"/>
      <c r="AC731" s="139"/>
      <c r="AD731" s="139"/>
      <c r="AE731" s="139"/>
      <c r="AF731" s="139"/>
      <c r="AG731" s="139"/>
      <c r="AH731" s="139"/>
      <c r="AI731" s="139" t="s">
        <v>2531</v>
      </c>
      <c r="AJ731" s="139"/>
      <c r="AK731" s="139"/>
      <c r="AL731" s="139" t="s">
        <v>861</v>
      </c>
      <c r="AM731" s="139"/>
      <c r="AN731" s="139"/>
      <c r="AO731" s="139"/>
      <c r="AP731" s="143"/>
      <c r="AQ731" s="86"/>
      <c r="AR731" s="87"/>
      <c r="AS731" s="88"/>
      <c r="AT731" s="89"/>
      <c r="AU731" s="90"/>
      <c r="AV731" s="86"/>
      <c r="AW731" s="91"/>
      <c r="AX731" s="92"/>
      <c r="AY731" s="93"/>
      <c r="AZ731" s="89"/>
      <c r="BA731" s="90"/>
      <c r="BB731" s="94"/>
      <c r="BC731" s="142"/>
      <c r="BD731" s="139"/>
      <c r="BE731" s="139"/>
      <c r="BF731" s="141"/>
      <c r="BG731" s="139"/>
      <c r="BH731" s="139"/>
      <c r="BI731" s="139"/>
      <c r="BJ731" s="139"/>
      <c r="BK731" s="139"/>
      <c r="BL731" s="139"/>
      <c r="BM731" s="139"/>
      <c r="BN731" s="139"/>
      <c r="BO731" s="139"/>
      <c r="BP731" s="139"/>
      <c r="BQ731" s="139"/>
      <c r="BR731" s="139"/>
      <c r="BS731" s="139"/>
      <c r="BT731" s="139"/>
      <c r="BU731" s="139"/>
    </row>
    <row r="732" spans="1:73" s="32" customFormat="1" ht="15" customHeight="1">
      <c r="A732" s="24" t="s">
        <v>2937</v>
      </c>
      <c r="B732" s="32" t="s">
        <v>3083</v>
      </c>
      <c r="C732" s="23" t="s">
        <v>2360</v>
      </c>
      <c r="D732" s="24">
        <v>999</v>
      </c>
      <c r="E732" s="32">
        <v>1</v>
      </c>
      <c r="G732" s="32" t="s">
        <v>2536</v>
      </c>
      <c r="J732" s="32" t="s">
        <v>861</v>
      </c>
      <c r="K732" s="32" t="s">
        <v>26</v>
      </c>
      <c r="N732" s="85"/>
      <c r="O732" s="86"/>
      <c r="P732" s="87"/>
      <c r="Q732" s="88"/>
      <c r="R732" s="89"/>
      <c r="S732" s="113"/>
      <c r="T732" s="90"/>
      <c r="U732" s="86"/>
      <c r="V732" s="91"/>
      <c r="W732" s="92"/>
      <c r="X732" s="93"/>
      <c r="Y732" s="89"/>
      <c r="Z732" s="90"/>
      <c r="AA732" s="94"/>
      <c r="AI732" s="32" t="s">
        <v>2536</v>
      </c>
      <c r="AL732" s="32" t="s">
        <v>861</v>
      </c>
      <c r="AP732" s="85"/>
      <c r="AQ732" s="86"/>
      <c r="AR732" s="87"/>
      <c r="AS732" s="88"/>
      <c r="AT732" s="89"/>
      <c r="AU732" s="90"/>
      <c r="AV732" s="86"/>
      <c r="AW732" s="91"/>
      <c r="AX732" s="92"/>
      <c r="AY732" s="93"/>
      <c r="AZ732" s="89"/>
      <c r="BA732" s="90"/>
      <c r="BB732" s="94"/>
      <c r="BF732" s="25"/>
    </row>
    <row r="733" spans="1:73" ht="15" customHeight="1">
      <c r="A733" s="41" t="s">
        <v>2940</v>
      </c>
      <c r="B733" s="41" t="s">
        <v>2943</v>
      </c>
      <c r="C733" s="41" t="s">
        <v>2361</v>
      </c>
      <c r="D733" s="116">
        <v>106</v>
      </c>
      <c r="E733" s="41">
        <v>2</v>
      </c>
      <c r="F733" s="41"/>
      <c r="G733" s="41" t="s">
        <v>2944</v>
      </c>
      <c r="H733" s="28"/>
      <c r="J733" s="23" t="s">
        <v>27</v>
      </c>
      <c r="K733" s="23" t="s">
        <v>198</v>
      </c>
      <c r="L733" s="23">
        <v>0</v>
      </c>
      <c r="N733" s="24">
        <v>1</v>
      </c>
      <c r="O733" s="118">
        <v>1</v>
      </c>
      <c r="P733" s="119"/>
      <c r="Q733" s="120">
        <v>1</v>
      </c>
      <c r="R733" s="29"/>
      <c r="S733" s="121"/>
      <c r="T733" s="122"/>
      <c r="U733" s="118"/>
      <c r="V733" s="123"/>
      <c r="W733" s="124"/>
      <c r="X733" s="125"/>
      <c r="Y733" s="29"/>
      <c r="Z733" s="122"/>
      <c r="AA733" s="126"/>
      <c r="AB733" s="16" t="s">
        <v>1083</v>
      </c>
      <c r="AD733" s="23" t="s">
        <v>2945</v>
      </c>
      <c r="AF733" s="23" t="s">
        <v>2946</v>
      </c>
      <c r="AI733" s="28"/>
      <c r="AJ733" s="28"/>
      <c r="AO733" s="24"/>
      <c r="AP733" s="24"/>
      <c r="AQ733" s="118"/>
      <c r="AR733" s="119"/>
      <c r="AS733" s="120"/>
      <c r="AT733" s="29"/>
      <c r="AU733" s="122"/>
      <c r="AV733" s="118"/>
      <c r="AW733" s="123"/>
      <c r="AX733" s="124"/>
      <c r="AY733" s="125"/>
      <c r="AZ733" s="29"/>
      <c r="BA733" s="122"/>
      <c r="BB733" s="126"/>
      <c r="BE733" s="24"/>
      <c r="BF733" s="23"/>
    </row>
    <row r="734" spans="1:73" ht="15" customHeight="1">
      <c r="A734" s="28" t="s">
        <v>2940</v>
      </c>
      <c r="B734" s="23" t="s">
        <v>2947</v>
      </c>
      <c r="C734" s="23" t="s">
        <v>2361</v>
      </c>
      <c r="D734" s="24">
        <v>107</v>
      </c>
      <c r="E734" s="23">
        <v>2</v>
      </c>
      <c r="G734" s="23" t="s">
        <v>2948</v>
      </c>
      <c r="J734" s="23" t="s">
        <v>257</v>
      </c>
      <c r="K734" s="23" t="s">
        <v>198</v>
      </c>
      <c r="L734" s="23">
        <v>1</v>
      </c>
      <c r="N734" s="24">
        <v>1</v>
      </c>
      <c r="O734" s="118"/>
      <c r="P734" s="119"/>
      <c r="Q734" s="120">
        <v>1</v>
      </c>
      <c r="R734" s="29">
        <v>1</v>
      </c>
      <c r="S734" s="121"/>
      <c r="T734" s="122"/>
      <c r="U734" s="118">
        <v>1</v>
      </c>
      <c r="V734" s="123"/>
      <c r="W734" s="124"/>
      <c r="X734" s="125"/>
      <c r="Y734" s="29"/>
      <c r="Z734" s="122"/>
      <c r="AA734" s="126"/>
      <c r="AB734" s="16" t="s">
        <v>1087</v>
      </c>
      <c r="AD734" s="23" t="s">
        <v>2949</v>
      </c>
      <c r="AF734" s="23" t="s">
        <v>2950</v>
      </c>
      <c r="AO734" s="24"/>
      <c r="AP734" s="24"/>
      <c r="AQ734" s="118"/>
      <c r="AR734" s="119"/>
      <c r="AS734" s="120"/>
      <c r="AT734" s="29"/>
      <c r="AU734" s="122"/>
      <c r="AV734" s="118"/>
      <c r="AW734" s="123"/>
      <c r="AX734" s="124"/>
      <c r="AY734" s="125"/>
      <c r="AZ734" s="29"/>
      <c r="BA734" s="122"/>
      <c r="BB734" s="126"/>
      <c r="BE734" s="24"/>
      <c r="BF734" s="23"/>
    </row>
    <row r="735" spans="1:73" ht="15" customHeight="1">
      <c r="A735" s="28" t="s">
        <v>2940</v>
      </c>
      <c r="B735" s="23" t="s">
        <v>2951</v>
      </c>
      <c r="C735" s="23" t="s">
        <v>2361</v>
      </c>
      <c r="D735" s="24">
        <v>108</v>
      </c>
      <c r="E735" s="23">
        <v>2</v>
      </c>
      <c r="G735" s="23" t="s">
        <v>2952</v>
      </c>
      <c r="J735" s="23" t="s">
        <v>27</v>
      </c>
      <c r="K735" s="23" t="s">
        <v>199</v>
      </c>
      <c r="L735" s="23">
        <v>0</v>
      </c>
      <c r="N735" s="24">
        <v>1</v>
      </c>
      <c r="O735" s="118">
        <v>1</v>
      </c>
      <c r="P735" s="119"/>
      <c r="Q735" s="120">
        <v>1</v>
      </c>
      <c r="R735" s="29"/>
      <c r="S735" s="121"/>
      <c r="T735" s="122"/>
      <c r="U735" s="118"/>
      <c r="V735" s="123"/>
      <c r="W735" s="124"/>
      <c r="X735" s="125"/>
      <c r="Y735" s="29"/>
      <c r="Z735" s="122"/>
      <c r="AA735" s="126"/>
      <c r="AB735" s="16" t="s">
        <v>1083</v>
      </c>
      <c r="AD735" s="23" t="s">
        <v>340</v>
      </c>
      <c r="AF735" s="23" t="s">
        <v>2953</v>
      </c>
      <c r="AO735" s="24"/>
      <c r="AP735" s="24"/>
      <c r="AQ735" s="118"/>
      <c r="AR735" s="119"/>
      <c r="AS735" s="120"/>
      <c r="AT735" s="29"/>
      <c r="AU735" s="122"/>
      <c r="AV735" s="118"/>
      <c r="AW735" s="123"/>
      <c r="AX735" s="124"/>
      <c r="AY735" s="125"/>
      <c r="AZ735" s="29"/>
      <c r="BA735" s="122"/>
      <c r="BB735" s="126"/>
      <c r="BE735" s="24"/>
      <c r="BF735" s="23"/>
    </row>
    <row r="736" spans="1:73" ht="15" customHeight="1">
      <c r="A736" s="28" t="s">
        <v>2940</v>
      </c>
      <c r="B736" s="23" t="s">
        <v>2954</v>
      </c>
      <c r="C736" s="23" t="s">
        <v>2361</v>
      </c>
      <c r="D736" s="24">
        <v>109</v>
      </c>
      <c r="E736" s="23">
        <v>2</v>
      </c>
      <c r="G736" s="23" t="s">
        <v>2955</v>
      </c>
      <c r="J736" s="23" t="s">
        <v>257</v>
      </c>
      <c r="K736" s="23" t="s">
        <v>199</v>
      </c>
      <c r="L736" s="23">
        <v>1</v>
      </c>
      <c r="N736" s="24">
        <v>1</v>
      </c>
      <c r="O736" s="118"/>
      <c r="P736" s="119">
        <v>1</v>
      </c>
      <c r="Q736" s="120">
        <v>1</v>
      </c>
      <c r="R736" s="29"/>
      <c r="S736" s="121"/>
      <c r="T736" s="122"/>
      <c r="U736" s="118">
        <v>1</v>
      </c>
      <c r="V736" s="123"/>
      <c r="W736" s="124"/>
      <c r="X736" s="125"/>
      <c r="Y736" s="29"/>
      <c r="Z736" s="122"/>
      <c r="AA736" s="126"/>
      <c r="AB736" s="16" t="s">
        <v>1091</v>
      </c>
      <c r="AD736" s="23" t="s">
        <v>2949</v>
      </c>
      <c r="AF736" s="23" t="s">
        <v>2956</v>
      </c>
      <c r="AO736" s="24"/>
      <c r="AP736" s="24"/>
      <c r="AQ736" s="118"/>
      <c r="AR736" s="119"/>
      <c r="AS736" s="120"/>
      <c r="AT736" s="29"/>
      <c r="AU736" s="122"/>
      <c r="AV736" s="118"/>
      <c r="AW736" s="123"/>
      <c r="AX736" s="124"/>
      <c r="AY736" s="125"/>
      <c r="AZ736" s="29"/>
      <c r="BA736" s="122"/>
      <c r="BB736" s="126"/>
      <c r="BE736" s="24"/>
      <c r="BF736" s="23"/>
    </row>
    <row r="737" spans="1:59" ht="15" customHeight="1">
      <c r="A737" s="28" t="s">
        <v>2940</v>
      </c>
      <c r="B737" s="23" t="s">
        <v>2957</v>
      </c>
      <c r="C737" s="23" t="s">
        <v>2361</v>
      </c>
      <c r="D737" s="23">
        <v>110</v>
      </c>
      <c r="E737" s="23">
        <v>2</v>
      </c>
      <c r="G737" s="23" t="s">
        <v>2958</v>
      </c>
      <c r="J737" s="23" t="s">
        <v>257</v>
      </c>
      <c r="K737" s="23" t="s">
        <v>201</v>
      </c>
      <c r="L737" s="23">
        <v>0</v>
      </c>
      <c r="N737" s="23">
        <v>2</v>
      </c>
      <c r="O737" s="118"/>
      <c r="P737" s="119"/>
      <c r="Q737" s="120">
        <v>1</v>
      </c>
      <c r="R737" s="29"/>
      <c r="S737" s="121"/>
      <c r="T737" s="122"/>
      <c r="U737" s="118"/>
      <c r="V737" s="123"/>
      <c r="W737" s="124"/>
      <c r="X737" s="125"/>
      <c r="Y737" s="29"/>
      <c r="Z737" s="122"/>
      <c r="AA737" s="126"/>
      <c r="AB737" s="16" t="s">
        <v>206</v>
      </c>
      <c r="AC737" s="23" t="s">
        <v>258</v>
      </c>
      <c r="AD737" s="23" t="s">
        <v>352</v>
      </c>
      <c r="AE737" s="23"/>
      <c r="AF737" s="23" t="s">
        <v>2959</v>
      </c>
      <c r="AO737" s="24"/>
      <c r="AP737" s="23"/>
      <c r="AQ737" s="118"/>
      <c r="AR737" s="119"/>
      <c r="AS737" s="120"/>
      <c r="AT737" s="29"/>
      <c r="AU737" s="122"/>
      <c r="AV737" s="118"/>
      <c r="AW737" s="123"/>
      <c r="AX737" s="124"/>
      <c r="AY737" s="125"/>
      <c r="AZ737" s="29"/>
      <c r="BA737" s="122"/>
      <c r="BB737" s="126"/>
      <c r="BE737" s="24"/>
      <c r="BF737" s="23"/>
    </row>
    <row r="738" spans="1:59" ht="15" customHeight="1">
      <c r="A738" s="28" t="s">
        <v>2940</v>
      </c>
      <c r="B738" s="23" t="s">
        <v>2960</v>
      </c>
      <c r="C738" s="23" t="s">
        <v>2361</v>
      </c>
      <c r="D738" s="23">
        <v>111</v>
      </c>
      <c r="E738" s="23">
        <v>2</v>
      </c>
      <c r="G738" s="23" t="s">
        <v>2961</v>
      </c>
      <c r="J738" s="23" t="s">
        <v>257</v>
      </c>
      <c r="K738" s="23" t="s">
        <v>201</v>
      </c>
      <c r="L738" s="23">
        <v>1</v>
      </c>
      <c r="N738" s="23">
        <v>1</v>
      </c>
      <c r="O738" s="118">
        <v>1</v>
      </c>
      <c r="P738" s="119"/>
      <c r="Q738" s="120"/>
      <c r="R738" s="29">
        <v>1</v>
      </c>
      <c r="S738" s="121"/>
      <c r="T738" s="122"/>
      <c r="U738" s="118">
        <v>1</v>
      </c>
      <c r="V738" s="123"/>
      <c r="W738" s="124"/>
      <c r="X738" s="125"/>
      <c r="Y738" s="29"/>
      <c r="Z738" s="122"/>
      <c r="AA738" s="126"/>
      <c r="AB738" s="127" t="s">
        <v>1085</v>
      </c>
      <c r="AD738" s="23" t="s">
        <v>2949</v>
      </c>
      <c r="AE738" s="23"/>
      <c r="AF738" s="23" t="s">
        <v>2962</v>
      </c>
      <c r="AO738" s="24"/>
      <c r="AP738" s="23"/>
      <c r="AQ738" s="118"/>
      <c r="AR738" s="119"/>
      <c r="AS738" s="120"/>
      <c r="AT738" s="29"/>
      <c r="AU738" s="122"/>
      <c r="AV738" s="118"/>
      <c r="AW738" s="123"/>
      <c r="AX738" s="124"/>
      <c r="AY738" s="125"/>
      <c r="AZ738" s="29"/>
      <c r="BA738" s="122"/>
      <c r="BB738" s="126"/>
      <c r="BE738" s="24"/>
      <c r="BF738" s="23"/>
    </row>
    <row r="739" spans="1:59" ht="15" customHeight="1">
      <c r="A739" s="28" t="s">
        <v>2940</v>
      </c>
      <c r="B739" s="23" t="s">
        <v>2963</v>
      </c>
      <c r="C739" s="23" t="s">
        <v>2361</v>
      </c>
      <c r="D739" s="23">
        <v>112</v>
      </c>
      <c r="E739" s="23">
        <v>2</v>
      </c>
      <c r="G739" s="23" t="s">
        <v>2964</v>
      </c>
      <c r="H739" s="23" t="s">
        <v>2965</v>
      </c>
      <c r="I739" s="23" t="s">
        <v>223</v>
      </c>
      <c r="J739" s="23" t="s">
        <v>257</v>
      </c>
      <c r="K739" s="23" t="s">
        <v>200</v>
      </c>
      <c r="L739" s="23">
        <v>0</v>
      </c>
      <c r="N739" s="23">
        <v>2</v>
      </c>
      <c r="O739" s="118"/>
      <c r="P739" s="119">
        <v>1</v>
      </c>
      <c r="Q739" s="120"/>
      <c r="R739" s="29"/>
      <c r="S739" s="121"/>
      <c r="T739" s="122">
        <v>2</v>
      </c>
      <c r="U739" s="118">
        <v>1</v>
      </c>
      <c r="V739" s="123"/>
      <c r="W739" s="124"/>
      <c r="X739" s="125"/>
      <c r="Y739" s="29"/>
      <c r="Z739" s="122"/>
      <c r="AA739" s="126"/>
      <c r="AB739" s="16" t="s">
        <v>205</v>
      </c>
      <c r="AC739" s="23" t="s">
        <v>25</v>
      </c>
      <c r="AD739" s="23" t="s">
        <v>2966</v>
      </c>
      <c r="AE739" s="23"/>
      <c r="AF739" s="23" t="s">
        <v>2967</v>
      </c>
      <c r="AO739" s="24"/>
      <c r="AP739" s="23"/>
      <c r="AQ739" s="118"/>
      <c r="AR739" s="119"/>
      <c r="AS739" s="120"/>
      <c r="AT739" s="29"/>
      <c r="AU739" s="122"/>
      <c r="AV739" s="118"/>
      <c r="AW739" s="123"/>
      <c r="AX739" s="124"/>
      <c r="AY739" s="125"/>
      <c r="AZ739" s="29"/>
      <c r="BA739" s="122"/>
      <c r="BB739" s="126"/>
      <c r="BE739" s="24"/>
      <c r="BF739" s="23"/>
    </row>
    <row r="740" spans="1:59" ht="15" customHeight="1">
      <c r="A740" s="28" t="s">
        <v>2940</v>
      </c>
      <c r="B740" s="23" t="s">
        <v>2968</v>
      </c>
      <c r="C740" s="23" t="s">
        <v>2361</v>
      </c>
      <c r="D740" s="23">
        <v>113</v>
      </c>
      <c r="E740" s="23">
        <v>2</v>
      </c>
      <c r="G740" s="23" t="s">
        <v>2969</v>
      </c>
      <c r="J740" s="23" t="s">
        <v>257</v>
      </c>
      <c r="K740" s="23" t="s">
        <v>200</v>
      </c>
      <c r="L740" s="23">
        <v>1</v>
      </c>
      <c r="N740" s="23">
        <v>1</v>
      </c>
      <c r="O740" s="118">
        <v>1</v>
      </c>
      <c r="P740" s="119"/>
      <c r="Q740" s="120"/>
      <c r="R740" s="29"/>
      <c r="S740" s="121"/>
      <c r="T740" s="122"/>
      <c r="U740" s="118">
        <v>1</v>
      </c>
      <c r="V740" s="123"/>
      <c r="W740" s="124"/>
      <c r="X740" s="125"/>
      <c r="Y740" s="29"/>
      <c r="Z740" s="122"/>
      <c r="AA740" s="126"/>
      <c r="AB740" s="127" t="s">
        <v>204</v>
      </c>
      <c r="AD740" s="23" t="s">
        <v>2949</v>
      </c>
      <c r="AE740" s="23"/>
      <c r="AF740" s="23" t="s">
        <v>2970</v>
      </c>
      <c r="AO740" s="24"/>
      <c r="AP740" s="23"/>
      <c r="AQ740" s="118"/>
      <c r="AR740" s="119"/>
      <c r="AS740" s="120"/>
      <c r="AT740" s="29"/>
      <c r="AU740" s="122"/>
      <c r="AV740" s="118"/>
      <c r="AW740" s="123"/>
      <c r="AX740" s="124"/>
      <c r="AY740" s="125"/>
      <c r="AZ740" s="29"/>
      <c r="BA740" s="122"/>
      <c r="BB740" s="126"/>
      <c r="BE740" s="24"/>
      <c r="BF740" s="23"/>
    </row>
    <row r="741" spans="1:59" ht="15" customHeight="1">
      <c r="A741" s="28" t="s">
        <v>2940</v>
      </c>
      <c r="B741" s="23" t="s">
        <v>2971</v>
      </c>
      <c r="C741" s="23" t="s">
        <v>2361</v>
      </c>
      <c r="D741" s="23">
        <v>114</v>
      </c>
      <c r="E741" s="23">
        <v>2</v>
      </c>
      <c r="G741" s="23" t="s">
        <v>2972</v>
      </c>
      <c r="J741" s="23" t="s">
        <v>257</v>
      </c>
      <c r="K741" s="23" t="s">
        <v>202</v>
      </c>
      <c r="L741" s="23">
        <v>0</v>
      </c>
      <c r="N741" s="128">
        <v>0</v>
      </c>
      <c r="O741" s="118">
        <v>1</v>
      </c>
      <c r="P741" s="119"/>
      <c r="Q741" s="120"/>
      <c r="R741" s="29"/>
      <c r="S741" s="121"/>
      <c r="T741" s="122"/>
      <c r="U741" s="118">
        <v>2</v>
      </c>
      <c r="V741" s="123"/>
      <c r="W741" s="124"/>
      <c r="X741" s="125"/>
      <c r="Y741" s="29"/>
      <c r="Z741" s="122"/>
      <c r="AA741" s="126"/>
      <c r="AB741" s="16" t="s">
        <v>204</v>
      </c>
      <c r="AC741" s="23" t="s">
        <v>275</v>
      </c>
      <c r="AD741" s="23" t="s">
        <v>375</v>
      </c>
      <c r="AE741" s="23"/>
      <c r="AO741" s="24"/>
      <c r="AP741" s="23"/>
      <c r="AQ741" s="118"/>
      <c r="AR741" s="119"/>
      <c r="AS741" s="120"/>
      <c r="AT741" s="29"/>
      <c r="AU741" s="122"/>
      <c r="AV741" s="118"/>
      <c r="AW741" s="123"/>
      <c r="AX741" s="124"/>
      <c r="AY741" s="125"/>
      <c r="AZ741" s="29"/>
      <c r="BA741" s="122"/>
      <c r="BB741" s="126"/>
      <c r="BE741" s="24"/>
      <c r="BF741" s="23"/>
    </row>
    <row r="742" spans="1:59" ht="15" customHeight="1">
      <c r="A742" s="28" t="s">
        <v>2940</v>
      </c>
      <c r="B742" s="23" t="s">
        <v>2973</v>
      </c>
      <c r="C742" s="23" t="s">
        <v>2361</v>
      </c>
      <c r="D742" s="23">
        <v>115</v>
      </c>
      <c r="E742" s="23">
        <v>2</v>
      </c>
      <c r="G742" s="23" t="s">
        <v>2974</v>
      </c>
      <c r="J742" s="23" t="s">
        <v>257</v>
      </c>
      <c r="K742" s="23" t="s">
        <v>202</v>
      </c>
      <c r="L742" s="23">
        <v>1</v>
      </c>
      <c r="N742" s="23">
        <v>1</v>
      </c>
      <c r="O742" s="118">
        <v>1</v>
      </c>
      <c r="P742" s="119">
        <v>1</v>
      </c>
      <c r="Q742" s="120"/>
      <c r="R742" s="29"/>
      <c r="S742" s="121"/>
      <c r="T742" s="122"/>
      <c r="U742" s="118">
        <v>1</v>
      </c>
      <c r="V742" s="123"/>
      <c r="W742" s="124"/>
      <c r="X742" s="125"/>
      <c r="Y742" s="29"/>
      <c r="Z742" s="122"/>
      <c r="AA742" s="126"/>
      <c r="AB742" s="127" t="s">
        <v>1092</v>
      </c>
      <c r="AD742" s="23" t="s">
        <v>2949</v>
      </c>
      <c r="AE742" s="23"/>
      <c r="AF742" s="23" t="s">
        <v>2975</v>
      </c>
      <c r="AO742" s="24"/>
      <c r="AP742" s="23"/>
      <c r="AQ742" s="118"/>
      <c r="AR742" s="119"/>
      <c r="AS742" s="120"/>
      <c r="AT742" s="29"/>
      <c r="AU742" s="122"/>
      <c r="AV742" s="118"/>
      <c r="AW742" s="123"/>
      <c r="AX742" s="124"/>
      <c r="AY742" s="125"/>
      <c r="AZ742" s="29"/>
      <c r="BA742" s="122"/>
      <c r="BB742" s="126"/>
      <c r="BE742" s="24"/>
      <c r="BF742" s="23"/>
    </row>
    <row r="743" spans="1:59" ht="15" customHeight="1">
      <c r="A743" s="28" t="s">
        <v>2940</v>
      </c>
      <c r="B743" s="23" t="s">
        <v>2976</v>
      </c>
      <c r="C743" s="23" t="s">
        <v>2361</v>
      </c>
      <c r="D743" s="23">
        <v>116</v>
      </c>
      <c r="E743" s="23">
        <v>2</v>
      </c>
      <c r="G743" s="23" t="s">
        <v>2977</v>
      </c>
      <c r="J743" s="23" t="s">
        <v>312</v>
      </c>
      <c r="K743" s="23" t="s">
        <v>26</v>
      </c>
      <c r="L743" s="23">
        <v>0</v>
      </c>
      <c r="N743" s="23"/>
      <c r="O743" s="118">
        <v>4</v>
      </c>
      <c r="P743" s="119"/>
      <c r="Q743" s="120"/>
      <c r="R743" s="29"/>
      <c r="S743" s="121"/>
      <c r="T743" s="122"/>
      <c r="U743" s="118"/>
      <c r="V743" s="123"/>
      <c r="W743" s="124"/>
      <c r="X743" s="125"/>
      <c r="Y743" s="29"/>
      <c r="Z743" s="122"/>
      <c r="AA743" s="126"/>
      <c r="AB743" s="16" t="s">
        <v>2978</v>
      </c>
      <c r="AD743" s="23" t="s">
        <v>2979</v>
      </c>
      <c r="AE743" s="23"/>
      <c r="AF743" s="23" t="s">
        <v>2980</v>
      </c>
      <c r="AO743" s="24"/>
      <c r="AP743" s="23"/>
      <c r="AQ743" s="118"/>
      <c r="AR743" s="119"/>
      <c r="AS743" s="120"/>
      <c r="AT743" s="29"/>
      <c r="AU743" s="122"/>
      <c r="AV743" s="118"/>
      <c r="AW743" s="123"/>
      <c r="AX743" s="124"/>
      <c r="AY743" s="125"/>
      <c r="AZ743" s="29"/>
      <c r="BA743" s="122"/>
      <c r="BB743" s="126"/>
      <c r="BE743" s="24"/>
      <c r="BF743" s="23"/>
    </row>
    <row r="744" spans="1:59" ht="15" customHeight="1">
      <c r="A744" s="28" t="s">
        <v>2940</v>
      </c>
      <c r="B744" s="23" t="s">
        <v>2981</v>
      </c>
      <c r="C744" s="23" t="s">
        <v>2361</v>
      </c>
      <c r="D744" s="23">
        <v>117</v>
      </c>
      <c r="E744" s="23">
        <v>2</v>
      </c>
      <c r="G744" s="23" t="s">
        <v>2982</v>
      </c>
      <c r="J744" s="23" t="s">
        <v>312</v>
      </c>
      <c r="K744" s="23" t="s">
        <v>26</v>
      </c>
      <c r="L744" s="23">
        <v>0</v>
      </c>
      <c r="N744" s="23"/>
      <c r="O744" s="118"/>
      <c r="P744" s="119">
        <v>4</v>
      </c>
      <c r="Q744" s="120"/>
      <c r="R744" s="29"/>
      <c r="S744" s="121"/>
      <c r="T744" s="122"/>
      <c r="U744" s="118"/>
      <c r="V744" s="123"/>
      <c r="W744" s="124"/>
      <c r="X744" s="125"/>
      <c r="Y744" s="29"/>
      <c r="Z744" s="122"/>
      <c r="AA744" s="126"/>
      <c r="AB744" s="127" t="s">
        <v>2983</v>
      </c>
      <c r="AD744" s="23" t="s">
        <v>2979</v>
      </c>
      <c r="AE744" s="23"/>
      <c r="AF744" s="23" t="s">
        <v>2980</v>
      </c>
      <c r="AO744" s="24"/>
      <c r="AP744" s="23"/>
      <c r="AQ744" s="118"/>
      <c r="AR744" s="119"/>
      <c r="AS744" s="120"/>
      <c r="AT744" s="29"/>
      <c r="AU744" s="122"/>
      <c r="AV744" s="118"/>
      <c r="AW744" s="123"/>
      <c r="AX744" s="124"/>
      <c r="AY744" s="125"/>
      <c r="AZ744" s="29"/>
      <c r="BA744" s="122"/>
      <c r="BB744" s="126"/>
      <c r="BE744" s="24"/>
      <c r="BF744" s="23"/>
    </row>
    <row r="745" spans="1:59" ht="15" customHeight="1">
      <c r="A745" s="28" t="s">
        <v>2940</v>
      </c>
      <c r="B745" s="23" t="s">
        <v>2984</v>
      </c>
      <c r="C745" s="23" t="s">
        <v>2361</v>
      </c>
      <c r="D745" s="23">
        <v>118</v>
      </c>
      <c r="E745" s="23">
        <v>2</v>
      </c>
      <c r="G745" s="23" t="s">
        <v>2985</v>
      </c>
      <c r="J745" s="23" t="s">
        <v>312</v>
      </c>
      <c r="K745" s="23" t="s">
        <v>26</v>
      </c>
      <c r="L745" s="23">
        <v>0</v>
      </c>
      <c r="N745" s="23"/>
      <c r="O745" s="118"/>
      <c r="P745" s="119"/>
      <c r="Q745" s="120">
        <v>4</v>
      </c>
      <c r="R745" s="29"/>
      <c r="S745" s="121"/>
      <c r="T745" s="122"/>
      <c r="U745" s="118"/>
      <c r="V745" s="123"/>
      <c r="W745" s="124"/>
      <c r="X745" s="125"/>
      <c r="Y745" s="29"/>
      <c r="Z745" s="122"/>
      <c r="AA745" s="126"/>
      <c r="AB745" s="16" t="s">
        <v>2541</v>
      </c>
      <c r="AD745" s="23" t="s">
        <v>2979</v>
      </c>
      <c r="AE745" s="23"/>
      <c r="AF745" s="23" t="s">
        <v>2980</v>
      </c>
      <c r="AO745" s="24"/>
      <c r="AP745" s="23"/>
      <c r="AQ745" s="118"/>
      <c r="AR745" s="119"/>
      <c r="AS745" s="120"/>
      <c r="AT745" s="29"/>
      <c r="AU745" s="122"/>
      <c r="AV745" s="118"/>
      <c r="AW745" s="123"/>
      <c r="AX745" s="124"/>
      <c r="AY745" s="125"/>
      <c r="AZ745" s="29"/>
      <c r="BA745" s="122"/>
      <c r="BB745" s="126"/>
      <c r="BE745" s="24"/>
      <c r="BF745" s="23"/>
    </row>
    <row r="746" spans="1:59" ht="15" customHeight="1">
      <c r="A746" s="28" t="s">
        <v>2940</v>
      </c>
      <c r="B746" s="23" t="s">
        <v>2986</v>
      </c>
      <c r="C746" s="23" t="s">
        <v>2361</v>
      </c>
      <c r="D746" s="23">
        <v>119</v>
      </c>
      <c r="E746" s="23">
        <v>2</v>
      </c>
      <c r="G746" s="23" t="s">
        <v>2987</v>
      </c>
      <c r="J746" s="23" t="s">
        <v>312</v>
      </c>
      <c r="K746" s="23" t="s">
        <v>26</v>
      </c>
      <c r="L746" s="23">
        <v>0</v>
      </c>
      <c r="N746" s="23"/>
      <c r="O746" s="118"/>
      <c r="P746" s="119"/>
      <c r="Q746" s="120"/>
      <c r="R746" s="29">
        <v>4</v>
      </c>
      <c r="S746" s="121"/>
      <c r="T746" s="122"/>
      <c r="U746" s="118"/>
      <c r="V746" s="123"/>
      <c r="W746" s="124"/>
      <c r="X746" s="125"/>
      <c r="Y746" s="29"/>
      <c r="Z746" s="122"/>
      <c r="AA746" s="126"/>
      <c r="AB746" s="127" t="s">
        <v>2988</v>
      </c>
      <c r="AD746" s="23" t="s">
        <v>2979</v>
      </c>
      <c r="AE746" s="23"/>
      <c r="AF746" s="23" t="s">
        <v>2980</v>
      </c>
      <c r="AO746" s="24"/>
      <c r="AP746" s="23"/>
      <c r="AQ746" s="118"/>
      <c r="AR746" s="119"/>
      <c r="AS746" s="120"/>
      <c r="AT746" s="29"/>
      <c r="AU746" s="122"/>
      <c r="AV746" s="118"/>
      <c r="AW746" s="123"/>
      <c r="AX746" s="124"/>
      <c r="AY746" s="125"/>
      <c r="AZ746" s="29"/>
      <c r="BA746" s="122"/>
      <c r="BB746" s="126"/>
      <c r="BE746" s="24"/>
      <c r="BF746" s="23"/>
    </row>
    <row r="747" spans="1:59" ht="15" customHeight="1">
      <c r="A747" s="28" t="s">
        <v>2940</v>
      </c>
      <c r="B747" s="23" t="s">
        <v>2989</v>
      </c>
      <c r="C747" s="23" t="s">
        <v>2361</v>
      </c>
      <c r="D747" s="23">
        <v>120</v>
      </c>
      <c r="E747" s="23">
        <v>1</v>
      </c>
      <c r="F747" s="23" t="s">
        <v>2941</v>
      </c>
      <c r="G747" s="23" t="s">
        <v>2941</v>
      </c>
      <c r="J747" s="23" t="s">
        <v>618</v>
      </c>
      <c r="N747" s="23"/>
      <c r="O747" s="118"/>
      <c r="P747" s="119"/>
      <c r="Q747" s="120"/>
      <c r="R747" s="29"/>
      <c r="S747" s="121"/>
      <c r="T747" s="122"/>
      <c r="U747" s="118"/>
      <c r="V747" s="123"/>
      <c r="W747" s="124"/>
      <c r="X747" s="125"/>
      <c r="Y747" s="29"/>
      <c r="Z747" s="122"/>
      <c r="AA747" s="126"/>
      <c r="AB747" s="16"/>
      <c r="AE747" s="23"/>
      <c r="AF747" s="23" t="s">
        <v>2990</v>
      </c>
      <c r="AI747" s="23" t="s">
        <v>2941</v>
      </c>
      <c r="AL747" s="23" t="s">
        <v>618</v>
      </c>
      <c r="AO747" s="24"/>
      <c r="AP747" s="23"/>
      <c r="AQ747" s="118"/>
      <c r="AR747" s="119"/>
      <c r="AS747" s="120"/>
      <c r="AT747" s="29"/>
      <c r="AU747" s="122"/>
      <c r="AV747" s="118"/>
      <c r="AW747" s="123"/>
      <c r="AX747" s="124"/>
      <c r="AY747" s="125"/>
      <c r="AZ747" s="29"/>
      <c r="BA747" s="122"/>
      <c r="BB747" s="126"/>
      <c r="BE747" s="24"/>
      <c r="BF747" s="23"/>
      <c r="BG747" s="23" t="s">
        <v>2991</v>
      </c>
    </row>
    <row r="748" spans="1:59" ht="15" customHeight="1">
      <c r="A748" s="28" t="s">
        <v>2940</v>
      </c>
      <c r="B748" s="23" t="s">
        <v>2992</v>
      </c>
      <c r="C748" s="23" t="s">
        <v>2361</v>
      </c>
      <c r="D748" s="23">
        <v>121</v>
      </c>
      <c r="E748" s="23">
        <v>1</v>
      </c>
      <c r="F748" s="23" t="s">
        <v>2941</v>
      </c>
      <c r="G748" s="23" t="s">
        <v>2993</v>
      </c>
      <c r="J748" s="23" t="s">
        <v>619</v>
      </c>
      <c r="L748" s="23">
        <v>1</v>
      </c>
      <c r="N748" s="23"/>
      <c r="O748" s="118"/>
      <c r="P748" s="119"/>
      <c r="Q748" s="120"/>
      <c r="R748" s="29"/>
      <c r="S748" s="121"/>
      <c r="T748" s="122"/>
      <c r="U748" s="118"/>
      <c r="V748" s="123"/>
      <c r="W748" s="124"/>
      <c r="X748" s="125"/>
      <c r="Y748" s="29"/>
      <c r="Z748" s="122">
        <v>2</v>
      </c>
      <c r="AA748" s="126"/>
      <c r="AB748" s="127"/>
      <c r="AE748" s="23"/>
      <c r="AF748" s="23" t="s">
        <v>2994</v>
      </c>
      <c r="AI748" s="23" t="s">
        <v>3084</v>
      </c>
      <c r="AL748" s="23" t="s">
        <v>619</v>
      </c>
      <c r="AN748" s="23">
        <v>1</v>
      </c>
      <c r="AO748" s="24"/>
      <c r="AP748" s="23"/>
      <c r="AQ748" s="118"/>
      <c r="AR748" s="119"/>
      <c r="AS748" s="120"/>
      <c r="AT748" s="29"/>
      <c r="AU748" s="122"/>
      <c r="AV748" s="118"/>
      <c r="AW748" s="123"/>
      <c r="AX748" s="124"/>
      <c r="AY748" s="125"/>
      <c r="AZ748" s="29"/>
      <c r="BA748" s="122"/>
      <c r="BB748" s="126"/>
      <c r="BE748" s="24"/>
      <c r="BF748" s="23"/>
      <c r="BG748" s="23" t="s">
        <v>2328</v>
      </c>
    </row>
    <row r="749" spans="1:59" ht="15" customHeight="1">
      <c r="A749" s="28" t="s">
        <v>2940</v>
      </c>
      <c r="B749" s="23" t="s">
        <v>2995</v>
      </c>
      <c r="C749" s="23" t="s">
        <v>2361</v>
      </c>
      <c r="D749" s="23">
        <v>122</v>
      </c>
      <c r="E749" s="23">
        <v>1</v>
      </c>
      <c r="F749" s="23" t="s">
        <v>2941</v>
      </c>
      <c r="G749" s="23" t="s">
        <v>2996</v>
      </c>
      <c r="J749" s="23" t="s">
        <v>619</v>
      </c>
      <c r="L749" s="23">
        <v>2</v>
      </c>
      <c r="N749" s="23"/>
      <c r="O749" s="118"/>
      <c r="P749" s="119"/>
      <c r="Q749" s="120"/>
      <c r="R749" s="29"/>
      <c r="S749" s="121"/>
      <c r="T749" s="122"/>
      <c r="U749" s="118"/>
      <c r="V749" s="123"/>
      <c r="W749" s="124"/>
      <c r="X749" s="125"/>
      <c r="Y749" s="29"/>
      <c r="Z749" s="122">
        <v>2</v>
      </c>
      <c r="AA749" s="126"/>
      <c r="AB749" s="127"/>
      <c r="AE749" s="23"/>
      <c r="AF749" s="23" t="s">
        <v>2994</v>
      </c>
      <c r="AI749" s="23" t="s">
        <v>3085</v>
      </c>
      <c r="AL749" s="23" t="s">
        <v>619</v>
      </c>
      <c r="AN749" s="23">
        <v>2</v>
      </c>
      <c r="AO749" s="24"/>
      <c r="AP749" s="23"/>
      <c r="AQ749" s="118"/>
      <c r="AR749" s="119"/>
      <c r="AS749" s="120"/>
      <c r="AT749" s="29"/>
      <c r="AU749" s="122"/>
      <c r="AV749" s="118"/>
      <c r="AW749" s="123"/>
      <c r="AX749" s="124"/>
      <c r="AY749" s="125"/>
      <c r="AZ749" s="29"/>
      <c r="BA749" s="122"/>
      <c r="BB749" s="126"/>
      <c r="BE749" s="24"/>
      <c r="BF749" s="23"/>
      <c r="BG749" s="23" t="s">
        <v>2997</v>
      </c>
    </row>
    <row r="750" spans="1:59" ht="15" customHeight="1">
      <c r="A750" s="28" t="s">
        <v>2940</v>
      </c>
      <c r="B750" s="23" t="s">
        <v>2998</v>
      </c>
      <c r="C750" s="23" t="s">
        <v>2361</v>
      </c>
      <c r="D750" s="23">
        <v>123</v>
      </c>
      <c r="E750" s="23">
        <v>1</v>
      </c>
      <c r="F750" s="23" t="s">
        <v>2941</v>
      </c>
      <c r="G750" s="23" t="s">
        <v>2999</v>
      </c>
      <c r="J750" s="23" t="s">
        <v>619</v>
      </c>
      <c r="L750" s="23">
        <v>3</v>
      </c>
      <c r="N750" s="23"/>
      <c r="O750" s="118"/>
      <c r="P750" s="119"/>
      <c r="Q750" s="120"/>
      <c r="R750" s="29"/>
      <c r="S750" s="121"/>
      <c r="T750" s="122"/>
      <c r="U750" s="118"/>
      <c r="V750" s="123"/>
      <c r="W750" s="124"/>
      <c r="X750" s="125"/>
      <c r="Y750" s="29"/>
      <c r="Z750" s="122">
        <v>3</v>
      </c>
      <c r="AA750" s="126"/>
      <c r="AB750" s="127"/>
      <c r="AE750" s="23"/>
      <c r="AF750" s="23" t="s">
        <v>2994</v>
      </c>
      <c r="AI750" s="23" t="s">
        <v>3086</v>
      </c>
      <c r="AL750" s="23" t="s">
        <v>619</v>
      </c>
      <c r="AN750" s="23">
        <v>3</v>
      </c>
      <c r="AO750" s="24"/>
      <c r="AP750" s="23"/>
      <c r="AQ750" s="118"/>
      <c r="AR750" s="119"/>
      <c r="AS750" s="120"/>
      <c r="AT750" s="29"/>
      <c r="AU750" s="122"/>
      <c r="AV750" s="118"/>
      <c r="AW750" s="123"/>
      <c r="AX750" s="124"/>
      <c r="AY750" s="125"/>
      <c r="AZ750" s="29"/>
      <c r="BA750" s="122"/>
      <c r="BB750" s="126"/>
      <c r="BE750" s="24"/>
      <c r="BF750" s="23"/>
      <c r="BG750" s="23" t="s">
        <v>3000</v>
      </c>
    </row>
    <row r="751" spans="1:59" ht="15" customHeight="1">
      <c r="A751" s="28" t="s">
        <v>2940</v>
      </c>
      <c r="B751" s="23" t="s">
        <v>3001</v>
      </c>
      <c r="C751" s="23" t="s">
        <v>2361</v>
      </c>
      <c r="D751" s="23">
        <v>124</v>
      </c>
      <c r="E751" s="23">
        <v>1</v>
      </c>
      <c r="F751" s="23" t="s">
        <v>2941</v>
      </c>
      <c r="G751" s="23" t="s">
        <v>3002</v>
      </c>
      <c r="J751" s="23" t="s">
        <v>621</v>
      </c>
      <c r="L751" s="23">
        <v>1</v>
      </c>
      <c r="N751" s="23"/>
      <c r="O751" s="118"/>
      <c r="P751" s="119"/>
      <c r="Q751" s="120"/>
      <c r="R751" s="29"/>
      <c r="S751" s="121"/>
      <c r="T751" s="122"/>
      <c r="U751" s="118"/>
      <c r="V751" s="123"/>
      <c r="W751" s="124"/>
      <c r="X751" s="125"/>
      <c r="Y751" s="29">
        <v>2</v>
      </c>
      <c r="Z751" s="122"/>
      <c r="AA751" s="126"/>
      <c r="AB751" s="127"/>
      <c r="AE751" s="23"/>
      <c r="AI751" s="23" t="s">
        <v>3087</v>
      </c>
      <c r="AL751" s="23" t="s">
        <v>621</v>
      </c>
      <c r="AN751" s="23">
        <v>1</v>
      </c>
      <c r="AO751" s="24"/>
      <c r="AP751" s="23"/>
      <c r="AQ751" s="118"/>
      <c r="AR751" s="119"/>
      <c r="AS751" s="120"/>
      <c r="AT751" s="29"/>
      <c r="AU751" s="122"/>
      <c r="AV751" s="118"/>
      <c r="AW751" s="123"/>
      <c r="AX751" s="124"/>
      <c r="AY751" s="125"/>
      <c r="AZ751" s="29"/>
      <c r="BA751" s="122"/>
      <c r="BB751" s="126"/>
      <c r="BE751" s="24"/>
      <c r="BF751" s="23"/>
      <c r="BG751" s="23" t="s">
        <v>3003</v>
      </c>
    </row>
    <row r="752" spans="1:59" ht="15" customHeight="1">
      <c r="A752" s="28" t="s">
        <v>2940</v>
      </c>
      <c r="B752" s="23" t="s">
        <v>3004</v>
      </c>
      <c r="C752" s="23" t="s">
        <v>2361</v>
      </c>
      <c r="D752" s="23">
        <v>125</v>
      </c>
      <c r="E752" s="23">
        <v>1</v>
      </c>
      <c r="F752" s="23" t="s">
        <v>2941</v>
      </c>
      <c r="G752" s="23" t="s">
        <v>3005</v>
      </c>
      <c r="J752" s="23" t="s">
        <v>621</v>
      </c>
      <c r="L752" s="23">
        <v>2</v>
      </c>
      <c r="N752" s="23"/>
      <c r="O752" s="118"/>
      <c r="P752" s="119"/>
      <c r="Q752" s="120"/>
      <c r="R752" s="29"/>
      <c r="S752" s="121"/>
      <c r="T752" s="122"/>
      <c r="U752" s="118"/>
      <c r="V752" s="123"/>
      <c r="W752" s="124"/>
      <c r="X752" s="125"/>
      <c r="Y752" s="29">
        <v>2</v>
      </c>
      <c r="Z752" s="122"/>
      <c r="AA752" s="126"/>
      <c r="AB752" s="127"/>
      <c r="AE752" s="23"/>
      <c r="AI752" s="23" t="s">
        <v>3088</v>
      </c>
      <c r="AL752" s="23" t="s">
        <v>621</v>
      </c>
      <c r="AN752" s="23">
        <v>2</v>
      </c>
      <c r="AO752" s="24"/>
      <c r="AP752" s="23"/>
      <c r="AQ752" s="118"/>
      <c r="AR752" s="119"/>
      <c r="AS752" s="120"/>
      <c r="AT752" s="29"/>
      <c r="AU752" s="122"/>
      <c r="AV752" s="118"/>
      <c r="AW752" s="123"/>
      <c r="AX752" s="124"/>
      <c r="AY752" s="125"/>
      <c r="AZ752" s="29"/>
      <c r="BA752" s="122"/>
      <c r="BB752" s="126"/>
      <c r="BE752" s="24"/>
      <c r="BF752" s="23"/>
      <c r="BG752" s="23" t="s">
        <v>3006</v>
      </c>
    </row>
    <row r="753" spans="1:59" ht="15" customHeight="1">
      <c r="A753" s="28" t="s">
        <v>2940</v>
      </c>
      <c r="B753" s="23" t="s">
        <v>3007</v>
      </c>
      <c r="C753" s="23" t="s">
        <v>2361</v>
      </c>
      <c r="D753" s="23">
        <v>126</v>
      </c>
      <c r="E753" s="23">
        <v>1</v>
      </c>
      <c r="F753" s="23" t="s">
        <v>2941</v>
      </c>
      <c r="G753" s="23" t="s">
        <v>3008</v>
      </c>
      <c r="J753" s="23" t="s">
        <v>621</v>
      </c>
      <c r="L753" s="23">
        <v>3</v>
      </c>
      <c r="N753" s="23"/>
      <c r="O753" s="118"/>
      <c r="P753" s="119"/>
      <c r="Q753" s="120"/>
      <c r="R753" s="29"/>
      <c r="S753" s="121"/>
      <c r="T753" s="122"/>
      <c r="U753" s="118"/>
      <c r="V753" s="123"/>
      <c r="W753" s="124"/>
      <c r="X753" s="125"/>
      <c r="Y753" s="29">
        <v>3</v>
      </c>
      <c r="Z753" s="122"/>
      <c r="AA753" s="126"/>
      <c r="AB753" s="127"/>
      <c r="AE753" s="23"/>
      <c r="AF753" s="23" t="s">
        <v>3009</v>
      </c>
      <c r="AI753" s="23" t="s">
        <v>3089</v>
      </c>
      <c r="AL753" s="23" t="s">
        <v>621</v>
      </c>
      <c r="AN753" s="23">
        <v>3</v>
      </c>
      <c r="AO753" s="24"/>
      <c r="AP753" s="23"/>
      <c r="AQ753" s="118"/>
      <c r="AR753" s="119"/>
      <c r="AS753" s="120"/>
      <c r="AT753" s="29"/>
      <c r="AU753" s="122"/>
      <c r="AV753" s="118"/>
      <c r="AW753" s="123"/>
      <c r="AX753" s="124"/>
      <c r="AY753" s="125"/>
      <c r="AZ753" s="29"/>
      <c r="BA753" s="122"/>
      <c r="BB753" s="126"/>
      <c r="BE753" s="24"/>
      <c r="BF753" s="23"/>
      <c r="BG753" s="23" t="s">
        <v>3010</v>
      </c>
    </row>
    <row r="754" spans="1:59" ht="15" customHeight="1">
      <c r="A754" s="28" t="s">
        <v>2940</v>
      </c>
      <c r="B754" s="23" t="s">
        <v>3011</v>
      </c>
      <c r="C754" s="23" t="s">
        <v>2361</v>
      </c>
      <c r="D754" s="23">
        <v>127</v>
      </c>
      <c r="E754" s="23">
        <v>1</v>
      </c>
      <c r="F754" s="23" t="s">
        <v>2941</v>
      </c>
      <c r="G754" s="23" t="s">
        <v>3012</v>
      </c>
      <c r="J754" s="23" t="s">
        <v>31</v>
      </c>
      <c r="N754" s="23"/>
      <c r="O754" s="118"/>
      <c r="P754" s="119"/>
      <c r="Q754" s="120"/>
      <c r="R754" s="29"/>
      <c r="S754" s="121"/>
      <c r="T754" s="122"/>
      <c r="U754" s="118"/>
      <c r="V754" s="123"/>
      <c r="W754" s="124"/>
      <c r="X754" s="125"/>
      <c r="Y754" s="29"/>
      <c r="Z754" s="122"/>
      <c r="AA754" s="126"/>
      <c r="AB754" s="127"/>
      <c r="AD754" s="23" t="s">
        <v>3013</v>
      </c>
      <c r="AE754" s="23"/>
      <c r="AF754" s="23" t="s">
        <v>3014</v>
      </c>
      <c r="AI754" s="23" t="s">
        <v>3012</v>
      </c>
      <c r="AL754" s="23" t="s">
        <v>31</v>
      </c>
      <c r="AO754" s="24"/>
      <c r="AP754" s="23"/>
      <c r="AQ754" s="118"/>
      <c r="AR754" s="119"/>
      <c r="AS754" s="120"/>
      <c r="AT754" s="29"/>
      <c r="AU754" s="122"/>
      <c r="AV754" s="118"/>
      <c r="AW754" s="123"/>
      <c r="AX754" s="124"/>
      <c r="AY754" s="125">
        <v>2</v>
      </c>
      <c r="AZ754" s="29">
        <v>0</v>
      </c>
      <c r="BA754" s="122"/>
      <c r="BB754" s="126"/>
      <c r="BE754" s="24" t="s">
        <v>3013</v>
      </c>
      <c r="BF754" s="23"/>
      <c r="BG754" s="23" t="s">
        <v>3015</v>
      </c>
    </row>
    <row r="755" spans="1:59" ht="15" customHeight="1">
      <c r="A755" s="28" t="s">
        <v>2940</v>
      </c>
      <c r="B755" s="23" t="s">
        <v>3016</v>
      </c>
      <c r="C755" s="23" t="s">
        <v>2361</v>
      </c>
      <c r="D755" s="23">
        <v>128</v>
      </c>
      <c r="E755" s="23">
        <v>1</v>
      </c>
      <c r="F755" s="23" t="s">
        <v>2941</v>
      </c>
      <c r="G755" s="23" t="s">
        <v>744</v>
      </c>
      <c r="J755" s="23" t="s">
        <v>31</v>
      </c>
      <c r="N755" s="23"/>
      <c r="O755" s="118"/>
      <c r="P755" s="119"/>
      <c r="Q755" s="120"/>
      <c r="R755" s="29"/>
      <c r="S755" s="121"/>
      <c r="T755" s="122"/>
      <c r="U755" s="118"/>
      <c r="V755" s="123"/>
      <c r="W755" s="124"/>
      <c r="X755" s="125"/>
      <c r="Y755" s="29"/>
      <c r="Z755" s="122"/>
      <c r="AA755" s="126"/>
      <c r="AB755" s="127"/>
      <c r="AD755" s="23" t="s">
        <v>3013</v>
      </c>
      <c r="AE755" s="23"/>
      <c r="AF755" s="23" t="s">
        <v>3017</v>
      </c>
      <c r="AI755" s="23" t="s">
        <v>744</v>
      </c>
      <c r="AJ755" s="23" t="s">
        <v>3018</v>
      </c>
      <c r="AL755" s="23" t="s">
        <v>31</v>
      </c>
      <c r="AO755" s="24"/>
      <c r="AP755" s="23"/>
      <c r="AQ755" s="118"/>
      <c r="AR755" s="119"/>
      <c r="AS755" s="120"/>
      <c r="AT755" s="29"/>
      <c r="AU755" s="122"/>
      <c r="AV755" s="118"/>
      <c r="AW755" s="123"/>
      <c r="AX755" s="124"/>
      <c r="AY755" s="125">
        <v>4</v>
      </c>
      <c r="AZ755" s="29">
        <v>1</v>
      </c>
      <c r="BA755" s="122"/>
      <c r="BB755" s="126"/>
      <c r="BE755" s="24" t="s">
        <v>3013</v>
      </c>
      <c r="BF755" s="23"/>
      <c r="BG755" s="23" t="s">
        <v>3019</v>
      </c>
    </row>
    <row r="756" spans="1:59" ht="15" customHeight="1">
      <c r="A756" s="28" t="s">
        <v>2940</v>
      </c>
      <c r="B756" s="23" t="s">
        <v>3020</v>
      </c>
      <c r="C756" s="23" t="s">
        <v>2361</v>
      </c>
      <c r="D756" s="23">
        <v>129</v>
      </c>
      <c r="E756" s="23">
        <v>1</v>
      </c>
      <c r="F756" s="23" t="s">
        <v>2941</v>
      </c>
      <c r="G756" s="23" t="s">
        <v>744</v>
      </c>
      <c r="J756" s="23" t="s">
        <v>31</v>
      </c>
      <c r="N756" s="23"/>
      <c r="O756" s="118"/>
      <c r="P756" s="119"/>
      <c r="Q756" s="120"/>
      <c r="R756" s="29"/>
      <c r="S756" s="121"/>
      <c r="T756" s="122"/>
      <c r="U756" s="118"/>
      <c r="V756" s="123"/>
      <c r="W756" s="124"/>
      <c r="X756" s="125"/>
      <c r="Y756" s="29"/>
      <c r="Z756" s="122"/>
      <c r="AA756" s="126"/>
      <c r="AB756" s="127"/>
      <c r="AD756" s="23" t="s">
        <v>3013</v>
      </c>
      <c r="AE756" s="23"/>
      <c r="AF756" s="23" t="s">
        <v>3017</v>
      </c>
      <c r="AI756" s="23" t="s">
        <v>744</v>
      </c>
      <c r="AJ756" s="23" t="s">
        <v>3021</v>
      </c>
      <c r="AL756" s="23" t="s">
        <v>31</v>
      </c>
      <c r="AO756" s="24"/>
      <c r="AP756" s="23"/>
      <c r="AQ756" s="118"/>
      <c r="AR756" s="119"/>
      <c r="AS756" s="120"/>
      <c r="AT756" s="29"/>
      <c r="AU756" s="122"/>
      <c r="AV756" s="118"/>
      <c r="AW756" s="123"/>
      <c r="AX756" s="124"/>
      <c r="AY756" s="125">
        <v>2</v>
      </c>
      <c r="AZ756" s="29">
        <v>1</v>
      </c>
      <c r="BA756" s="122"/>
      <c r="BB756" s="126"/>
      <c r="BE756" s="24" t="s">
        <v>3013</v>
      </c>
      <c r="BF756" s="23"/>
      <c r="BG756" s="23" t="s">
        <v>3022</v>
      </c>
    </row>
    <row r="757" spans="1:59" ht="15" customHeight="1">
      <c r="A757" s="28" t="s">
        <v>2940</v>
      </c>
      <c r="B757" s="23" t="s">
        <v>3023</v>
      </c>
      <c r="C757" s="23" t="s">
        <v>2361</v>
      </c>
      <c r="D757" s="23">
        <v>130</v>
      </c>
      <c r="E757" s="23">
        <v>1</v>
      </c>
      <c r="F757" s="23" t="s">
        <v>2941</v>
      </c>
      <c r="G757" s="23" t="s">
        <v>744</v>
      </c>
      <c r="J757" s="23" t="s">
        <v>31</v>
      </c>
      <c r="N757" s="23"/>
      <c r="O757" s="118"/>
      <c r="P757" s="119"/>
      <c r="Q757" s="120"/>
      <c r="R757" s="29"/>
      <c r="S757" s="121"/>
      <c r="T757" s="122"/>
      <c r="U757" s="118"/>
      <c r="V757" s="123"/>
      <c r="W757" s="124"/>
      <c r="X757" s="125"/>
      <c r="Y757" s="29"/>
      <c r="Z757" s="122"/>
      <c r="AA757" s="126"/>
      <c r="AB757" s="127"/>
      <c r="AD757" s="23" t="s">
        <v>3013</v>
      </c>
      <c r="AE757" s="23"/>
      <c r="AF757" s="23" t="s">
        <v>3017</v>
      </c>
      <c r="AI757" s="23" t="s">
        <v>744</v>
      </c>
      <c r="AJ757" s="23" t="s">
        <v>3024</v>
      </c>
      <c r="AL757" s="23" t="s">
        <v>31</v>
      </c>
      <c r="AO757" s="24"/>
      <c r="AP757" s="23"/>
      <c r="AQ757" s="118"/>
      <c r="AR757" s="119"/>
      <c r="AS757" s="120"/>
      <c r="AT757" s="29"/>
      <c r="AU757" s="122"/>
      <c r="AV757" s="118"/>
      <c r="AW757" s="123"/>
      <c r="AX757" s="124"/>
      <c r="AY757" s="125">
        <v>2</v>
      </c>
      <c r="AZ757" s="29">
        <v>1</v>
      </c>
      <c r="BA757" s="122"/>
      <c r="BB757" s="126"/>
      <c r="BE757" s="24" t="s">
        <v>3013</v>
      </c>
      <c r="BF757" s="23"/>
      <c r="BG757" s="23" t="s">
        <v>3025</v>
      </c>
    </row>
    <row r="758" spans="1:59" ht="15" customHeight="1">
      <c r="A758" s="28" t="s">
        <v>2940</v>
      </c>
      <c r="B758" s="23" t="s">
        <v>3026</v>
      </c>
      <c r="C758" s="23" t="s">
        <v>2361</v>
      </c>
      <c r="D758" s="23">
        <v>131</v>
      </c>
      <c r="E758" s="23">
        <v>1</v>
      </c>
      <c r="F758" s="23" t="s">
        <v>2941</v>
      </c>
      <c r="G758" s="23" t="s">
        <v>1467</v>
      </c>
      <c r="J758" s="23" t="s">
        <v>31</v>
      </c>
      <c r="N758" s="23"/>
      <c r="O758" s="118"/>
      <c r="P758" s="119"/>
      <c r="Q758" s="120"/>
      <c r="R758" s="29"/>
      <c r="S758" s="121"/>
      <c r="T758" s="122"/>
      <c r="U758" s="118"/>
      <c r="V758" s="123"/>
      <c r="W758" s="124"/>
      <c r="X758" s="125"/>
      <c r="Y758" s="29"/>
      <c r="Z758" s="122"/>
      <c r="AA758" s="126"/>
      <c r="AB758" s="127"/>
      <c r="AD758" s="23" t="s">
        <v>3027</v>
      </c>
      <c r="AE758" s="23"/>
      <c r="AF758" s="23" t="s">
        <v>3028</v>
      </c>
      <c r="AI758" s="23" t="s">
        <v>1467</v>
      </c>
      <c r="AL758" s="23" t="s">
        <v>31</v>
      </c>
      <c r="AO758" s="24"/>
      <c r="AP758" s="23"/>
      <c r="AQ758" s="118"/>
      <c r="AR758" s="119"/>
      <c r="AS758" s="120"/>
      <c r="AT758" s="29"/>
      <c r="AU758" s="122"/>
      <c r="AV758" s="118"/>
      <c r="AW758" s="123"/>
      <c r="AX758" s="124"/>
      <c r="AY758" s="125">
        <v>3</v>
      </c>
      <c r="AZ758" s="29">
        <v>0</v>
      </c>
      <c r="BA758" s="122"/>
      <c r="BB758" s="126"/>
      <c r="BE758" s="24" t="s">
        <v>3027</v>
      </c>
      <c r="BF758" s="23"/>
      <c r="BG758" s="23" t="s">
        <v>3029</v>
      </c>
    </row>
    <row r="759" spans="1:59" ht="15" customHeight="1">
      <c r="A759" s="28" t="s">
        <v>2940</v>
      </c>
      <c r="B759" s="23" t="s">
        <v>3030</v>
      </c>
      <c r="C759" s="23" t="s">
        <v>2361</v>
      </c>
      <c r="D759" s="23">
        <v>132</v>
      </c>
      <c r="E759" s="23">
        <v>1</v>
      </c>
      <c r="F759" s="23" t="s">
        <v>2941</v>
      </c>
      <c r="G759" s="23" t="s">
        <v>744</v>
      </c>
      <c r="J759" s="23" t="s">
        <v>31</v>
      </c>
      <c r="N759" s="23"/>
      <c r="O759" s="118"/>
      <c r="P759" s="119"/>
      <c r="Q759" s="120"/>
      <c r="R759" s="29"/>
      <c r="S759" s="121"/>
      <c r="T759" s="122"/>
      <c r="U759" s="118"/>
      <c r="V759" s="123"/>
      <c r="W759" s="124"/>
      <c r="X759" s="125"/>
      <c r="Y759" s="29"/>
      <c r="Z759" s="122"/>
      <c r="AA759" s="126"/>
      <c r="AB759" s="127"/>
      <c r="AD759" s="23" t="s">
        <v>3027</v>
      </c>
      <c r="AE759" s="23"/>
      <c r="AF759" s="23" t="s">
        <v>3017</v>
      </c>
      <c r="AI759" s="23" t="s">
        <v>744</v>
      </c>
      <c r="AJ759" s="23" t="s">
        <v>3024</v>
      </c>
      <c r="AL759" s="23" t="s">
        <v>31</v>
      </c>
      <c r="AO759" s="24"/>
      <c r="AP759" s="23"/>
      <c r="AQ759" s="118"/>
      <c r="AR759" s="119"/>
      <c r="AS759" s="120"/>
      <c r="AT759" s="29"/>
      <c r="AU759" s="122"/>
      <c r="AV759" s="118"/>
      <c r="AW759" s="123"/>
      <c r="AX759" s="124"/>
      <c r="AY759" s="125">
        <v>2</v>
      </c>
      <c r="AZ759" s="29">
        <v>1</v>
      </c>
      <c r="BA759" s="122"/>
      <c r="BB759" s="126"/>
      <c r="BE759" s="24" t="s">
        <v>3027</v>
      </c>
      <c r="BF759" s="23"/>
      <c r="BG759" s="23" t="s">
        <v>3025</v>
      </c>
    </row>
    <row r="760" spans="1:59" ht="15" customHeight="1">
      <c r="A760" s="28" t="s">
        <v>2940</v>
      </c>
      <c r="B760" s="23" t="s">
        <v>3031</v>
      </c>
      <c r="C760" s="23" t="s">
        <v>2361</v>
      </c>
      <c r="D760" s="23">
        <v>133</v>
      </c>
      <c r="E760" s="23">
        <v>1</v>
      </c>
      <c r="F760" s="23" t="s">
        <v>2941</v>
      </c>
      <c r="G760" s="23" t="s">
        <v>744</v>
      </c>
      <c r="J760" s="23" t="s">
        <v>31</v>
      </c>
      <c r="N760" s="23"/>
      <c r="O760" s="118"/>
      <c r="P760" s="119"/>
      <c r="Q760" s="120"/>
      <c r="R760" s="29"/>
      <c r="S760" s="121"/>
      <c r="T760" s="122"/>
      <c r="U760" s="118"/>
      <c r="V760" s="123"/>
      <c r="W760" s="124"/>
      <c r="X760" s="125"/>
      <c r="Y760" s="29"/>
      <c r="Z760" s="122"/>
      <c r="AA760" s="126"/>
      <c r="AB760" s="127"/>
      <c r="AD760" s="23" t="s">
        <v>3032</v>
      </c>
      <c r="AE760" s="23"/>
      <c r="AF760" s="23" t="s">
        <v>3017</v>
      </c>
      <c r="AI760" s="23" t="s">
        <v>744</v>
      </c>
      <c r="AJ760" s="23" t="s">
        <v>3033</v>
      </c>
      <c r="AL760" s="23" t="s">
        <v>31</v>
      </c>
      <c r="AO760" s="24"/>
      <c r="AP760" s="23"/>
      <c r="AQ760" s="118"/>
      <c r="AR760" s="119"/>
      <c r="AS760" s="120"/>
      <c r="AT760" s="29"/>
      <c r="AU760" s="122"/>
      <c r="AV760" s="118"/>
      <c r="AW760" s="123"/>
      <c r="AX760" s="124"/>
      <c r="AY760" s="125">
        <v>3</v>
      </c>
      <c r="AZ760" s="29">
        <v>2</v>
      </c>
      <c r="BA760" s="122"/>
      <c r="BB760" s="126"/>
      <c r="BE760" s="24" t="s">
        <v>3032</v>
      </c>
      <c r="BF760" s="23"/>
      <c r="BG760" s="23" t="s">
        <v>3034</v>
      </c>
    </row>
    <row r="761" spans="1:59" ht="15" customHeight="1">
      <c r="A761" s="28" t="s">
        <v>2940</v>
      </c>
      <c r="B761" s="23" t="s">
        <v>3035</v>
      </c>
      <c r="C761" s="23" t="s">
        <v>2361</v>
      </c>
      <c r="D761" s="23">
        <v>134</v>
      </c>
      <c r="E761" s="23">
        <v>1</v>
      </c>
      <c r="F761" s="23" t="s">
        <v>2941</v>
      </c>
      <c r="G761" s="23" t="s">
        <v>744</v>
      </c>
      <c r="J761" s="23" t="s">
        <v>31</v>
      </c>
      <c r="N761" s="23"/>
      <c r="O761" s="118"/>
      <c r="P761" s="119"/>
      <c r="Q761" s="120"/>
      <c r="R761" s="29"/>
      <c r="S761" s="121"/>
      <c r="T761" s="122"/>
      <c r="U761" s="118"/>
      <c r="V761" s="123"/>
      <c r="W761" s="124"/>
      <c r="X761" s="125"/>
      <c r="Y761" s="29"/>
      <c r="Z761" s="122"/>
      <c r="AA761" s="126"/>
      <c r="AB761" s="127"/>
      <c r="AD761" s="23" t="s">
        <v>3027</v>
      </c>
      <c r="AE761" s="23"/>
      <c r="AF761" s="23" t="s">
        <v>3017</v>
      </c>
      <c r="AI761" s="23" t="s">
        <v>744</v>
      </c>
      <c r="AJ761" s="23" t="s">
        <v>3036</v>
      </c>
      <c r="AL761" s="23" t="s">
        <v>31</v>
      </c>
      <c r="AO761" s="24"/>
      <c r="AP761" s="23"/>
      <c r="AQ761" s="118"/>
      <c r="AR761" s="119"/>
      <c r="AS761" s="120"/>
      <c r="AT761" s="29"/>
      <c r="AU761" s="122"/>
      <c r="AV761" s="118"/>
      <c r="AW761" s="123"/>
      <c r="AX761" s="124"/>
      <c r="AY761" s="125">
        <v>5</v>
      </c>
      <c r="AZ761" s="29">
        <v>1</v>
      </c>
      <c r="BA761" s="122"/>
      <c r="BB761" s="126"/>
      <c r="BE761" s="24" t="s">
        <v>3027</v>
      </c>
      <c r="BF761" s="23"/>
      <c r="BG761" s="23" t="s">
        <v>3037</v>
      </c>
    </row>
    <row r="762" spans="1:59" ht="15" customHeight="1">
      <c r="A762" s="28" t="s">
        <v>2940</v>
      </c>
      <c r="B762" s="23" t="s">
        <v>3038</v>
      </c>
      <c r="C762" s="23" t="s">
        <v>2361</v>
      </c>
      <c r="D762" s="23">
        <v>135</v>
      </c>
      <c r="E762" s="23">
        <v>1</v>
      </c>
      <c r="F762" s="23" t="s">
        <v>2941</v>
      </c>
      <c r="G762" s="23" t="s">
        <v>1467</v>
      </c>
      <c r="J762" s="23" t="s">
        <v>31</v>
      </c>
      <c r="N762" s="23"/>
      <c r="O762" s="118"/>
      <c r="P762" s="119"/>
      <c r="Q762" s="120"/>
      <c r="R762" s="29"/>
      <c r="S762" s="121"/>
      <c r="T762" s="122"/>
      <c r="U762" s="118"/>
      <c r="V762" s="123"/>
      <c r="W762" s="124"/>
      <c r="X762" s="125"/>
      <c r="Y762" s="29"/>
      <c r="Z762" s="122"/>
      <c r="AA762" s="126"/>
      <c r="AB762" s="127"/>
      <c r="AD762" s="23" t="s">
        <v>3039</v>
      </c>
      <c r="AE762" s="23"/>
      <c r="AF762" s="23" t="s">
        <v>3040</v>
      </c>
      <c r="AI762" s="23" t="s">
        <v>1467</v>
      </c>
      <c r="AL762" s="23" t="s">
        <v>31</v>
      </c>
      <c r="AO762" s="24"/>
      <c r="AP762" s="23"/>
      <c r="AQ762" s="118"/>
      <c r="AR762" s="119"/>
      <c r="AS762" s="120"/>
      <c r="AT762" s="29"/>
      <c r="AU762" s="122"/>
      <c r="AV762" s="118"/>
      <c r="AW762" s="123"/>
      <c r="AX762" s="124"/>
      <c r="AY762" s="125">
        <v>3</v>
      </c>
      <c r="AZ762" s="29">
        <v>0</v>
      </c>
      <c r="BA762" s="122"/>
      <c r="BB762" s="126"/>
      <c r="BE762" s="24" t="s">
        <v>3039</v>
      </c>
      <c r="BF762" s="23"/>
      <c r="BG762" s="23" t="s">
        <v>3041</v>
      </c>
    </row>
    <row r="763" spans="1:59" ht="15" customHeight="1">
      <c r="A763" s="28" t="s">
        <v>2940</v>
      </c>
      <c r="B763" s="23" t="s">
        <v>3042</v>
      </c>
      <c r="C763" s="23" t="s">
        <v>2361</v>
      </c>
      <c r="D763" s="23">
        <v>136</v>
      </c>
      <c r="E763" s="23">
        <v>1</v>
      </c>
      <c r="F763" s="23" t="s">
        <v>2941</v>
      </c>
      <c r="G763" s="23" t="s">
        <v>744</v>
      </c>
      <c r="J763" s="23" t="s">
        <v>31</v>
      </c>
      <c r="N763" s="23"/>
      <c r="O763" s="118"/>
      <c r="P763" s="119"/>
      <c r="Q763" s="120"/>
      <c r="R763" s="29"/>
      <c r="S763" s="121"/>
      <c r="T763" s="122"/>
      <c r="U763" s="118"/>
      <c r="V763" s="123"/>
      <c r="W763" s="124"/>
      <c r="X763" s="125"/>
      <c r="Y763" s="29"/>
      <c r="Z763" s="122"/>
      <c r="AA763" s="126"/>
      <c r="AB763" s="127"/>
      <c r="AD763" s="23" t="s">
        <v>3043</v>
      </c>
      <c r="AE763" s="23"/>
      <c r="AF763" s="23" t="s">
        <v>3017</v>
      </c>
      <c r="AI763" s="23" t="s">
        <v>744</v>
      </c>
      <c r="AJ763" s="23" t="s">
        <v>3033</v>
      </c>
      <c r="AL763" s="23" t="s">
        <v>31</v>
      </c>
      <c r="AO763" s="24"/>
      <c r="AP763" s="23"/>
      <c r="AQ763" s="118"/>
      <c r="AR763" s="119"/>
      <c r="AS763" s="120"/>
      <c r="AT763" s="29"/>
      <c r="AU763" s="122"/>
      <c r="AV763" s="118"/>
      <c r="AW763" s="123"/>
      <c r="AX763" s="124"/>
      <c r="AY763" s="125">
        <v>3</v>
      </c>
      <c r="AZ763" s="29">
        <v>2</v>
      </c>
      <c r="BA763" s="122"/>
      <c r="BB763" s="126"/>
      <c r="BE763" s="24" t="s">
        <v>3043</v>
      </c>
      <c r="BF763" s="23"/>
      <c r="BG763" s="23" t="s">
        <v>3034</v>
      </c>
    </row>
    <row r="764" spans="1:59" ht="15" customHeight="1">
      <c r="A764" s="28" t="s">
        <v>2940</v>
      </c>
      <c r="B764" s="23" t="s">
        <v>3044</v>
      </c>
      <c r="C764" s="23" t="s">
        <v>2361</v>
      </c>
      <c r="D764" s="23">
        <v>137</v>
      </c>
      <c r="E764" s="23">
        <v>1</v>
      </c>
      <c r="F764" s="23" t="s">
        <v>2941</v>
      </c>
      <c r="G764" s="23" t="s">
        <v>744</v>
      </c>
      <c r="J764" s="23" t="s">
        <v>31</v>
      </c>
      <c r="N764" s="23"/>
      <c r="O764" s="118"/>
      <c r="P764" s="119"/>
      <c r="Q764" s="120"/>
      <c r="R764" s="29"/>
      <c r="S764" s="121"/>
      <c r="T764" s="122"/>
      <c r="U764" s="118"/>
      <c r="V764" s="123"/>
      <c r="W764" s="124"/>
      <c r="X764" s="125"/>
      <c r="Y764" s="29"/>
      <c r="Z764" s="122"/>
      <c r="AA764" s="126"/>
      <c r="AB764" s="127"/>
      <c r="AD764" s="23" t="s">
        <v>3043</v>
      </c>
      <c r="AE764" s="23"/>
      <c r="AF764" s="23" t="s">
        <v>3017</v>
      </c>
      <c r="AI764" s="23" t="s">
        <v>744</v>
      </c>
      <c r="AJ764" s="23" t="s">
        <v>3045</v>
      </c>
      <c r="AL764" s="23" t="s">
        <v>31</v>
      </c>
      <c r="AO764" s="24"/>
      <c r="AP764" s="23"/>
      <c r="AQ764" s="118"/>
      <c r="AR764" s="119"/>
      <c r="AS764" s="120"/>
      <c r="AT764" s="29"/>
      <c r="AU764" s="122"/>
      <c r="AV764" s="118"/>
      <c r="AW764" s="123"/>
      <c r="AX764" s="124"/>
      <c r="AY764" s="125">
        <v>4</v>
      </c>
      <c r="AZ764" s="29">
        <v>2</v>
      </c>
      <c r="BA764" s="122"/>
      <c r="BB764" s="126"/>
      <c r="BE764" s="24" t="s">
        <v>3043</v>
      </c>
      <c r="BF764" s="23"/>
      <c r="BG764" s="23" t="s">
        <v>3046</v>
      </c>
    </row>
    <row r="765" spans="1:59" ht="15" customHeight="1">
      <c r="A765" s="28" t="s">
        <v>2940</v>
      </c>
      <c r="B765" s="23" t="s">
        <v>3047</v>
      </c>
      <c r="C765" s="23" t="s">
        <v>2361</v>
      </c>
      <c r="D765" s="23">
        <v>138</v>
      </c>
      <c r="E765" s="23">
        <v>1</v>
      </c>
      <c r="F765" s="23" t="s">
        <v>2941</v>
      </c>
      <c r="G765" s="23" t="s">
        <v>744</v>
      </c>
      <c r="J765" s="23" t="s">
        <v>31</v>
      </c>
      <c r="N765" s="23"/>
      <c r="O765" s="118"/>
      <c r="P765" s="119"/>
      <c r="Q765" s="120"/>
      <c r="R765" s="29"/>
      <c r="S765" s="121"/>
      <c r="T765" s="122"/>
      <c r="U765" s="118"/>
      <c r="V765" s="123"/>
      <c r="W765" s="124"/>
      <c r="X765" s="125"/>
      <c r="Y765" s="29"/>
      <c r="Z765" s="122"/>
      <c r="AA765" s="126"/>
      <c r="AB765" s="127"/>
      <c r="AD765" s="23" t="s">
        <v>3039</v>
      </c>
      <c r="AE765" s="23"/>
      <c r="AF765" s="23" t="s">
        <v>3017</v>
      </c>
      <c r="AI765" s="23" t="s">
        <v>744</v>
      </c>
      <c r="AJ765" s="23" t="s">
        <v>3021</v>
      </c>
      <c r="AL765" s="23" t="s">
        <v>31</v>
      </c>
      <c r="AO765" s="24"/>
      <c r="AP765" s="23"/>
      <c r="AQ765" s="118"/>
      <c r="AR765" s="119"/>
      <c r="AS765" s="120"/>
      <c r="AT765" s="29"/>
      <c r="AU765" s="122"/>
      <c r="AV765" s="118"/>
      <c r="AW765" s="123"/>
      <c r="AX765" s="124"/>
      <c r="AY765" s="125">
        <v>2</v>
      </c>
      <c r="AZ765" s="29">
        <v>1</v>
      </c>
      <c r="BA765" s="122"/>
      <c r="BB765" s="126"/>
      <c r="BE765" s="24" t="s">
        <v>3039</v>
      </c>
      <c r="BF765" s="23"/>
      <c r="BG765" s="23" t="s">
        <v>3022</v>
      </c>
    </row>
    <row r="766" spans="1:59" ht="15" customHeight="1">
      <c r="A766" s="28" t="s">
        <v>2940</v>
      </c>
      <c r="B766" s="23" t="s">
        <v>3048</v>
      </c>
      <c r="C766" s="23" t="s">
        <v>2361</v>
      </c>
      <c r="D766" s="23">
        <v>139</v>
      </c>
      <c r="E766" s="23">
        <v>1</v>
      </c>
      <c r="F766" s="23" t="s">
        <v>2941</v>
      </c>
      <c r="G766" s="23" t="s">
        <v>3049</v>
      </c>
      <c r="J766" s="23" t="s">
        <v>31</v>
      </c>
      <c r="N766" s="23"/>
      <c r="O766" s="118"/>
      <c r="P766" s="119"/>
      <c r="Q766" s="120"/>
      <c r="R766" s="29"/>
      <c r="S766" s="121"/>
      <c r="T766" s="122"/>
      <c r="U766" s="118"/>
      <c r="V766" s="123"/>
      <c r="W766" s="124"/>
      <c r="X766" s="125"/>
      <c r="Y766" s="29"/>
      <c r="Z766" s="122"/>
      <c r="AA766" s="126"/>
      <c r="AB766" s="127"/>
      <c r="AE766" s="23"/>
      <c r="AF766" s="23" t="s">
        <v>3050</v>
      </c>
      <c r="AI766" s="23" t="s">
        <v>3049</v>
      </c>
      <c r="AL766" s="23" t="s">
        <v>31</v>
      </c>
      <c r="AO766" s="24"/>
      <c r="AP766" s="23"/>
      <c r="AQ766" s="118"/>
      <c r="AR766" s="119"/>
      <c r="AS766" s="120"/>
      <c r="AT766" s="29"/>
      <c r="AU766" s="122"/>
      <c r="AV766" s="118"/>
      <c r="AW766" s="123"/>
      <c r="AX766" s="124"/>
      <c r="AY766" s="125">
        <v>4</v>
      </c>
      <c r="AZ766" s="29">
        <v>3</v>
      </c>
      <c r="BA766" s="122"/>
      <c r="BB766" s="126">
        <v>2</v>
      </c>
      <c r="BE766" s="24"/>
      <c r="BF766" s="23"/>
      <c r="BG766" s="23" t="s">
        <v>3050</v>
      </c>
    </row>
    <row r="767" spans="1:59" ht="15" customHeight="1">
      <c r="A767" s="28" t="s">
        <v>2940</v>
      </c>
      <c r="B767" s="23" t="s">
        <v>3051</v>
      </c>
      <c r="C767" s="23" t="s">
        <v>2361</v>
      </c>
      <c r="D767" s="23">
        <v>140</v>
      </c>
      <c r="E767" s="23">
        <v>1</v>
      </c>
      <c r="F767" s="23" t="s">
        <v>2941</v>
      </c>
      <c r="G767" s="23" t="s">
        <v>3052</v>
      </c>
      <c r="H767" s="23" t="s">
        <v>3053</v>
      </c>
      <c r="J767" s="23" t="s">
        <v>29</v>
      </c>
      <c r="N767" s="23"/>
      <c r="O767" s="118"/>
      <c r="P767" s="119"/>
      <c r="Q767" s="120">
        <v>4</v>
      </c>
      <c r="R767" s="29">
        <v>3</v>
      </c>
      <c r="S767" s="121"/>
      <c r="T767" s="122">
        <v>5</v>
      </c>
      <c r="U767" s="118"/>
      <c r="V767" s="123">
        <v>2</v>
      </c>
      <c r="W767" s="124">
        <v>2</v>
      </c>
      <c r="X767" s="125"/>
      <c r="Y767" s="29"/>
      <c r="Z767" s="122"/>
      <c r="AA767" s="126">
        <v>2</v>
      </c>
      <c r="AB767" s="127"/>
      <c r="AD767" s="23" t="s">
        <v>3054</v>
      </c>
      <c r="AE767" s="23"/>
      <c r="AF767" s="23" t="s">
        <v>3055</v>
      </c>
      <c r="AO767" s="24"/>
      <c r="AP767" s="23"/>
      <c r="AQ767" s="118"/>
      <c r="AR767" s="119"/>
      <c r="AS767" s="120"/>
      <c r="AT767" s="29"/>
      <c r="AU767" s="122"/>
      <c r="AV767" s="118"/>
      <c r="AW767" s="123"/>
      <c r="AX767" s="124"/>
      <c r="AY767" s="125"/>
      <c r="AZ767" s="29"/>
      <c r="BA767" s="122"/>
      <c r="BB767" s="126"/>
      <c r="BE767" s="24"/>
      <c r="BF767" s="23"/>
    </row>
    <row r="768" spans="1:59" ht="15" customHeight="1">
      <c r="A768" s="28" t="s">
        <v>2940</v>
      </c>
      <c r="B768" s="30" t="s">
        <v>3056</v>
      </c>
      <c r="C768" s="23" t="s">
        <v>2361</v>
      </c>
      <c r="D768" s="23">
        <v>141</v>
      </c>
      <c r="E768" s="23">
        <v>1</v>
      </c>
      <c r="F768" s="23" t="s">
        <v>2941</v>
      </c>
      <c r="G768" s="23" t="s">
        <v>3057</v>
      </c>
      <c r="H768" s="23" t="s">
        <v>3058</v>
      </c>
      <c r="I768" s="23" t="s">
        <v>223</v>
      </c>
      <c r="J768" s="23" t="s">
        <v>257</v>
      </c>
      <c r="K768" s="23" t="s">
        <v>26</v>
      </c>
      <c r="N768" s="23"/>
      <c r="O768" s="118"/>
      <c r="P768" s="119"/>
      <c r="Q768" s="120"/>
      <c r="R768" s="29"/>
      <c r="S768" s="121"/>
      <c r="T768" s="122">
        <v>2</v>
      </c>
      <c r="U768" s="118">
        <v>2</v>
      </c>
      <c r="V768" s="123"/>
      <c r="W768" s="124"/>
      <c r="X768" s="125"/>
      <c r="Y768" s="29"/>
      <c r="Z768" s="122"/>
      <c r="AA768" s="126"/>
      <c r="AB768" s="127"/>
      <c r="AC768" s="23" t="s">
        <v>25</v>
      </c>
      <c r="AD768" s="23" t="s">
        <v>3059</v>
      </c>
      <c r="AE768" s="23"/>
      <c r="AF768" s="23" t="s">
        <v>3060</v>
      </c>
      <c r="AO768" s="24"/>
      <c r="AP768" s="23"/>
      <c r="AQ768" s="118"/>
      <c r="AR768" s="119"/>
      <c r="AS768" s="120"/>
      <c r="AT768" s="29"/>
      <c r="AU768" s="122"/>
      <c r="AV768" s="118"/>
      <c r="AW768" s="123"/>
      <c r="AX768" s="124"/>
      <c r="AY768" s="125"/>
      <c r="AZ768" s="29"/>
      <c r="BA768" s="122"/>
      <c r="BB768" s="126"/>
      <c r="BE768" s="24"/>
      <c r="BF768" s="23"/>
    </row>
    <row r="769" spans="1:58" ht="15" customHeight="1">
      <c r="A769" s="28" t="s">
        <v>2940</v>
      </c>
      <c r="B769" s="23" t="s">
        <v>3061</v>
      </c>
      <c r="C769" s="23" t="s">
        <v>2361</v>
      </c>
      <c r="D769" s="23">
        <v>142</v>
      </c>
      <c r="E769" s="23">
        <v>1</v>
      </c>
      <c r="F769" s="23" t="s">
        <v>2941</v>
      </c>
      <c r="G769" s="23" t="s">
        <v>3062</v>
      </c>
      <c r="H769" s="23" t="s">
        <v>3063</v>
      </c>
      <c r="J769" s="23" t="s">
        <v>257</v>
      </c>
      <c r="K769" s="23" t="s">
        <v>26</v>
      </c>
      <c r="M769" s="23" t="s">
        <v>648</v>
      </c>
      <c r="N769" s="23">
        <v>1</v>
      </c>
      <c r="O769" s="129"/>
      <c r="P769" s="130"/>
      <c r="Q769" s="131"/>
      <c r="R769" s="29"/>
      <c r="S769" s="121"/>
      <c r="T769" s="122"/>
      <c r="U769" s="129"/>
      <c r="V769" s="132"/>
      <c r="W769" s="133"/>
      <c r="X769" s="134"/>
      <c r="Y769" s="29"/>
      <c r="Z769" s="122"/>
      <c r="AA769" s="135"/>
      <c r="AB769" s="127"/>
      <c r="AD769" s="23" t="s">
        <v>276</v>
      </c>
      <c r="AE769" s="23"/>
      <c r="AF769" s="23" t="s">
        <v>3064</v>
      </c>
      <c r="AO769" s="24"/>
      <c r="AP769" s="23"/>
      <c r="AQ769" s="129"/>
      <c r="AR769" s="130"/>
      <c r="AS769" s="131"/>
      <c r="AT769" s="29"/>
      <c r="AU769" s="122"/>
      <c r="AV769" s="129"/>
      <c r="AW769" s="136"/>
      <c r="AX769" s="137"/>
      <c r="AY769" s="134"/>
      <c r="AZ769" s="29"/>
      <c r="BA769" s="122"/>
      <c r="BB769" s="135"/>
      <c r="BE769" s="24"/>
      <c r="BF769" s="23"/>
    </row>
    <row r="770" spans="1:58" ht="15" customHeight="1">
      <c r="A770" s="28" t="s">
        <v>2940</v>
      </c>
      <c r="B770" s="23" t="s">
        <v>3065</v>
      </c>
      <c r="C770" s="23" t="s">
        <v>2361</v>
      </c>
      <c r="D770" s="23">
        <v>143</v>
      </c>
      <c r="E770" s="23">
        <v>1</v>
      </c>
      <c r="F770" s="23" t="s">
        <v>2941</v>
      </c>
      <c r="G770" s="23" t="s">
        <v>3066</v>
      </c>
      <c r="H770" s="23" t="s">
        <v>3067</v>
      </c>
      <c r="J770" s="23" t="s">
        <v>257</v>
      </c>
      <c r="K770" s="23" t="s">
        <v>26</v>
      </c>
      <c r="N770" s="23">
        <v>2</v>
      </c>
      <c r="O770" s="129">
        <v>1</v>
      </c>
      <c r="P770" s="130"/>
      <c r="Q770" s="131">
        <v>1</v>
      </c>
      <c r="R770" s="29">
        <v>1</v>
      </c>
      <c r="S770" s="121"/>
      <c r="T770" s="122">
        <v>1</v>
      </c>
      <c r="U770" s="129"/>
      <c r="V770" s="132"/>
      <c r="W770" s="133"/>
      <c r="X770" s="134"/>
      <c r="Y770" s="29"/>
      <c r="Z770" s="122"/>
      <c r="AA770" s="135"/>
      <c r="AB770" s="127" t="s">
        <v>1389</v>
      </c>
      <c r="AC770" s="23" t="s">
        <v>393</v>
      </c>
      <c r="AD770" s="23" t="s">
        <v>2325</v>
      </c>
      <c r="AE770" s="23"/>
      <c r="AF770" s="23" t="s">
        <v>3068</v>
      </c>
      <c r="AO770" s="24"/>
      <c r="AP770" s="23"/>
      <c r="AQ770" s="129"/>
      <c r="AR770" s="130"/>
      <c r="AS770" s="131"/>
      <c r="AT770" s="29"/>
      <c r="AU770" s="122"/>
      <c r="AV770" s="129"/>
      <c r="AW770" s="136"/>
      <c r="AX770" s="137"/>
      <c r="AY770" s="134"/>
      <c r="AZ770" s="29"/>
      <c r="BA770" s="122"/>
      <c r="BB770" s="135"/>
      <c r="BE770" s="24"/>
      <c r="BF770" s="23"/>
    </row>
    <row r="771" spans="1:58" ht="15" customHeight="1">
      <c r="A771" s="28" t="s">
        <v>2940</v>
      </c>
      <c r="B771" s="23" t="s">
        <v>3069</v>
      </c>
      <c r="C771" s="23" t="s">
        <v>2361</v>
      </c>
      <c r="D771" s="23">
        <v>144</v>
      </c>
      <c r="E771" s="23">
        <v>3</v>
      </c>
      <c r="F771" s="23" t="s">
        <v>2941</v>
      </c>
      <c r="G771" s="23" t="s">
        <v>3070</v>
      </c>
      <c r="J771" s="23" t="s">
        <v>29</v>
      </c>
      <c r="N771" s="23"/>
      <c r="O771" s="129"/>
      <c r="P771" s="130"/>
      <c r="Q771" s="131">
        <v>2</v>
      </c>
      <c r="R771" s="29">
        <v>2</v>
      </c>
      <c r="S771" s="121"/>
      <c r="T771" s="122">
        <v>3</v>
      </c>
      <c r="U771" s="129"/>
      <c r="V771" s="132"/>
      <c r="W771" s="133">
        <v>1</v>
      </c>
      <c r="X771" s="134"/>
      <c r="Y771" s="29"/>
      <c r="Z771" s="122"/>
      <c r="AA771" s="135"/>
      <c r="AB771" s="127"/>
      <c r="AD771" s="23" t="s">
        <v>467</v>
      </c>
      <c r="AE771" s="23"/>
      <c r="AF771" s="23" t="s">
        <v>3071</v>
      </c>
      <c r="AO771" s="24"/>
      <c r="AP771" s="23"/>
      <c r="AQ771" s="129"/>
      <c r="AR771" s="130"/>
      <c r="AS771" s="131"/>
      <c r="AT771" s="29"/>
      <c r="AU771" s="122"/>
      <c r="AV771" s="129"/>
      <c r="AW771" s="136"/>
      <c r="AX771" s="137"/>
      <c r="AY771" s="134"/>
      <c r="AZ771" s="29"/>
      <c r="BA771" s="122"/>
      <c r="BB771" s="135"/>
      <c r="BE771" s="24"/>
      <c r="BF771" s="23"/>
    </row>
    <row r="772" spans="1:58" ht="15" customHeight="1">
      <c r="A772" s="28" t="s">
        <v>2940</v>
      </c>
      <c r="B772" s="23" t="s">
        <v>3072</v>
      </c>
      <c r="C772" s="23" t="s">
        <v>2361</v>
      </c>
      <c r="D772" s="23">
        <v>145</v>
      </c>
      <c r="E772" s="23">
        <v>3</v>
      </c>
      <c r="F772" s="23" t="s">
        <v>2941</v>
      </c>
      <c r="G772" s="23" t="s">
        <v>3073</v>
      </c>
      <c r="J772" s="23" t="s">
        <v>28</v>
      </c>
      <c r="N772" s="23"/>
      <c r="O772" s="129"/>
      <c r="P772" s="130"/>
      <c r="Q772" s="131"/>
      <c r="R772" s="29"/>
      <c r="S772" s="121"/>
      <c r="T772" s="122"/>
      <c r="U772" s="129"/>
      <c r="V772" s="132"/>
      <c r="W772" s="133"/>
      <c r="X772" s="134"/>
      <c r="Y772" s="29"/>
      <c r="Z772" s="122"/>
      <c r="AA772" s="135"/>
      <c r="AB772" s="127"/>
      <c r="AD772" s="23" t="s">
        <v>1196</v>
      </c>
      <c r="AE772" s="23"/>
      <c r="AF772" s="23" t="s">
        <v>3074</v>
      </c>
      <c r="AO772" s="24"/>
      <c r="AP772" s="23"/>
      <c r="AQ772" s="129"/>
      <c r="AR772" s="130"/>
      <c r="AS772" s="131"/>
      <c r="AT772" s="29"/>
      <c r="AU772" s="122"/>
      <c r="AV772" s="129"/>
      <c r="AW772" s="136"/>
      <c r="AX772" s="137"/>
      <c r="AY772" s="134"/>
      <c r="AZ772" s="29"/>
      <c r="BA772" s="122"/>
      <c r="BB772" s="135"/>
      <c r="BE772" s="24"/>
      <c r="BF772" s="23"/>
    </row>
    <row r="773" spans="1:58" ht="15" customHeight="1">
      <c r="A773" s="28" t="s">
        <v>2940</v>
      </c>
      <c r="B773" s="23" t="s">
        <v>3075</v>
      </c>
      <c r="C773" s="23" t="s">
        <v>2361</v>
      </c>
      <c r="D773" s="23">
        <v>146</v>
      </c>
      <c r="E773" s="23">
        <v>2</v>
      </c>
      <c r="F773" s="23" t="s">
        <v>2941</v>
      </c>
      <c r="G773" s="23" t="s">
        <v>3076</v>
      </c>
      <c r="J773" s="23" t="s">
        <v>28</v>
      </c>
      <c r="N773" s="23"/>
      <c r="O773" s="129"/>
      <c r="P773" s="130"/>
      <c r="Q773" s="131"/>
      <c r="R773" s="29"/>
      <c r="S773" s="121"/>
      <c r="T773" s="122"/>
      <c r="U773" s="129"/>
      <c r="V773" s="132"/>
      <c r="W773" s="133"/>
      <c r="X773" s="134"/>
      <c r="Y773" s="29"/>
      <c r="Z773" s="122"/>
      <c r="AA773" s="135"/>
      <c r="AB773" s="127"/>
      <c r="AD773" s="23" t="s">
        <v>1196</v>
      </c>
      <c r="AE773" s="23"/>
      <c r="AF773" s="23" t="s">
        <v>3077</v>
      </c>
      <c r="AO773" s="24"/>
      <c r="AP773" s="23"/>
      <c r="AQ773" s="129"/>
      <c r="AR773" s="130"/>
      <c r="AS773" s="131"/>
      <c r="AT773" s="29"/>
      <c r="AU773" s="122"/>
      <c r="AV773" s="129"/>
      <c r="AW773" s="136"/>
      <c r="AX773" s="137"/>
      <c r="AY773" s="134"/>
      <c r="AZ773" s="29"/>
      <c r="BA773" s="122"/>
      <c r="BB773" s="135"/>
      <c r="BE773" s="24"/>
      <c r="BF773" s="23"/>
    </row>
    <row r="774" spans="1:58" ht="15" customHeight="1">
      <c r="A774" s="23" t="s">
        <v>3197</v>
      </c>
      <c r="B774" s="23" t="s">
        <v>3198</v>
      </c>
      <c r="C774" s="23" t="s">
        <v>3334</v>
      </c>
      <c r="D774" s="24">
        <v>147</v>
      </c>
      <c r="E774" s="23">
        <v>2</v>
      </c>
      <c r="G774" s="23" t="s">
        <v>3090</v>
      </c>
      <c r="J774" s="23" t="s">
        <v>257</v>
      </c>
      <c r="K774" s="23" t="s">
        <v>198</v>
      </c>
      <c r="L774" s="23">
        <v>0</v>
      </c>
      <c r="N774" s="62">
        <v>1</v>
      </c>
      <c r="Q774" s="65">
        <v>1</v>
      </c>
      <c r="AB774" s="23" t="s">
        <v>206</v>
      </c>
      <c r="AC774" s="23" t="s">
        <v>258</v>
      </c>
      <c r="AD774" s="23" t="s">
        <v>298</v>
      </c>
      <c r="AF774" s="23" t="s">
        <v>3091</v>
      </c>
      <c r="AP774" s="73"/>
      <c r="AQ774" s="75"/>
      <c r="AR774" s="76"/>
      <c r="AS774" s="77"/>
      <c r="AV774" s="75"/>
      <c r="AW774" s="83"/>
      <c r="AX774" s="84"/>
      <c r="AY774" s="80"/>
      <c r="BB774" s="81"/>
    </row>
    <row r="775" spans="1:58" ht="15" customHeight="1">
      <c r="A775" s="23" t="s">
        <v>3197</v>
      </c>
      <c r="B775" s="23" t="s">
        <v>3199</v>
      </c>
      <c r="C775" s="23" t="s">
        <v>3334</v>
      </c>
      <c r="D775" s="24">
        <v>148</v>
      </c>
      <c r="E775" s="23">
        <v>2</v>
      </c>
      <c r="G775" s="23" t="s">
        <v>3092</v>
      </c>
      <c r="J775" s="23" t="s">
        <v>27</v>
      </c>
      <c r="K775" s="23" t="s">
        <v>198</v>
      </c>
      <c r="L775" s="23">
        <v>1</v>
      </c>
      <c r="N775" s="62">
        <v>2</v>
      </c>
      <c r="P775" s="64">
        <v>1</v>
      </c>
      <c r="Q775" s="65">
        <v>1</v>
      </c>
      <c r="AB775" s="23" t="s">
        <v>1091</v>
      </c>
      <c r="AD775" s="23" t="s">
        <v>307</v>
      </c>
      <c r="AF775" s="23" t="s">
        <v>3093</v>
      </c>
      <c r="AP775" s="73"/>
      <c r="AQ775" s="75"/>
      <c r="AR775" s="76"/>
      <c r="AS775" s="77"/>
      <c r="AV775" s="75"/>
      <c r="AW775" s="83"/>
      <c r="AX775" s="84"/>
      <c r="AY775" s="80"/>
      <c r="BB775" s="81"/>
    </row>
    <row r="776" spans="1:58" ht="15" customHeight="1">
      <c r="A776" s="23" t="s">
        <v>3197</v>
      </c>
      <c r="B776" s="23" t="s">
        <v>3200</v>
      </c>
      <c r="C776" s="23" t="s">
        <v>3334</v>
      </c>
      <c r="D776" s="24">
        <v>149</v>
      </c>
      <c r="E776" s="23">
        <v>2</v>
      </c>
      <c r="G776" s="23" t="s">
        <v>3094</v>
      </c>
      <c r="H776" s="23" t="s">
        <v>3095</v>
      </c>
      <c r="I776" s="23" t="s">
        <v>223</v>
      </c>
      <c r="J776" s="23" t="s">
        <v>257</v>
      </c>
      <c r="K776" s="23" t="s">
        <v>199</v>
      </c>
      <c r="L776" s="23">
        <v>0</v>
      </c>
      <c r="N776" s="62">
        <v>2</v>
      </c>
      <c r="P776" s="64">
        <v>1</v>
      </c>
      <c r="T776" s="68">
        <v>1</v>
      </c>
      <c r="U776" s="63">
        <v>2</v>
      </c>
      <c r="AB776" s="23" t="s">
        <v>205</v>
      </c>
      <c r="AC776" s="23" t="s">
        <v>25</v>
      </c>
      <c r="AD776" s="23" t="s">
        <v>2966</v>
      </c>
      <c r="AF776" s="23" t="s">
        <v>3096</v>
      </c>
      <c r="AP776" s="73"/>
      <c r="AQ776" s="75"/>
      <c r="AR776" s="76"/>
      <c r="AS776" s="77"/>
      <c r="AV776" s="75"/>
      <c r="AW776" s="83"/>
      <c r="AX776" s="84"/>
      <c r="AY776" s="80"/>
      <c r="BB776" s="81"/>
    </row>
    <row r="777" spans="1:58" ht="15" customHeight="1">
      <c r="A777" s="23" t="s">
        <v>3197</v>
      </c>
      <c r="B777" s="23" t="s">
        <v>3201</v>
      </c>
      <c r="C777" s="23" t="s">
        <v>3334</v>
      </c>
      <c r="D777" s="24">
        <v>150</v>
      </c>
      <c r="E777" s="23">
        <v>2</v>
      </c>
      <c r="G777" s="23" t="s">
        <v>3097</v>
      </c>
      <c r="J777" s="23" t="s">
        <v>27</v>
      </c>
      <c r="K777" s="23" t="s">
        <v>199</v>
      </c>
      <c r="L777" s="23">
        <v>1</v>
      </c>
      <c r="N777" s="62">
        <v>0</v>
      </c>
      <c r="O777" s="63">
        <v>1</v>
      </c>
      <c r="AB777" s="23" t="s">
        <v>204</v>
      </c>
      <c r="AD777" s="23" t="s">
        <v>340</v>
      </c>
      <c r="AF777" s="23" t="s">
        <v>3098</v>
      </c>
      <c r="AP777" s="73"/>
      <c r="AQ777" s="75"/>
      <c r="AR777" s="76"/>
      <c r="AS777" s="77"/>
      <c r="AV777" s="75"/>
      <c r="AW777" s="83"/>
      <c r="AX777" s="84"/>
      <c r="AY777" s="80"/>
      <c r="BB777" s="81"/>
    </row>
    <row r="778" spans="1:58" ht="15" customHeight="1">
      <c r="A778" s="23" t="s">
        <v>3197</v>
      </c>
      <c r="B778" s="23" t="s">
        <v>3202</v>
      </c>
      <c r="C778" s="23" t="s">
        <v>3334</v>
      </c>
      <c r="D778" s="24">
        <v>151</v>
      </c>
      <c r="E778" s="23">
        <v>2</v>
      </c>
      <c r="G778" s="23" t="s">
        <v>3099</v>
      </c>
      <c r="H778" s="23" t="s">
        <v>3100</v>
      </c>
      <c r="I778" s="23" t="s">
        <v>223</v>
      </c>
      <c r="J778" s="23" t="s">
        <v>257</v>
      </c>
      <c r="K778" s="23" t="s">
        <v>201</v>
      </c>
      <c r="L778" s="23">
        <v>0</v>
      </c>
      <c r="N778" s="62">
        <v>4</v>
      </c>
      <c r="P778" s="64">
        <v>1</v>
      </c>
      <c r="T778" s="68">
        <v>2</v>
      </c>
      <c r="U778" s="63">
        <v>2</v>
      </c>
      <c r="AB778" s="23" t="s">
        <v>205</v>
      </c>
      <c r="AC778" s="23" t="s">
        <v>25</v>
      </c>
      <c r="AD778" s="23" t="s">
        <v>2966</v>
      </c>
      <c r="AF778" s="23" t="s">
        <v>3101</v>
      </c>
      <c r="AP778" s="73"/>
      <c r="AQ778" s="75"/>
      <c r="AR778" s="76"/>
      <c r="AS778" s="77"/>
      <c r="AV778" s="75"/>
      <c r="AW778" s="83"/>
      <c r="AX778" s="84"/>
      <c r="AY778" s="80"/>
      <c r="BB778" s="81"/>
    </row>
    <row r="779" spans="1:58" ht="15" customHeight="1">
      <c r="A779" s="23" t="s">
        <v>3197</v>
      </c>
      <c r="B779" s="23" t="s">
        <v>3203</v>
      </c>
      <c r="C779" s="23" t="s">
        <v>3334</v>
      </c>
      <c r="D779" s="24">
        <v>152</v>
      </c>
      <c r="E779" s="23">
        <v>2</v>
      </c>
      <c r="G779" s="23" t="s">
        <v>369</v>
      </c>
      <c r="J779" s="23" t="s">
        <v>27</v>
      </c>
      <c r="K779" s="23" t="s">
        <v>201</v>
      </c>
      <c r="L779" s="23">
        <v>2</v>
      </c>
      <c r="N779" s="62">
        <v>2</v>
      </c>
      <c r="P779" s="64">
        <v>1</v>
      </c>
      <c r="Q779" s="65">
        <v>2</v>
      </c>
      <c r="AB779" s="23" t="s">
        <v>2185</v>
      </c>
      <c r="AD779" s="23" t="s">
        <v>307</v>
      </c>
      <c r="AF779" s="23" t="s">
        <v>3102</v>
      </c>
      <c r="AP779" s="73"/>
      <c r="AQ779" s="75"/>
      <c r="AR779" s="76"/>
      <c r="AS779" s="77"/>
      <c r="AV779" s="75"/>
      <c r="AW779" s="83"/>
      <c r="AX779" s="84"/>
      <c r="AY779" s="80"/>
      <c r="BB779" s="81"/>
    </row>
    <row r="780" spans="1:58" ht="15" customHeight="1">
      <c r="A780" s="23" t="s">
        <v>3197</v>
      </c>
      <c r="B780" s="23" t="s">
        <v>3204</v>
      </c>
      <c r="C780" s="23" t="s">
        <v>3334</v>
      </c>
      <c r="D780" s="24">
        <v>153</v>
      </c>
      <c r="E780" s="23">
        <v>2</v>
      </c>
      <c r="G780" s="23" t="s">
        <v>3103</v>
      </c>
      <c r="J780" s="23" t="s">
        <v>27</v>
      </c>
      <c r="K780" s="23" t="s">
        <v>200</v>
      </c>
      <c r="L780" s="23">
        <v>0</v>
      </c>
      <c r="N780" s="62">
        <v>3</v>
      </c>
      <c r="O780" s="63">
        <v>1</v>
      </c>
      <c r="Q780" s="65">
        <v>1</v>
      </c>
      <c r="AB780" s="23" t="s">
        <v>2179</v>
      </c>
      <c r="AD780" s="23" t="s">
        <v>279</v>
      </c>
      <c r="AF780" s="23" t="s">
        <v>3104</v>
      </c>
      <c r="AP780" s="73"/>
      <c r="AQ780" s="75"/>
      <c r="AR780" s="76"/>
      <c r="AS780" s="77"/>
      <c r="AV780" s="75"/>
      <c r="AW780" s="83"/>
      <c r="AX780" s="84"/>
      <c r="AY780" s="80"/>
      <c r="BB780" s="81"/>
    </row>
    <row r="781" spans="1:58" ht="15" customHeight="1">
      <c r="A781" s="23" t="s">
        <v>3197</v>
      </c>
      <c r="B781" s="23" t="s">
        <v>3205</v>
      </c>
      <c r="C781" s="23" t="s">
        <v>3334</v>
      </c>
      <c r="D781" s="24">
        <v>154</v>
      </c>
      <c r="E781" s="23">
        <v>2</v>
      </c>
      <c r="G781" s="23" t="s">
        <v>684</v>
      </c>
      <c r="J781" s="23" t="s">
        <v>257</v>
      </c>
      <c r="K781" s="23" t="s">
        <v>200</v>
      </c>
      <c r="L781" s="23">
        <v>1</v>
      </c>
      <c r="N781" s="62">
        <v>3</v>
      </c>
      <c r="P781" s="64">
        <v>1</v>
      </c>
      <c r="AB781" s="23" t="s">
        <v>205</v>
      </c>
      <c r="AC781" s="23" t="s">
        <v>258</v>
      </c>
      <c r="AD781" s="23" t="s">
        <v>269</v>
      </c>
      <c r="AF781" s="23" t="s">
        <v>3105</v>
      </c>
      <c r="AP781" s="73"/>
      <c r="AQ781" s="75"/>
      <c r="AR781" s="76"/>
      <c r="AS781" s="77"/>
      <c r="AV781" s="75"/>
      <c r="AW781" s="83"/>
      <c r="AX781" s="84"/>
      <c r="AY781" s="80"/>
      <c r="BB781" s="81"/>
    </row>
    <row r="782" spans="1:58" ht="15" customHeight="1">
      <c r="A782" s="23" t="s">
        <v>3197</v>
      </c>
      <c r="B782" s="23" t="s">
        <v>3206</v>
      </c>
      <c r="C782" s="23" t="s">
        <v>3334</v>
      </c>
      <c r="D782" s="24">
        <v>155</v>
      </c>
      <c r="E782" s="23">
        <v>2</v>
      </c>
      <c r="G782" s="23" t="s">
        <v>3106</v>
      </c>
      <c r="J782" s="23" t="s">
        <v>27</v>
      </c>
      <c r="K782" s="23" t="s">
        <v>202</v>
      </c>
      <c r="L782" s="23">
        <v>0</v>
      </c>
      <c r="N782" s="62">
        <v>1</v>
      </c>
      <c r="AD782" s="23" t="s">
        <v>1805</v>
      </c>
      <c r="AF782" s="23" t="s">
        <v>3107</v>
      </c>
      <c r="AP782" s="73"/>
      <c r="AQ782" s="75"/>
      <c r="AR782" s="76"/>
      <c r="AS782" s="77"/>
      <c r="AV782" s="75"/>
      <c r="AW782" s="83"/>
      <c r="AX782" s="84"/>
      <c r="AY782" s="80"/>
      <c r="BB782" s="81"/>
    </row>
    <row r="783" spans="1:58" ht="15" customHeight="1">
      <c r="A783" s="23" t="s">
        <v>3197</v>
      </c>
      <c r="B783" s="23" t="s">
        <v>3207</v>
      </c>
      <c r="C783" s="23" t="s">
        <v>3334</v>
      </c>
      <c r="D783" s="24">
        <v>156</v>
      </c>
      <c r="E783" s="23">
        <v>2</v>
      </c>
      <c r="G783" s="23" t="s">
        <v>3108</v>
      </c>
      <c r="J783" s="23" t="s">
        <v>27</v>
      </c>
      <c r="K783" s="23" t="s">
        <v>202</v>
      </c>
      <c r="L783" s="23">
        <v>1</v>
      </c>
      <c r="N783" s="62">
        <v>1</v>
      </c>
      <c r="O783" s="63">
        <v>1</v>
      </c>
      <c r="AB783" s="23" t="s">
        <v>204</v>
      </c>
      <c r="AD783" s="23" t="s">
        <v>1805</v>
      </c>
      <c r="AF783" s="23" t="s">
        <v>3109</v>
      </c>
      <c r="AP783" s="73"/>
      <c r="AQ783" s="75"/>
      <c r="AR783" s="76"/>
      <c r="AS783" s="77"/>
      <c r="AV783" s="75"/>
      <c r="AW783" s="83"/>
      <c r="AX783" s="84"/>
      <c r="AY783" s="80"/>
      <c r="BB783" s="81"/>
    </row>
    <row r="784" spans="1:58" ht="15" customHeight="1">
      <c r="A784" s="23" t="s">
        <v>3197</v>
      </c>
      <c r="B784" s="23" t="s">
        <v>3208</v>
      </c>
      <c r="C784" s="23" t="s">
        <v>3334</v>
      </c>
      <c r="D784" s="24">
        <v>157</v>
      </c>
      <c r="E784" s="23">
        <v>2</v>
      </c>
      <c r="G784" s="23" t="s">
        <v>3110</v>
      </c>
      <c r="J784" s="23" t="s">
        <v>27</v>
      </c>
      <c r="K784" s="23" t="s">
        <v>202</v>
      </c>
      <c r="L784" s="23">
        <v>1</v>
      </c>
      <c r="N784" s="62">
        <v>1</v>
      </c>
      <c r="R784" s="66">
        <v>1</v>
      </c>
      <c r="AB784" s="23" t="s">
        <v>207</v>
      </c>
      <c r="AD784" s="23" t="s">
        <v>372</v>
      </c>
      <c r="AF784" s="23" t="s">
        <v>3111</v>
      </c>
      <c r="AP784" s="73"/>
      <c r="AQ784" s="75"/>
      <c r="AR784" s="76"/>
      <c r="AS784" s="77"/>
      <c r="AV784" s="75"/>
      <c r="AW784" s="83"/>
      <c r="AX784" s="84"/>
      <c r="AY784" s="80"/>
      <c r="BB784" s="81"/>
    </row>
    <row r="785" spans="1:59" ht="15" customHeight="1">
      <c r="A785" s="23" t="s">
        <v>3197</v>
      </c>
      <c r="B785" s="23" t="s">
        <v>3209</v>
      </c>
      <c r="C785" s="23" t="s">
        <v>3334</v>
      </c>
      <c r="D785" s="24">
        <v>158</v>
      </c>
      <c r="E785" s="23">
        <v>2</v>
      </c>
      <c r="G785" s="23" t="s">
        <v>3112</v>
      </c>
      <c r="J785" s="23" t="s">
        <v>27</v>
      </c>
      <c r="K785" s="23" t="s">
        <v>26</v>
      </c>
      <c r="L785" s="23">
        <v>0</v>
      </c>
      <c r="N785" s="62">
        <v>1</v>
      </c>
      <c r="P785" s="64">
        <v>1</v>
      </c>
      <c r="R785" s="66">
        <v>1</v>
      </c>
      <c r="AB785" s="23" t="s">
        <v>2315</v>
      </c>
      <c r="AD785" s="23" t="s">
        <v>3113</v>
      </c>
      <c r="AF785" s="23" t="s">
        <v>3114</v>
      </c>
      <c r="AP785" s="73"/>
      <c r="AQ785" s="75"/>
      <c r="AR785" s="76"/>
      <c r="AS785" s="77"/>
      <c r="AV785" s="75"/>
      <c r="AW785" s="83"/>
      <c r="AX785" s="84"/>
      <c r="AY785" s="80"/>
      <c r="BB785" s="81"/>
    </row>
    <row r="786" spans="1:59" ht="15" customHeight="1">
      <c r="A786" s="23" t="s">
        <v>3197</v>
      </c>
      <c r="B786" s="23" t="s">
        <v>3210</v>
      </c>
      <c r="C786" s="23" t="s">
        <v>3334</v>
      </c>
      <c r="D786" s="24">
        <v>159</v>
      </c>
      <c r="E786" s="23">
        <v>1</v>
      </c>
      <c r="F786" s="23" t="s">
        <v>3115</v>
      </c>
      <c r="G786" s="23" t="s">
        <v>3115</v>
      </c>
      <c r="J786" s="23" t="s">
        <v>618</v>
      </c>
      <c r="AF786" s="23" t="s">
        <v>3116</v>
      </c>
      <c r="AI786" s="23" t="s">
        <v>3115</v>
      </c>
      <c r="AL786" s="23" t="s">
        <v>618</v>
      </c>
      <c r="AP786" s="73"/>
      <c r="AQ786" s="75"/>
      <c r="AR786" s="76"/>
      <c r="AS786" s="77"/>
      <c r="AV786" s="75"/>
      <c r="AW786" s="83"/>
      <c r="AX786" s="84"/>
      <c r="AY786" s="80"/>
      <c r="BB786" s="81"/>
      <c r="BG786" s="23" t="s">
        <v>3117</v>
      </c>
    </row>
    <row r="787" spans="1:59" ht="15" customHeight="1">
      <c r="A787" s="23" t="s">
        <v>3197</v>
      </c>
      <c r="B787" s="23" t="s">
        <v>3211</v>
      </c>
      <c r="C787" s="23" t="s">
        <v>3334</v>
      </c>
      <c r="D787" s="24">
        <v>160</v>
      </c>
      <c r="E787" s="23">
        <v>1</v>
      </c>
      <c r="F787" s="23" t="s">
        <v>3115</v>
      </c>
      <c r="G787" s="23" t="s">
        <v>3118</v>
      </c>
      <c r="J787" s="23" t="s">
        <v>619</v>
      </c>
      <c r="L787" s="23">
        <v>1</v>
      </c>
      <c r="Z787" s="68">
        <v>2</v>
      </c>
      <c r="AI787" s="23" t="s">
        <v>3119</v>
      </c>
      <c r="AL787" s="23" t="s">
        <v>619</v>
      </c>
      <c r="AN787" s="23">
        <v>1</v>
      </c>
      <c r="AP787" s="73"/>
      <c r="AQ787" s="75"/>
      <c r="AR787" s="76"/>
      <c r="AS787" s="77"/>
      <c r="AV787" s="75"/>
      <c r="AW787" s="83"/>
      <c r="AX787" s="84"/>
      <c r="AY787" s="80"/>
      <c r="BB787" s="81"/>
      <c r="BG787" s="23" t="s">
        <v>3120</v>
      </c>
    </row>
    <row r="788" spans="1:59" ht="15" customHeight="1">
      <c r="A788" s="23" t="s">
        <v>3197</v>
      </c>
      <c r="B788" s="23" t="s">
        <v>3212</v>
      </c>
      <c r="C788" s="23" t="s">
        <v>3334</v>
      </c>
      <c r="D788" s="24">
        <v>161</v>
      </c>
      <c r="E788" s="23">
        <v>1</v>
      </c>
      <c r="F788" s="23" t="s">
        <v>3115</v>
      </c>
      <c r="G788" s="23" t="s">
        <v>3121</v>
      </c>
      <c r="J788" s="23" t="s">
        <v>619</v>
      </c>
      <c r="L788" s="23">
        <v>2</v>
      </c>
      <c r="Z788" s="68">
        <v>7</v>
      </c>
      <c r="AI788" s="23" t="s">
        <v>840</v>
      </c>
      <c r="AL788" s="23" t="s">
        <v>619</v>
      </c>
      <c r="AN788" s="23">
        <v>2</v>
      </c>
      <c r="AP788" s="73"/>
      <c r="AQ788" s="75"/>
      <c r="AR788" s="76"/>
      <c r="AS788" s="77"/>
      <c r="AV788" s="75"/>
      <c r="AW788" s="83"/>
      <c r="AX788" s="84"/>
      <c r="AY788" s="80"/>
      <c r="BB788" s="81"/>
      <c r="BG788" s="23" t="s">
        <v>3122</v>
      </c>
    </row>
    <row r="789" spans="1:59" ht="15" customHeight="1">
      <c r="A789" s="23" t="s">
        <v>3197</v>
      </c>
      <c r="B789" s="23" t="s">
        <v>3213</v>
      </c>
      <c r="C789" s="23" t="s">
        <v>3334</v>
      </c>
      <c r="D789" s="24">
        <v>162</v>
      </c>
      <c r="E789" s="23">
        <v>1</v>
      </c>
      <c r="F789" s="23" t="s">
        <v>3115</v>
      </c>
      <c r="G789" s="23" t="s">
        <v>3123</v>
      </c>
      <c r="J789" s="23" t="s">
        <v>619</v>
      </c>
      <c r="L789" s="23">
        <v>3</v>
      </c>
      <c r="Z789" s="68">
        <v>8</v>
      </c>
      <c r="AF789" s="23" t="s">
        <v>3124</v>
      </c>
      <c r="AI789" s="23" t="s">
        <v>3125</v>
      </c>
      <c r="AL789" s="23" t="s">
        <v>619</v>
      </c>
      <c r="AN789" s="23">
        <v>3</v>
      </c>
      <c r="AP789" s="73"/>
      <c r="AQ789" s="75"/>
      <c r="AR789" s="76"/>
      <c r="AS789" s="77"/>
      <c r="AV789" s="75"/>
      <c r="AW789" s="83"/>
      <c r="AX789" s="84"/>
      <c r="AY789" s="80"/>
      <c r="BB789" s="81"/>
      <c r="BG789" s="23" t="s">
        <v>3126</v>
      </c>
    </row>
    <row r="790" spans="1:59" ht="15" customHeight="1">
      <c r="A790" s="23" t="s">
        <v>3197</v>
      </c>
      <c r="B790" s="23" t="s">
        <v>3214</v>
      </c>
      <c r="C790" s="23" t="s">
        <v>3334</v>
      </c>
      <c r="D790" s="24">
        <v>163</v>
      </c>
      <c r="E790" s="23">
        <v>1</v>
      </c>
      <c r="F790" s="23" t="s">
        <v>3115</v>
      </c>
      <c r="G790" s="23" t="s">
        <v>752</v>
      </c>
      <c r="J790" s="23" t="s">
        <v>621</v>
      </c>
      <c r="L790" s="23">
        <v>1</v>
      </c>
      <c r="Y790" s="66" t="s">
        <v>1696</v>
      </c>
      <c r="AI790" s="23" t="s">
        <v>3127</v>
      </c>
      <c r="AL790" s="23" t="s">
        <v>621</v>
      </c>
      <c r="AN790" s="23">
        <v>1</v>
      </c>
      <c r="AP790" s="73"/>
      <c r="AQ790" s="75"/>
      <c r="AR790" s="76"/>
      <c r="AS790" s="77"/>
      <c r="AV790" s="75"/>
      <c r="AW790" s="83"/>
      <c r="AX790" s="84"/>
      <c r="AY790" s="80"/>
      <c r="BB790" s="81"/>
      <c r="BG790" s="23" t="s">
        <v>3128</v>
      </c>
    </row>
    <row r="791" spans="1:59" ht="15" customHeight="1">
      <c r="A791" s="23" t="s">
        <v>3197</v>
      </c>
      <c r="B791" s="23" t="s">
        <v>3215</v>
      </c>
      <c r="C791" s="23" t="s">
        <v>3334</v>
      </c>
      <c r="D791" s="24">
        <v>164</v>
      </c>
      <c r="E791" s="23">
        <v>1</v>
      </c>
      <c r="F791" s="23" t="s">
        <v>3115</v>
      </c>
      <c r="G791" s="23" t="s">
        <v>3129</v>
      </c>
      <c r="J791" s="23" t="s">
        <v>621</v>
      </c>
      <c r="L791" s="23">
        <v>2</v>
      </c>
      <c r="Y791" s="66" t="s">
        <v>38</v>
      </c>
      <c r="AF791" s="23" t="s">
        <v>3130</v>
      </c>
      <c r="AI791" s="23" t="s">
        <v>3131</v>
      </c>
      <c r="AL791" s="23" t="s">
        <v>621</v>
      </c>
      <c r="AN791" s="23">
        <v>2</v>
      </c>
      <c r="AP791" s="73"/>
      <c r="AQ791" s="75"/>
      <c r="AR791" s="76"/>
      <c r="AS791" s="77"/>
      <c r="AV791" s="75"/>
      <c r="AW791" s="83"/>
      <c r="AX791" s="84"/>
      <c r="AY791" s="80"/>
      <c r="BB791" s="81"/>
      <c r="BG791" s="23" t="s">
        <v>3132</v>
      </c>
    </row>
    <row r="792" spans="1:59" ht="15" customHeight="1">
      <c r="A792" s="23" t="s">
        <v>3197</v>
      </c>
      <c r="B792" s="23" t="s">
        <v>3216</v>
      </c>
      <c r="C792" s="23" t="s">
        <v>3334</v>
      </c>
      <c r="D792" s="24">
        <v>165</v>
      </c>
      <c r="E792" s="23">
        <v>1</v>
      </c>
      <c r="F792" s="23" t="s">
        <v>3115</v>
      </c>
      <c r="G792" s="23" t="s">
        <v>3133</v>
      </c>
      <c r="J792" s="23" t="s">
        <v>621</v>
      </c>
      <c r="L792" s="23">
        <v>2</v>
      </c>
      <c r="Y792" s="66" t="s">
        <v>38</v>
      </c>
      <c r="AF792" s="23" t="s">
        <v>3130</v>
      </c>
      <c r="AI792" s="23" t="s">
        <v>3134</v>
      </c>
      <c r="AL792" s="23" t="s">
        <v>621</v>
      </c>
      <c r="AN792" s="23">
        <v>2</v>
      </c>
      <c r="AP792" s="73"/>
      <c r="AQ792" s="75"/>
      <c r="AR792" s="76"/>
      <c r="AS792" s="77"/>
      <c r="AV792" s="75"/>
      <c r="AW792" s="83"/>
      <c r="AX792" s="84"/>
      <c r="AY792" s="80"/>
      <c r="BB792" s="81"/>
      <c r="BG792" s="23" t="s">
        <v>3135</v>
      </c>
    </row>
    <row r="793" spans="1:59" ht="15" customHeight="1">
      <c r="A793" s="23" t="s">
        <v>3197</v>
      </c>
      <c r="B793" s="23" t="s">
        <v>3217</v>
      </c>
      <c r="C793" s="23" t="s">
        <v>3334</v>
      </c>
      <c r="D793" s="24">
        <v>166</v>
      </c>
      <c r="E793" s="23">
        <v>1</v>
      </c>
      <c r="F793" s="23" t="s">
        <v>3115</v>
      </c>
      <c r="G793" s="23" t="s">
        <v>3136</v>
      </c>
      <c r="J793" s="23" t="s">
        <v>621</v>
      </c>
      <c r="L793" s="23">
        <v>3</v>
      </c>
      <c r="Y793" s="66" t="s">
        <v>38</v>
      </c>
      <c r="AF793" s="23" t="s">
        <v>3137</v>
      </c>
      <c r="AI793" s="23" t="s">
        <v>3138</v>
      </c>
      <c r="AL793" s="23" t="s">
        <v>621</v>
      </c>
      <c r="AN793" s="23">
        <v>3</v>
      </c>
      <c r="AP793" s="73"/>
      <c r="AQ793" s="75"/>
      <c r="AR793" s="76"/>
      <c r="AS793" s="77"/>
      <c r="AV793" s="75"/>
      <c r="AW793" s="83"/>
      <c r="AX793" s="84"/>
      <c r="AY793" s="80"/>
      <c r="BB793" s="81"/>
      <c r="BG793" s="23" t="s">
        <v>3139</v>
      </c>
    </row>
    <row r="794" spans="1:59" ht="15" customHeight="1">
      <c r="A794" s="23" t="s">
        <v>3197</v>
      </c>
      <c r="B794" s="23" t="s">
        <v>3218</v>
      </c>
      <c r="C794" s="23" t="s">
        <v>3334</v>
      </c>
      <c r="D794" s="24">
        <v>167</v>
      </c>
      <c r="E794" s="23">
        <v>1</v>
      </c>
      <c r="F794" s="23" t="s">
        <v>3115</v>
      </c>
      <c r="G794" s="23" t="s">
        <v>3140</v>
      </c>
      <c r="J794" s="23" t="s">
        <v>621</v>
      </c>
      <c r="L794" s="23">
        <v>4</v>
      </c>
      <c r="Y794" s="66" t="s">
        <v>38</v>
      </c>
      <c r="AF794" s="23" t="s">
        <v>3141</v>
      </c>
      <c r="AI794" s="23" t="s">
        <v>3142</v>
      </c>
      <c r="AL794" s="23" t="s">
        <v>621</v>
      </c>
      <c r="AN794" s="23">
        <v>4</v>
      </c>
      <c r="AP794" s="73"/>
      <c r="AQ794" s="75"/>
      <c r="AR794" s="76"/>
      <c r="AS794" s="77"/>
      <c r="AV794" s="75"/>
      <c r="AW794" s="83"/>
      <c r="AX794" s="84"/>
      <c r="AY794" s="80"/>
      <c r="BB794" s="81"/>
      <c r="BG794" s="23" t="s">
        <v>3143</v>
      </c>
    </row>
    <row r="795" spans="1:59" ht="15" customHeight="1">
      <c r="A795" s="23" t="s">
        <v>3197</v>
      </c>
      <c r="B795" s="23" t="s">
        <v>3219</v>
      </c>
      <c r="C795" s="23" t="s">
        <v>3334</v>
      </c>
      <c r="D795" s="24">
        <v>168</v>
      </c>
      <c r="E795" s="23">
        <v>1</v>
      </c>
      <c r="F795" s="23" t="s">
        <v>3115</v>
      </c>
      <c r="G795" s="23" t="s">
        <v>3144</v>
      </c>
      <c r="H795" s="23" t="s">
        <v>3145</v>
      </c>
      <c r="J795" s="23" t="s">
        <v>31</v>
      </c>
      <c r="AD795" s="23" t="s">
        <v>3146</v>
      </c>
      <c r="AI795" s="23" t="s">
        <v>3144</v>
      </c>
      <c r="AJ795" s="23" t="s">
        <v>3145</v>
      </c>
      <c r="AL795" s="23" t="s">
        <v>31</v>
      </c>
      <c r="AP795" s="73"/>
      <c r="AQ795" s="75"/>
      <c r="AR795" s="76"/>
      <c r="AS795" s="77"/>
      <c r="AV795" s="75"/>
      <c r="AW795" s="83"/>
      <c r="AX795" s="84"/>
      <c r="AY795" s="80">
        <v>2</v>
      </c>
      <c r="AZ795" s="66">
        <v>0</v>
      </c>
      <c r="BB795" s="81"/>
      <c r="BE795" s="23" t="s">
        <v>3146</v>
      </c>
      <c r="BG795" s="23" t="s">
        <v>3147</v>
      </c>
    </row>
    <row r="796" spans="1:59" ht="15" customHeight="1">
      <c r="A796" s="23" t="s">
        <v>3197</v>
      </c>
      <c r="B796" s="23" t="s">
        <v>3220</v>
      </c>
      <c r="C796" s="23" t="s">
        <v>3334</v>
      </c>
      <c r="D796" s="24">
        <v>169</v>
      </c>
      <c r="E796" s="23">
        <v>1</v>
      </c>
      <c r="F796" s="23" t="s">
        <v>3115</v>
      </c>
      <c r="G796" s="23" t="s">
        <v>3144</v>
      </c>
      <c r="H796" s="23" t="s">
        <v>3145</v>
      </c>
      <c r="J796" s="23" t="s">
        <v>31</v>
      </c>
      <c r="AD796" s="23" t="s">
        <v>3146</v>
      </c>
      <c r="AI796" s="23" t="s">
        <v>3144</v>
      </c>
      <c r="AJ796" s="23" t="s">
        <v>3145</v>
      </c>
      <c r="AL796" s="23" t="s">
        <v>31</v>
      </c>
      <c r="AP796" s="73"/>
      <c r="AQ796" s="75"/>
      <c r="AR796" s="76"/>
      <c r="AS796" s="77"/>
      <c r="AV796" s="75"/>
      <c r="AW796" s="83"/>
      <c r="AX796" s="84"/>
      <c r="AY796" s="80">
        <v>3</v>
      </c>
      <c r="AZ796" s="66" t="s">
        <v>1071</v>
      </c>
      <c r="BB796" s="81"/>
      <c r="BE796" s="23" t="s">
        <v>3146</v>
      </c>
      <c r="BG796" s="23" t="s">
        <v>3148</v>
      </c>
    </row>
    <row r="797" spans="1:59" ht="15" customHeight="1">
      <c r="A797" s="23" t="s">
        <v>3197</v>
      </c>
      <c r="B797" s="23" t="s">
        <v>3221</v>
      </c>
      <c r="C797" s="23" t="s">
        <v>3334</v>
      </c>
      <c r="D797" s="24">
        <v>170</v>
      </c>
      <c r="E797" s="23">
        <v>1</v>
      </c>
      <c r="F797" s="23" t="s">
        <v>3115</v>
      </c>
      <c r="G797" s="23" t="s">
        <v>3144</v>
      </c>
      <c r="H797" s="23" t="s">
        <v>3149</v>
      </c>
      <c r="J797" s="23" t="s">
        <v>31</v>
      </c>
      <c r="AD797" s="23" t="s">
        <v>3146</v>
      </c>
      <c r="AI797" s="23" t="s">
        <v>3144</v>
      </c>
      <c r="AJ797" s="23" t="s">
        <v>3149</v>
      </c>
      <c r="AL797" s="23" t="s">
        <v>31</v>
      </c>
      <c r="AP797" s="73"/>
      <c r="AQ797" s="75"/>
      <c r="AR797" s="76"/>
      <c r="AS797" s="77"/>
      <c r="AV797" s="75"/>
      <c r="AW797" s="83"/>
      <c r="AX797" s="84"/>
      <c r="AY797" s="80">
        <v>3</v>
      </c>
      <c r="AZ797" s="66">
        <v>0</v>
      </c>
      <c r="BB797" s="81"/>
      <c r="BE797" s="23" t="s">
        <v>3146</v>
      </c>
      <c r="BG797" s="23" t="s">
        <v>3150</v>
      </c>
    </row>
    <row r="798" spans="1:59" ht="15" customHeight="1">
      <c r="A798" s="23" t="s">
        <v>3197</v>
      </c>
      <c r="B798" s="23" t="s">
        <v>3222</v>
      </c>
      <c r="C798" s="23" t="s">
        <v>3334</v>
      </c>
      <c r="D798" s="24">
        <v>171</v>
      </c>
      <c r="E798" s="23">
        <v>1</v>
      </c>
      <c r="F798" s="23" t="s">
        <v>3115</v>
      </c>
      <c r="G798" s="23" t="s">
        <v>3144</v>
      </c>
      <c r="H798" s="23" t="s">
        <v>3149</v>
      </c>
      <c r="J798" s="23" t="s">
        <v>31</v>
      </c>
      <c r="AD798" s="23" t="s">
        <v>3146</v>
      </c>
      <c r="AI798" s="23" t="s">
        <v>3144</v>
      </c>
      <c r="AJ798" s="23" t="s">
        <v>3149</v>
      </c>
      <c r="AL798" s="23" t="s">
        <v>31</v>
      </c>
      <c r="AP798" s="73"/>
      <c r="AQ798" s="75"/>
      <c r="AR798" s="76"/>
      <c r="AS798" s="77"/>
      <c r="AV798" s="75"/>
      <c r="AW798" s="83"/>
      <c r="AX798" s="84"/>
      <c r="AY798" s="80">
        <v>2</v>
      </c>
      <c r="AZ798" s="66" t="s">
        <v>1071</v>
      </c>
      <c r="BB798" s="81"/>
      <c r="BE798" s="23" t="s">
        <v>3146</v>
      </c>
      <c r="BG798" s="23" t="s">
        <v>3151</v>
      </c>
    </row>
    <row r="799" spans="1:59" ht="15" customHeight="1">
      <c r="A799" s="23" t="s">
        <v>3197</v>
      </c>
      <c r="B799" s="23" t="s">
        <v>3223</v>
      </c>
      <c r="C799" s="23" t="s">
        <v>3334</v>
      </c>
      <c r="D799" s="24">
        <v>172</v>
      </c>
      <c r="E799" s="23">
        <v>1</v>
      </c>
      <c r="F799" s="23" t="s">
        <v>3115</v>
      </c>
      <c r="G799" s="23" t="s">
        <v>3152</v>
      </c>
      <c r="J799" s="23" t="s">
        <v>31</v>
      </c>
      <c r="AD799" s="23" t="s">
        <v>3146</v>
      </c>
      <c r="AF799" s="23" t="s">
        <v>3153</v>
      </c>
      <c r="AI799" s="23" t="s">
        <v>3152</v>
      </c>
      <c r="AL799" s="23" t="s">
        <v>31</v>
      </c>
      <c r="AP799" s="73"/>
      <c r="AQ799" s="75"/>
      <c r="AR799" s="76"/>
      <c r="AS799" s="77"/>
      <c r="AV799" s="75"/>
      <c r="AW799" s="83"/>
      <c r="AX799" s="84"/>
      <c r="AY799" s="80">
        <v>2</v>
      </c>
      <c r="AZ799" s="66" t="s">
        <v>1071</v>
      </c>
      <c r="BB799" s="81"/>
      <c r="BE799" s="23" t="s">
        <v>3146</v>
      </c>
      <c r="BG799" s="23" t="s">
        <v>3154</v>
      </c>
    </row>
    <row r="800" spans="1:59" ht="15" customHeight="1">
      <c r="A800" s="23" t="s">
        <v>3197</v>
      </c>
      <c r="B800" s="23" t="s">
        <v>3224</v>
      </c>
      <c r="C800" s="23" t="s">
        <v>3334</v>
      </c>
      <c r="D800" s="24">
        <v>173</v>
      </c>
      <c r="E800" s="23">
        <v>1</v>
      </c>
      <c r="F800" s="23" t="s">
        <v>3115</v>
      </c>
      <c r="G800" s="23" t="s">
        <v>3155</v>
      </c>
      <c r="J800" s="23" t="s">
        <v>31</v>
      </c>
      <c r="AD800" s="23" t="s">
        <v>3146</v>
      </c>
      <c r="AI800" s="23" t="s">
        <v>3155</v>
      </c>
      <c r="AL800" s="23" t="s">
        <v>31</v>
      </c>
      <c r="AP800" s="73"/>
      <c r="AQ800" s="75"/>
      <c r="AR800" s="76"/>
      <c r="AS800" s="77"/>
      <c r="AV800" s="75"/>
      <c r="AW800" s="83"/>
      <c r="AX800" s="84"/>
      <c r="AY800" s="80">
        <v>2</v>
      </c>
      <c r="AZ800" s="66" t="s">
        <v>1697</v>
      </c>
      <c r="BB800" s="81">
        <v>1</v>
      </c>
      <c r="BE800" s="23" t="s">
        <v>3146</v>
      </c>
      <c r="BG800" s="23" t="s">
        <v>3156</v>
      </c>
    </row>
    <row r="801" spans="1:59" ht="15" customHeight="1">
      <c r="A801" s="23" t="s">
        <v>3197</v>
      </c>
      <c r="B801" s="23" t="s">
        <v>3225</v>
      </c>
      <c r="C801" s="23" t="s">
        <v>3334</v>
      </c>
      <c r="D801" s="24">
        <v>174</v>
      </c>
      <c r="E801" s="23">
        <v>1</v>
      </c>
      <c r="F801" s="23" t="s">
        <v>3115</v>
      </c>
      <c r="G801" s="23" t="s">
        <v>3157</v>
      </c>
      <c r="J801" s="23" t="s">
        <v>31</v>
      </c>
      <c r="AD801" s="23" t="s">
        <v>3146</v>
      </c>
      <c r="AI801" s="23" t="s">
        <v>3157</v>
      </c>
      <c r="AL801" s="23" t="s">
        <v>31</v>
      </c>
      <c r="AP801" s="73"/>
      <c r="AQ801" s="75"/>
      <c r="AR801" s="76"/>
      <c r="AS801" s="77"/>
      <c r="AV801" s="75"/>
      <c r="AW801" s="83"/>
      <c r="AX801" s="84"/>
      <c r="AY801" s="80">
        <v>3</v>
      </c>
      <c r="AZ801" s="66" t="s">
        <v>1071</v>
      </c>
      <c r="BB801" s="81">
        <v>1</v>
      </c>
      <c r="BE801" s="23" t="s">
        <v>3146</v>
      </c>
      <c r="BG801" s="23" t="s">
        <v>3158</v>
      </c>
    </row>
    <row r="802" spans="1:59" ht="15" customHeight="1">
      <c r="A802" s="23" t="s">
        <v>3197</v>
      </c>
      <c r="B802" s="23" t="s">
        <v>3226</v>
      </c>
      <c r="C802" s="23" t="s">
        <v>3334</v>
      </c>
      <c r="D802" s="24">
        <v>175</v>
      </c>
      <c r="E802" s="23">
        <v>1</v>
      </c>
      <c r="F802" s="23" t="s">
        <v>3115</v>
      </c>
      <c r="G802" s="23" t="s">
        <v>3159</v>
      </c>
      <c r="J802" s="23" t="s">
        <v>31</v>
      </c>
      <c r="AD802" s="23" t="s">
        <v>3146</v>
      </c>
      <c r="AI802" s="23" t="s">
        <v>3159</v>
      </c>
      <c r="AL802" s="23" t="s">
        <v>31</v>
      </c>
      <c r="AP802" s="73"/>
      <c r="AQ802" s="75"/>
      <c r="AR802" s="76"/>
      <c r="AS802" s="77"/>
      <c r="AV802" s="75"/>
      <c r="AW802" s="83"/>
      <c r="AX802" s="84"/>
      <c r="AY802" s="80">
        <v>1</v>
      </c>
      <c r="AZ802" s="66" t="s">
        <v>1071</v>
      </c>
      <c r="BB802" s="81"/>
      <c r="BE802" s="23" t="s">
        <v>3146</v>
      </c>
      <c r="BG802" s="23" t="s">
        <v>3160</v>
      </c>
    </row>
    <row r="803" spans="1:59" ht="15" customHeight="1">
      <c r="A803" s="23" t="s">
        <v>3197</v>
      </c>
      <c r="B803" s="23" t="s">
        <v>3227</v>
      </c>
      <c r="C803" s="23" t="s">
        <v>3334</v>
      </c>
      <c r="D803" s="24">
        <v>176</v>
      </c>
      <c r="E803" s="23">
        <v>1</v>
      </c>
      <c r="F803" s="23" t="s">
        <v>3115</v>
      </c>
      <c r="G803" s="23" t="s">
        <v>3161</v>
      </c>
      <c r="J803" s="23" t="s">
        <v>31</v>
      </c>
      <c r="AD803" s="23" t="s">
        <v>3146</v>
      </c>
      <c r="AF803" s="23" t="s">
        <v>3162</v>
      </c>
      <c r="AI803" s="23" t="s">
        <v>3161</v>
      </c>
      <c r="AL803" s="23" t="s">
        <v>31</v>
      </c>
      <c r="AP803" s="73"/>
      <c r="AQ803" s="75"/>
      <c r="AR803" s="76"/>
      <c r="AS803" s="77"/>
      <c r="AV803" s="75"/>
      <c r="AW803" s="83"/>
      <c r="AX803" s="84"/>
      <c r="AY803" s="80">
        <v>3</v>
      </c>
      <c r="AZ803" s="66" t="s">
        <v>1071</v>
      </c>
      <c r="BB803" s="81"/>
      <c r="BE803" s="23" t="s">
        <v>3146</v>
      </c>
      <c r="BG803" s="23" t="s">
        <v>3163</v>
      </c>
    </row>
    <row r="804" spans="1:59" ht="15" customHeight="1">
      <c r="A804" s="23" t="s">
        <v>3197</v>
      </c>
      <c r="B804" s="23" t="s">
        <v>3228</v>
      </c>
      <c r="C804" s="23" t="s">
        <v>3334</v>
      </c>
      <c r="D804" s="24">
        <v>177</v>
      </c>
      <c r="E804" s="23">
        <v>1</v>
      </c>
      <c r="F804" s="23" t="s">
        <v>3115</v>
      </c>
      <c r="G804" s="23" t="s">
        <v>3164</v>
      </c>
      <c r="J804" s="23" t="s">
        <v>31</v>
      </c>
      <c r="AD804" s="23" t="s">
        <v>3146</v>
      </c>
      <c r="AF804" s="23" t="s">
        <v>3165</v>
      </c>
      <c r="AI804" s="23" t="s">
        <v>3164</v>
      </c>
      <c r="AL804" s="23" t="s">
        <v>31</v>
      </c>
      <c r="AP804" s="73"/>
      <c r="AQ804" s="75"/>
      <c r="AR804" s="76"/>
      <c r="AS804" s="77"/>
      <c r="AV804" s="75"/>
      <c r="AW804" s="83"/>
      <c r="AX804" s="84"/>
      <c r="AY804" s="80">
        <v>4</v>
      </c>
      <c r="AZ804" s="66" t="s">
        <v>1071</v>
      </c>
      <c r="BB804" s="81">
        <v>1</v>
      </c>
      <c r="BE804" s="23" t="s">
        <v>3146</v>
      </c>
      <c r="BG804" s="23" t="s">
        <v>3166</v>
      </c>
    </row>
    <row r="805" spans="1:59" ht="15" customHeight="1">
      <c r="A805" s="23" t="s">
        <v>3197</v>
      </c>
      <c r="B805" s="23" t="s">
        <v>3229</v>
      </c>
      <c r="C805" s="23" t="s">
        <v>3334</v>
      </c>
      <c r="D805" s="24">
        <v>178</v>
      </c>
      <c r="E805" s="23">
        <v>1</v>
      </c>
      <c r="F805" s="23" t="s">
        <v>3115</v>
      </c>
      <c r="G805" s="23" t="s">
        <v>3167</v>
      </c>
      <c r="J805" s="23" t="s">
        <v>31</v>
      </c>
      <c r="AD805" s="23" t="s">
        <v>3146</v>
      </c>
      <c r="AF805" s="23" t="s">
        <v>3168</v>
      </c>
      <c r="AI805" s="23" t="s">
        <v>3167</v>
      </c>
      <c r="AJ805" s="23" t="s">
        <v>3169</v>
      </c>
      <c r="AL805" s="23" t="s">
        <v>31</v>
      </c>
      <c r="AP805" s="73"/>
      <c r="AQ805" s="75"/>
      <c r="AR805" s="76"/>
      <c r="AS805" s="77"/>
      <c r="AV805" s="75"/>
      <c r="AW805" s="83"/>
      <c r="AX805" s="84"/>
      <c r="AY805" s="80">
        <v>2</v>
      </c>
      <c r="AZ805" s="66">
        <v>1</v>
      </c>
      <c r="BB805" s="81"/>
      <c r="BE805" s="23" t="s">
        <v>3146</v>
      </c>
      <c r="BG805" s="23" t="s">
        <v>3170</v>
      </c>
    </row>
    <row r="806" spans="1:59" ht="15" customHeight="1">
      <c r="A806" s="23" t="s">
        <v>3197</v>
      </c>
      <c r="B806" s="23" t="s">
        <v>3230</v>
      </c>
      <c r="C806" s="23" t="s">
        <v>3334</v>
      </c>
      <c r="D806" s="24">
        <v>179</v>
      </c>
      <c r="E806" s="23">
        <v>1</v>
      </c>
      <c r="F806" s="23" t="s">
        <v>3115</v>
      </c>
      <c r="G806" s="23" t="s">
        <v>3167</v>
      </c>
      <c r="J806" s="23" t="s">
        <v>31</v>
      </c>
      <c r="AD806" s="23" t="s">
        <v>3146</v>
      </c>
      <c r="AF806" s="23" t="s">
        <v>3168</v>
      </c>
      <c r="AI806" s="23" t="s">
        <v>3167</v>
      </c>
      <c r="AJ806" s="23" t="s">
        <v>3171</v>
      </c>
      <c r="AL806" s="23" t="s">
        <v>31</v>
      </c>
      <c r="AP806" s="73"/>
      <c r="AQ806" s="75"/>
      <c r="AR806" s="76"/>
      <c r="AS806" s="77"/>
      <c r="AV806" s="75"/>
      <c r="AW806" s="83"/>
      <c r="AX806" s="84"/>
      <c r="AY806" s="80">
        <v>5</v>
      </c>
      <c r="AZ806" s="66">
        <v>1</v>
      </c>
      <c r="BB806" s="81"/>
      <c r="BE806" s="23" t="s">
        <v>3146</v>
      </c>
      <c r="BG806" s="23" t="s">
        <v>3172</v>
      </c>
    </row>
    <row r="807" spans="1:59" ht="15" customHeight="1">
      <c r="A807" s="23" t="s">
        <v>3197</v>
      </c>
      <c r="B807" s="23" t="s">
        <v>3231</v>
      </c>
      <c r="C807" s="23" t="s">
        <v>3334</v>
      </c>
      <c r="D807" s="24">
        <v>180</v>
      </c>
      <c r="E807" s="23">
        <v>1</v>
      </c>
      <c r="F807" s="23" t="s">
        <v>3115</v>
      </c>
      <c r="G807" s="23" t="s">
        <v>3167</v>
      </c>
      <c r="J807" s="23" t="s">
        <v>31</v>
      </c>
      <c r="AD807" s="23" t="s">
        <v>3146</v>
      </c>
      <c r="AF807" s="23" t="s">
        <v>3168</v>
      </c>
      <c r="AI807" s="23" t="s">
        <v>3167</v>
      </c>
      <c r="AJ807" s="23" t="s">
        <v>3173</v>
      </c>
      <c r="AL807" s="23" t="s">
        <v>31</v>
      </c>
      <c r="AP807" s="73"/>
      <c r="AQ807" s="75"/>
      <c r="AR807" s="76"/>
      <c r="AS807" s="77"/>
      <c r="AV807" s="75"/>
      <c r="AW807" s="83"/>
      <c r="AX807" s="84"/>
      <c r="AY807" s="80">
        <v>3</v>
      </c>
      <c r="AZ807" s="66">
        <v>1</v>
      </c>
      <c r="BB807" s="81"/>
      <c r="BE807" s="23" t="s">
        <v>3146</v>
      </c>
      <c r="BG807" s="23" t="s">
        <v>3174</v>
      </c>
    </row>
    <row r="808" spans="1:59" ht="15" customHeight="1">
      <c r="A808" s="23" t="s">
        <v>3197</v>
      </c>
      <c r="B808" s="23" t="s">
        <v>3232</v>
      </c>
      <c r="C808" s="23" t="s">
        <v>3334</v>
      </c>
      <c r="D808" s="24">
        <v>181</v>
      </c>
      <c r="E808" s="23">
        <v>1</v>
      </c>
      <c r="F808" s="23" t="s">
        <v>3115</v>
      </c>
      <c r="G808" s="23" t="s">
        <v>3167</v>
      </c>
      <c r="J808" s="23" t="s">
        <v>31</v>
      </c>
      <c r="AD808" s="23" t="s">
        <v>3146</v>
      </c>
      <c r="AF808" s="23" t="s">
        <v>3168</v>
      </c>
      <c r="AI808" s="23" t="s">
        <v>3167</v>
      </c>
      <c r="AJ808" s="23" t="s">
        <v>3175</v>
      </c>
      <c r="AL808" s="23" t="s">
        <v>31</v>
      </c>
      <c r="AP808" s="73"/>
      <c r="AQ808" s="75"/>
      <c r="AR808" s="76"/>
      <c r="AS808" s="77"/>
      <c r="AV808" s="75"/>
      <c r="AW808" s="83"/>
      <c r="AX808" s="84"/>
      <c r="AY808" s="80">
        <v>2</v>
      </c>
      <c r="AZ808" s="66">
        <v>1</v>
      </c>
      <c r="BB808" s="81"/>
      <c r="BE808" s="23" t="s">
        <v>3146</v>
      </c>
      <c r="BG808" s="23" t="s">
        <v>3176</v>
      </c>
    </row>
    <row r="809" spans="1:59" ht="15" customHeight="1">
      <c r="A809" s="23" t="s">
        <v>3197</v>
      </c>
      <c r="B809" s="23" t="s">
        <v>3233</v>
      </c>
      <c r="C809" s="23" t="s">
        <v>3334</v>
      </c>
      <c r="D809" s="24">
        <v>182</v>
      </c>
      <c r="E809" s="23">
        <v>1</v>
      </c>
      <c r="F809" s="23" t="s">
        <v>3115</v>
      </c>
      <c r="G809" s="23" t="s">
        <v>3177</v>
      </c>
      <c r="H809" s="23" t="s">
        <v>3178</v>
      </c>
      <c r="I809" s="23" t="s">
        <v>223</v>
      </c>
      <c r="J809" s="23" t="s">
        <v>29</v>
      </c>
      <c r="Q809" s="65">
        <v>3</v>
      </c>
      <c r="R809" s="66">
        <v>3</v>
      </c>
      <c r="T809" s="68">
        <v>4</v>
      </c>
      <c r="V809" s="69">
        <v>1</v>
      </c>
      <c r="W809" s="70">
        <v>1</v>
      </c>
      <c r="AA809" s="72">
        <v>1</v>
      </c>
      <c r="AD809" s="23" t="s">
        <v>3179</v>
      </c>
      <c r="AF809" s="23" t="s">
        <v>3180</v>
      </c>
      <c r="AI809" s="23" t="s">
        <v>3177</v>
      </c>
      <c r="AJ809" s="23" t="s">
        <v>3181</v>
      </c>
      <c r="AK809" s="23" t="s">
        <v>3182</v>
      </c>
      <c r="AL809" s="23" t="s">
        <v>257</v>
      </c>
      <c r="AP809" s="73" t="s">
        <v>38</v>
      </c>
      <c r="AQ809" s="75"/>
      <c r="AR809" s="76"/>
      <c r="AS809" s="77"/>
      <c r="AU809" s="68">
        <v>1</v>
      </c>
      <c r="AV809" s="75">
        <v>3</v>
      </c>
      <c r="AW809" s="83"/>
      <c r="AX809" s="84"/>
      <c r="AY809" s="80"/>
      <c r="BB809" s="81"/>
      <c r="BE809" s="23" t="s">
        <v>3183</v>
      </c>
      <c r="BG809" s="23" t="s">
        <v>3184</v>
      </c>
    </row>
    <row r="810" spans="1:59" ht="15" customHeight="1">
      <c r="A810" s="23" t="s">
        <v>3197</v>
      </c>
      <c r="B810" s="23" t="s">
        <v>3234</v>
      </c>
      <c r="C810" s="23" t="s">
        <v>3334</v>
      </c>
      <c r="D810" s="24">
        <v>183</v>
      </c>
      <c r="E810" s="23">
        <v>2</v>
      </c>
      <c r="F810" s="23" t="s">
        <v>3115</v>
      </c>
      <c r="G810" s="23" t="s">
        <v>3185</v>
      </c>
      <c r="J810" s="23" t="s">
        <v>29</v>
      </c>
      <c r="Q810" s="65">
        <v>4</v>
      </c>
      <c r="R810" s="66">
        <v>4</v>
      </c>
      <c r="T810" s="68">
        <v>5</v>
      </c>
      <c r="V810" s="69">
        <v>3</v>
      </c>
      <c r="W810" s="70">
        <v>3</v>
      </c>
      <c r="AD810" s="23" t="s">
        <v>1691</v>
      </c>
      <c r="AF810" s="23" t="s">
        <v>3186</v>
      </c>
      <c r="AP810" s="73"/>
      <c r="AQ810" s="75"/>
      <c r="AR810" s="76"/>
      <c r="AS810" s="77"/>
      <c r="AV810" s="75"/>
      <c r="AW810" s="83"/>
      <c r="AX810" s="84"/>
      <c r="AY810" s="80"/>
      <c r="BB810" s="81"/>
    </row>
    <row r="811" spans="1:59" ht="15" customHeight="1">
      <c r="A811" s="23" t="s">
        <v>3197</v>
      </c>
      <c r="B811" s="23" t="s">
        <v>3235</v>
      </c>
      <c r="C811" s="23" t="s">
        <v>3334</v>
      </c>
      <c r="D811" s="24">
        <v>184</v>
      </c>
      <c r="E811" s="23">
        <v>3</v>
      </c>
      <c r="F811" s="23" t="s">
        <v>3115</v>
      </c>
      <c r="G811" s="23" t="s">
        <v>3187</v>
      </c>
      <c r="J811" s="23" t="s">
        <v>29</v>
      </c>
      <c r="Q811" s="65">
        <v>2</v>
      </c>
      <c r="R811" s="66">
        <v>3</v>
      </c>
      <c r="T811" s="68">
        <v>2</v>
      </c>
      <c r="V811" s="69">
        <v>1</v>
      </c>
      <c r="AD811" s="23" t="s">
        <v>2802</v>
      </c>
      <c r="AF811" s="23" t="s">
        <v>3188</v>
      </c>
      <c r="AP811" s="73"/>
      <c r="AQ811" s="75"/>
      <c r="AR811" s="76"/>
      <c r="AS811" s="77"/>
      <c r="AV811" s="75"/>
      <c r="AW811" s="83"/>
      <c r="AX811" s="84"/>
      <c r="AY811" s="80"/>
      <c r="BB811" s="81"/>
    </row>
    <row r="812" spans="1:59" ht="15" customHeight="1">
      <c r="A812" s="23" t="s">
        <v>3197</v>
      </c>
      <c r="B812" s="23" t="s">
        <v>3236</v>
      </c>
      <c r="C812" s="23" t="s">
        <v>3334</v>
      </c>
      <c r="D812" s="24">
        <v>185</v>
      </c>
      <c r="E812" s="23">
        <v>2</v>
      </c>
      <c r="F812" s="23" t="s">
        <v>3115</v>
      </c>
      <c r="G812" s="23" t="s">
        <v>3189</v>
      </c>
      <c r="J812" s="23" t="s">
        <v>28</v>
      </c>
      <c r="AD812" s="23" t="s">
        <v>2325</v>
      </c>
      <c r="AF812" s="23" t="s">
        <v>3190</v>
      </c>
      <c r="AP812" s="73"/>
      <c r="AQ812" s="75"/>
      <c r="AR812" s="76"/>
      <c r="AS812" s="77"/>
      <c r="AV812" s="75"/>
      <c r="AW812" s="83"/>
      <c r="AX812" s="84"/>
      <c r="AY812" s="80"/>
      <c r="BB812" s="81"/>
    </row>
    <row r="813" spans="1:59" ht="15" customHeight="1">
      <c r="A813" s="23" t="s">
        <v>3197</v>
      </c>
      <c r="B813" s="23" t="s">
        <v>3237</v>
      </c>
      <c r="C813" s="23" t="s">
        <v>3334</v>
      </c>
      <c r="D813" s="24">
        <v>186</v>
      </c>
      <c r="E813" s="23">
        <v>1</v>
      </c>
      <c r="F813" s="23" t="s">
        <v>3115</v>
      </c>
      <c r="G813" s="23" t="s">
        <v>3191</v>
      </c>
      <c r="J813" s="23" t="s">
        <v>28</v>
      </c>
      <c r="AD813" s="23" t="s">
        <v>481</v>
      </c>
      <c r="AF813" s="23" t="s">
        <v>3192</v>
      </c>
      <c r="AP813" s="73"/>
      <c r="AQ813" s="75"/>
      <c r="AR813" s="76"/>
      <c r="AS813" s="77"/>
      <c r="AV813" s="75"/>
      <c r="AW813" s="83"/>
      <c r="AX813" s="84"/>
      <c r="AY813" s="80"/>
      <c r="BB813" s="81"/>
    </row>
    <row r="814" spans="1:59" ht="15" customHeight="1">
      <c r="A814" s="23" t="s">
        <v>3197</v>
      </c>
      <c r="B814" s="23" t="s">
        <v>3238</v>
      </c>
      <c r="C814" s="23" t="s">
        <v>3334</v>
      </c>
      <c r="D814" s="24">
        <v>187</v>
      </c>
      <c r="E814" s="23">
        <v>1</v>
      </c>
      <c r="F814" s="23" t="s">
        <v>3115</v>
      </c>
      <c r="G814" s="23" t="s">
        <v>3193</v>
      </c>
      <c r="J814" s="23" t="s">
        <v>28</v>
      </c>
      <c r="AD814" s="23" t="s">
        <v>481</v>
      </c>
      <c r="AF814" s="23" t="s">
        <v>3194</v>
      </c>
      <c r="AP814" s="73"/>
      <c r="AQ814" s="75"/>
      <c r="AR814" s="76"/>
      <c r="AS814" s="77"/>
      <c r="AV814" s="75"/>
      <c r="AW814" s="83"/>
      <c r="AX814" s="84"/>
      <c r="AY814" s="80"/>
      <c r="BB814" s="81"/>
    </row>
    <row r="815" spans="1:59" ht="15" customHeight="1">
      <c r="A815" s="23" t="s">
        <v>3197</v>
      </c>
      <c r="B815" s="23" t="s">
        <v>3239</v>
      </c>
      <c r="C815" s="23" t="s">
        <v>3334</v>
      </c>
      <c r="D815" s="24">
        <v>188</v>
      </c>
      <c r="E815" s="23">
        <v>3</v>
      </c>
      <c r="F815" s="23" t="s">
        <v>3115</v>
      </c>
      <c r="G815" s="23" t="s">
        <v>3195</v>
      </c>
      <c r="J815" s="23" t="s">
        <v>28</v>
      </c>
      <c r="AD815" s="23" t="s">
        <v>481</v>
      </c>
      <c r="AF815" s="23" t="s">
        <v>3196</v>
      </c>
      <c r="AP815" s="73"/>
      <c r="AQ815" s="75"/>
      <c r="AR815" s="76"/>
      <c r="AS815" s="77"/>
      <c r="AV815" s="75"/>
      <c r="AW815" s="83"/>
      <c r="AX815" s="84"/>
      <c r="AY815" s="80"/>
      <c r="BB815" s="81"/>
    </row>
    <row r="816" spans="1:59" ht="15" customHeight="1">
      <c r="A816" s="26" t="s">
        <v>3336</v>
      </c>
      <c r="B816" s="26" t="s">
        <v>3337</v>
      </c>
      <c r="C816" s="23" t="s">
        <v>3335</v>
      </c>
      <c r="D816" s="24">
        <v>189</v>
      </c>
      <c r="E816" s="23">
        <v>2</v>
      </c>
      <c r="G816" s="23" t="s">
        <v>3241</v>
      </c>
      <c r="J816" s="23" t="s">
        <v>27</v>
      </c>
      <c r="K816" s="23" t="s">
        <v>198</v>
      </c>
      <c r="L816" s="23">
        <v>0</v>
      </c>
      <c r="N816" s="62">
        <v>0</v>
      </c>
      <c r="Q816" s="65">
        <v>2</v>
      </c>
      <c r="AB816" s="23" t="s">
        <v>1088</v>
      </c>
      <c r="AD816" s="23" t="s">
        <v>1805</v>
      </c>
      <c r="AF816" s="23" t="s">
        <v>3242</v>
      </c>
      <c r="AP816" s="73"/>
      <c r="AQ816" s="75"/>
      <c r="AR816" s="76"/>
      <c r="AS816" s="77"/>
      <c r="AV816" s="75"/>
      <c r="AW816" s="83"/>
      <c r="AX816" s="84"/>
      <c r="AY816" s="80"/>
      <c r="BB816" s="81"/>
    </row>
    <row r="817" spans="1:59" ht="15" customHeight="1">
      <c r="A817" s="28" t="s">
        <v>3336</v>
      </c>
      <c r="B817" s="23" t="s">
        <v>3338</v>
      </c>
      <c r="C817" s="23" t="s">
        <v>3335</v>
      </c>
      <c r="D817" s="24">
        <v>190</v>
      </c>
      <c r="E817" s="23">
        <v>2</v>
      </c>
      <c r="G817" s="23" t="s">
        <v>286</v>
      </c>
      <c r="J817" s="23" t="s">
        <v>257</v>
      </c>
      <c r="K817" s="23" t="s">
        <v>198</v>
      </c>
      <c r="L817" s="23">
        <v>2</v>
      </c>
      <c r="N817" s="62">
        <v>4</v>
      </c>
      <c r="Q817" s="65">
        <v>1</v>
      </c>
      <c r="R817" s="66">
        <v>1</v>
      </c>
      <c r="AB817" s="23" t="s">
        <v>2181</v>
      </c>
      <c r="AC817" s="23" t="s">
        <v>258</v>
      </c>
      <c r="AD817" s="23" t="s">
        <v>259</v>
      </c>
      <c r="AF817" s="23" t="s">
        <v>3243</v>
      </c>
      <c r="AP817" s="73"/>
      <c r="AQ817" s="75"/>
      <c r="AR817" s="76"/>
      <c r="AS817" s="77"/>
      <c r="AV817" s="75"/>
      <c r="AW817" s="83"/>
      <c r="AX817" s="84"/>
      <c r="AY817" s="80"/>
      <c r="BB817" s="81"/>
    </row>
    <row r="818" spans="1:59" ht="15" customHeight="1">
      <c r="A818" s="28" t="s">
        <v>3336</v>
      </c>
      <c r="B818" s="23" t="s">
        <v>3339</v>
      </c>
      <c r="C818" s="23" t="s">
        <v>3335</v>
      </c>
      <c r="D818" s="24">
        <v>191</v>
      </c>
      <c r="E818" s="23">
        <v>2</v>
      </c>
      <c r="G818" s="23" t="s">
        <v>3244</v>
      </c>
      <c r="J818" s="23" t="s">
        <v>27</v>
      </c>
      <c r="K818" s="23" t="s">
        <v>199</v>
      </c>
      <c r="L818" s="23">
        <v>0</v>
      </c>
      <c r="N818" s="62">
        <v>2</v>
      </c>
      <c r="O818" s="63">
        <v>2</v>
      </c>
      <c r="AB818" s="23" t="s">
        <v>1094</v>
      </c>
      <c r="AD818" s="23" t="s">
        <v>340</v>
      </c>
      <c r="AF818" s="23" t="s">
        <v>3245</v>
      </c>
      <c r="AP818" s="73"/>
      <c r="AQ818" s="75"/>
      <c r="AR818" s="76"/>
      <c r="AS818" s="77"/>
      <c r="AV818" s="75"/>
      <c r="AW818" s="83"/>
      <c r="AX818" s="84"/>
      <c r="AY818" s="80"/>
      <c r="BB818" s="81"/>
    </row>
    <row r="819" spans="1:59" ht="15" customHeight="1">
      <c r="A819" s="28" t="s">
        <v>3336</v>
      </c>
      <c r="B819" s="23" t="s">
        <v>3340</v>
      </c>
      <c r="C819" s="23" t="s">
        <v>3335</v>
      </c>
      <c r="D819" s="24">
        <v>192</v>
      </c>
      <c r="E819" s="23">
        <v>2</v>
      </c>
      <c r="G819" s="23" t="s">
        <v>2590</v>
      </c>
      <c r="H819" s="23" t="s">
        <v>3246</v>
      </c>
      <c r="J819" s="23" t="s">
        <v>257</v>
      </c>
      <c r="K819" s="23" t="s">
        <v>199</v>
      </c>
      <c r="L819" s="23">
        <v>3</v>
      </c>
      <c r="N819" s="62">
        <v>2</v>
      </c>
      <c r="O819" s="63">
        <v>1</v>
      </c>
      <c r="P819" s="64">
        <v>1</v>
      </c>
      <c r="AB819" s="23" t="s">
        <v>2322</v>
      </c>
      <c r="AC819" s="23" t="s">
        <v>378</v>
      </c>
      <c r="AD819" s="23" t="s">
        <v>279</v>
      </c>
      <c r="AF819" s="23" t="s">
        <v>3247</v>
      </c>
      <c r="AP819" s="73"/>
      <c r="AQ819" s="75"/>
      <c r="AR819" s="76"/>
      <c r="AS819" s="77"/>
      <c r="AV819" s="75"/>
      <c r="AW819" s="83"/>
      <c r="AX819" s="84"/>
      <c r="AY819" s="80"/>
      <c r="BB819" s="81"/>
    </row>
    <row r="820" spans="1:59" ht="15" customHeight="1">
      <c r="A820" s="28" t="s">
        <v>3336</v>
      </c>
      <c r="B820" s="23" t="s">
        <v>3341</v>
      </c>
      <c r="C820" s="23" t="s">
        <v>3335</v>
      </c>
      <c r="D820" s="24">
        <v>193</v>
      </c>
      <c r="E820" s="23">
        <v>2</v>
      </c>
      <c r="G820" s="23" t="s">
        <v>2590</v>
      </c>
      <c r="H820" s="23" t="s">
        <v>3248</v>
      </c>
      <c r="J820" s="23" t="s">
        <v>257</v>
      </c>
      <c r="K820" s="23" t="s">
        <v>199</v>
      </c>
      <c r="L820" s="23">
        <v>3</v>
      </c>
      <c r="N820" s="62">
        <v>2</v>
      </c>
      <c r="P820" s="64">
        <v>1</v>
      </c>
      <c r="R820" s="66">
        <v>1</v>
      </c>
      <c r="AB820" s="23" t="s">
        <v>2315</v>
      </c>
      <c r="AC820" s="23" t="s">
        <v>378</v>
      </c>
      <c r="AD820" s="23" t="s">
        <v>279</v>
      </c>
      <c r="AF820" s="23" t="s">
        <v>3249</v>
      </c>
      <c r="AP820" s="73"/>
      <c r="AQ820" s="75"/>
      <c r="AR820" s="76"/>
      <c r="AS820" s="77"/>
      <c r="AV820" s="75"/>
      <c r="AW820" s="83"/>
      <c r="AX820" s="84"/>
      <c r="AY820" s="80"/>
      <c r="BB820" s="81"/>
    </row>
    <row r="821" spans="1:59" ht="15" customHeight="1">
      <c r="A821" s="28" t="s">
        <v>3336</v>
      </c>
      <c r="B821" s="23" t="s">
        <v>3342</v>
      </c>
      <c r="C821" s="23" t="s">
        <v>3335</v>
      </c>
      <c r="D821" s="24">
        <v>194</v>
      </c>
      <c r="E821" s="23">
        <v>2</v>
      </c>
      <c r="G821" s="23" t="s">
        <v>3250</v>
      </c>
      <c r="J821" s="23" t="s">
        <v>27</v>
      </c>
      <c r="K821" s="23" t="s">
        <v>201</v>
      </c>
      <c r="L821" s="23">
        <v>0</v>
      </c>
      <c r="N821" s="62">
        <v>2</v>
      </c>
      <c r="Q821" s="65">
        <v>1</v>
      </c>
      <c r="R821" s="66">
        <v>1</v>
      </c>
      <c r="AB821" s="23" t="s">
        <v>2181</v>
      </c>
      <c r="AD821" s="23" t="s">
        <v>1412</v>
      </c>
      <c r="AF821" s="23" t="s">
        <v>3251</v>
      </c>
      <c r="AP821" s="73"/>
      <c r="AQ821" s="75"/>
      <c r="AR821" s="76"/>
      <c r="AS821" s="77"/>
      <c r="AV821" s="75"/>
      <c r="AW821" s="83"/>
      <c r="AX821" s="84"/>
      <c r="AY821" s="80"/>
      <c r="BB821" s="81"/>
    </row>
    <row r="822" spans="1:59" ht="15" customHeight="1">
      <c r="A822" s="28" t="s">
        <v>3336</v>
      </c>
      <c r="B822" s="23" t="s">
        <v>3343</v>
      </c>
      <c r="C822" s="23" t="s">
        <v>3335</v>
      </c>
      <c r="D822" s="24">
        <v>195</v>
      </c>
      <c r="E822" s="23">
        <v>2</v>
      </c>
      <c r="G822" s="23" t="s">
        <v>357</v>
      </c>
      <c r="J822" s="23" t="s">
        <v>257</v>
      </c>
      <c r="K822" s="23" t="s">
        <v>201</v>
      </c>
      <c r="L822" s="23">
        <v>2</v>
      </c>
      <c r="N822" s="62">
        <v>2</v>
      </c>
      <c r="R822" s="66">
        <v>2</v>
      </c>
      <c r="S822" s="113">
        <v>1</v>
      </c>
      <c r="AB822" s="23" t="s">
        <v>1095</v>
      </c>
      <c r="AD822" s="23" t="s">
        <v>355</v>
      </c>
      <c r="AF822" s="23" t="s">
        <v>3252</v>
      </c>
      <c r="AP822" s="73"/>
      <c r="AQ822" s="75"/>
      <c r="AR822" s="76"/>
      <c r="AS822" s="77"/>
      <c r="AV822" s="75"/>
      <c r="AW822" s="83"/>
      <c r="AX822" s="84"/>
      <c r="AY822" s="80"/>
      <c r="BB822" s="81"/>
    </row>
    <row r="823" spans="1:59" ht="15" customHeight="1">
      <c r="A823" s="28" t="s">
        <v>3336</v>
      </c>
      <c r="B823" s="23" t="s">
        <v>3344</v>
      </c>
      <c r="C823" s="23" t="s">
        <v>3335</v>
      </c>
      <c r="D823" s="24">
        <v>196</v>
      </c>
      <c r="E823" s="23">
        <v>2</v>
      </c>
      <c r="G823" s="23" t="s">
        <v>3253</v>
      </c>
      <c r="J823" s="23" t="s">
        <v>27</v>
      </c>
      <c r="K823" s="23" t="s">
        <v>200</v>
      </c>
      <c r="L823" s="23">
        <v>0</v>
      </c>
      <c r="N823" s="62">
        <v>1</v>
      </c>
      <c r="S823" s="113">
        <v>1</v>
      </c>
      <c r="AB823" s="23" t="s">
        <v>208</v>
      </c>
      <c r="AD823" s="23" t="s">
        <v>340</v>
      </c>
      <c r="AF823" s="23" t="s">
        <v>3254</v>
      </c>
      <c r="AP823" s="73"/>
      <c r="AQ823" s="75"/>
      <c r="AR823" s="76"/>
      <c r="AS823" s="77"/>
      <c r="AV823" s="75"/>
      <c r="AW823" s="83"/>
      <c r="AX823" s="84"/>
      <c r="AY823" s="80"/>
      <c r="BB823" s="81"/>
    </row>
    <row r="824" spans="1:59" ht="15" customHeight="1">
      <c r="A824" s="28" t="s">
        <v>3336</v>
      </c>
      <c r="B824" s="23" t="s">
        <v>3345</v>
      </c>
      <c r="C824" s="23" t="s">
        <v>3335</v>
      </c>
      <c r="D824" s="24">
        <v>197</v>
      </c>
      <c r="E824" s="23">
        <v>2</v>
      </c>
      <c r="G824" s="23" t="s">
        <v>3255</v>
      </c>
      <c r="J824" s="23" t="s">
        <v>27</v>
      </c>
      <c r="K824" s="23" t="s">
        <v>200</v>
      </c>
      <c r="L824" s="23">
        <v>2</v>
      </c>
      <c r="N824" s="62">
        <v>0</v>
      </c>
      <c r="O824" s="63">
        <v>2</v>
      </c>
      <c r="AB824" s="23" t="s">
        <v>1094</v>
      </c>
      <c r="AD824" s="23" t="s">
        <v>279</v>
      </c>
      <c r="AF824" s="23" t="s">
        <v>3256</v>
      </c>
      <c r="AP824" s="73"/>
      <c r="AQ824" s="75"/>
      <c r="AR824" s="76"/>
      <c r="AS824" s="77"/>
      <c r="AV824" s="75"/>
      <c r="AW824" s="83"/>
      <c r="AX824" s="84"/>
      <c r="AY824" s="80"/>
      <c r="BB824" s="81"/>
    </row>
    <row r="825" spans="1:59" ht="15" customHeight="1">
      <c r="A825" s="28" t="s">
        <v>3336</v>
      </c>
      <c r="B825" s="23" t="s">
        <v>3346</v>
      </c>
      <c r="C825" s="23" t="s">
        <v>3335</v>
      </c>
      <c r="D825" s="24">
        <v>198</v>
      </c>
      <c r="E825" s="23">
        <v>2</v>
      </c>
      <c r="G825" s="23" t="s">
        <v>3257</v>
      </c>
      <c r="H825" s="23" t="s">
        <v>3258</v>
      </c>
      <c r="I825" s="23" t="s">
        <v>223</v>
      </c>
      <c r="J825" s="23" t="s">
        <v>257</v>
      </c>
      <c r="K825" s="23" t="s">
        <v>202</v>
      </c>
      <c r="L825" s="23">
        <v>0</v>
      </c>
      <c r="N825" s="62">
        <v>2</v>
      </c>
      <c r="P825" s="64">
        <v>1</v>
      </c>
      <c r="T825" s="68">
        <v>2</v>
      </c>
      <c r="U825" s="63">
        <v>2</v>
      </c>
      <c r="AB825" s="23" t="s">
        <v>205</v>
      </c>
      <c r="AC825" s="23" t="s">
        <v>25</v>
      </c>
      <c r="AD825" s="23" t="s">
        <v>2966</v>
      </c>
      <c r="AF825" s="23" t="s">
        <v>3259</v>
      </c>
      <c r="AP825" s="73"/>
      <c r="AQ825" s="75"/>
      <c r="AR825" s="76"/>
      <c r="AS825" s="77"/>
      <c r="AV825" s="75"/>
      <c r="AW825" s="83"/>
      <c r="AX825" s="84"/>
      <c r="AY825" s="80"/>
      <c r="BB825" s="81"/>
    </row>
    <row r="826" spans="1:59" ht="15" customHeight="1">
      <c r="A826" s="28" t="s">
        <v>3336</v>
      </c>
      <c r="B826" s="23" t="s">
        <v>3347</v>
      </c>
      <c r="C826" s="23" t="s">
        <v>3335</v>
      </c>
      <c r="D826" s="24">
        <v>199</v>
      </c>
      <c r="E826" s="23">
        <v>2</v>
      </c>
      <c r="G826" s="23" t="s">
        <v>3260</v>
      </c>
      <c r="J826" s="23" t="s">
        <v>27</v>
      </c>
      <c r="K826" s="23" t="s">
        <v>202</v>
      </c>
      <c r="L826" s="23">
        <v>2</v>
      </c>
      <c r="N826" s="62">
        <v>2</v>
      </c>
      <c r="O826" s="63">
        <v>1</v>
      </c>
      <c r="R826" s="66">
        <v>1</v>
      </c>
      <c r="AB826" s="23" t="s">
        <v>2188</v>
      </c>
      <c r="AD826" s="23" t="s">
        <v>3261</v>
      </c>
      <c r="AF826" s="23" t="s">
        <v>3262</v>
      </c>
      <c r="AP826" s="73"/>
      <c r="AQ826" s="75"/>
      <c r="AR826" s="76"/>
      <c r="AS826" s="77"/>
      <c r="AV826" s="75"/>
      <c r="AW826" s="83"/>
      <c r="AX826" s="84"/>
      <c r="AY826" s="80"/>
      <c r="BB826" s="81"/>
    </row>
    <row r="827" spans="1:59" ht="15" customHeight="1">
      <c r="A827" s="28" t="s">
        <v>3336</v>
      </c>
      <c r="B827" s="23" t="s">
        <v>3348</v>
      </c>
      <c r="C827" s="23" t="s">
        <v>3335</v>
      </c>
      <c r="D827" s="24">
        <v>200</v>
      </c>
      <c r="E827" s="23">
        <v>1</v>
      </c>
      <c r="F827" s="23" t="s">
        <v>3263</v>
      </c>
      <c r="G827" s="23" t="s">
        <v>3263</v>
      </c>
      <c r="J827" s="23" t="s">
        <v>618</v>
      </c>
      <c r="K827" s="23" t="s">
        <v>2426</v>
      </c>
      <c r="AF827" s="23" t="s">
        <v>3264</v>
      </c>
      <c r="AI827" s="23" t="s">
        <v>3263</v>
      </c>
      <c r="AL827" s="23" t="s">
        <v>618</v>
      </c>
      <c r="AM827" s="23" t="s">
        <v>2426</v>
      </c>
      <c r="AP827" s="73"/>
      <c r="AQ827" s="75"/>
      <c r="AR827" s="76"/>
      <c r="AS827" s="77"/>
      <c r="AV827" s="75"/>
      <c r="AW827" s="83"/>
      <c r="AX827" s="84"/>
      <c r="AY827" s="80"/>
      <c r="BB827" s="81"/>
      <c r="BG827" s="23" t="s">
        <v>3265</v>
      </c>
    </row>
    <row r="828" spans="1:59" ht="15" customHeight="1">
      <c r="A828" s="28" t="s">
        <v>3336</v>
      </c>
      <c r="B828" s="23" t="s">
        <v>3349</v>
      </c>
      <c r="C828" s="23" t="s">
        <v>3335</v>
      </c>
      <c r="D828" s="24">
        <v>201</v>
      </c>
      <c r="E828" s="23">
        <v>1</v>
      </c>
      <c r="F828" s="23" t="s">
        <v>3263</v>
      </c>
      <c r="G828" s="23" t="s">
        <v>3266</v>
      </c>
      <c r="J828" s="23" t="s">
        <v>619</v>
      </c>
      <c r="K828" s="23" t="s">
        <v>2426</v>
      </c>
      <c r="L828" s="23">
        <v>1</v>
      </c>
      <c r="Z828" s="68">
        <v>6</v>
      </c>
      <c r="AF828" s="23" t="s">
        <v>3267</v>
      </c>
      <c r="AI828" s="23" t="s">
        <v>3268</v>
      </c>
      <c r="AL828" s="23" t="s">
        <v>619</v>
      </c>
      <c r="AM828" s="23" t="s">
        <v>2426</v>
      </c>
      <c r="AN828" s="23">
        <v>1</v>
      </c>
      <c r="AP828" s="73"/>
      <c r="AQ828" s="75"/>
      <c r="AR828" s="76"/>
      <c r="AS828" s="77"/>
      <c r="AV828" s="75"/>
      <c r="AW828" s="83"/>
      <c r="AX828" s="84"/>
      <c r="AY828" s="80"/>
      <c r="BB828" s="81"/>
      <c r="BG828" s="23" t="s">
        <v>3269</v>
      </c>
    </row>
    <row r="829" spans="1:59" ht="15" customHeight="1">
      <c r="A829" s="28" t="s">
        <v>3336</v>
      </c>
      <c r="B829" s="23" t="s">
        <v>3350</v>
      </c>
      <c r="C829" s="23" t="s">
        <v>3335</v>
      </c>
      <c r="D829" s="24">
        <v>202</v>
      </c>
      <c r="E829" s="23">
        <v>1</v>
      </c>
      <c r="F829" s="23" t="s">
        <v>3263</v>
      </c>
      <c r="G829" s="23" t="s">
        <v>3270</v>
      </c>
      <c r="J829" s="23" t="s">
        <v>619</v>
      </c>
      <c r="K829" s="23" t="s">
        <v>2426</v>
      </c>
      <c r="L829" s="23">
        <v>2</v>
      </c>
      <c r="Z829" s="68">
        <v>5</v>
      </c>
      <c r="AF829" s="23" t="s">
        <v>3267</v>
      </c>
      <c r="AI829" s="23" t="s">
        <v>3271</v>
      </c>
      <c r="AL829" s="23" t="s">
        <v>619</v>
      </c>
      <c r="AM829" s="23" t="s">
        <v>2426</v>
      </c>
      <c r="AN829" s="23">
        <v>2</v>
      </c>
      <c r="AP829" s="73"/>
      <c r="AQ829" s="75"/>
      <c r="AR829" s="76"/>
      <c r="AS829" s="77"/>
      <c r="AV829" s="75"/>
      <c r="AW829" s="83"/>
      <c r="AX829" s="84"/>
      <c r="AY829" s="80"/>
      <c r="BB829" s="81"/>
      <c r="BG829" s="23" t="s">
        <v>3272</v>
      </c>
    </row>
    <row r="830" spans="1:59" ht="15" customHeight="1">
      <c r="A830" s="28" t="s">
        <v>3336</v>
      </c>
      <c r="B830" s="23" t="s">
        <v>3351</v>
      </c>
      <c r="C830" s="23" t="s">
        <v>3335</v>
      </c>
      <c r="D830" s="24">
        <v>203</v>
      </c>
      <c r="E830" s="23">
        <v>1</v>
      </c>
      <c r="F830" s="23" t="s">
        <v>3263</v>
      </c>
      <c r="G830" s="23" t="s">
        <v>3273</v>
      </c>
      <c r="J830" s="23" t="s">
        <v>619</v>
      </c>
      <c r="K830" s="23" t="s">
        <v>2426</v>
      </c>
      <c r="L830" s="23">
        <v>3</v>
      </c>
      <c r="Z830" s="68">
        <v>5</v>
      </c>
      <c r="AF830" s="23" t="s">
        <v>3267</v>
      </c>
      <c r="AI830" s="23" t="s">
        <v>3274</v>
      </c>
      <c r="AL830" s="23" t="s">
        <v>619</v>
      </c>
      <c r="AM830" s="23" t="s">
        <v>2426</v>
      </c>
      <c r="AN830" s="23">
        <v>3</v>
      </c>
      <c r="AP830" s="73"/>
      <c r="AQ830" s="75"/>
      <c r="AR830" s="76"/>
      <c r="AS830" s="77"/>
      <c r="AV830" s="75"/>
      <c r="AW830" s="83"/>
      <c r="AX830" s="84"/>
      <c r="AY830" s="80"/>
      <c r="BB830" s="81"/>
      <c r="BG830" s="23" t="s">
        <v>3275</v>
      </c>
    </row>
    <row r="831" spans="1:59" ht="15" customHeight="1">
      <c r="A831" s="28" t="s">
        <v>3336</v>
      </c>
      <c r="B831" s="23" t="s">
        <v>3352</v>
      </c>
      <c r="C831" s="23" t="s">
        <v>3335</v>
      </c>
      <c r="D831" s="24">
        <v>204</v>
      </c>
      <c r="E831" s="23">
        <v>1</v>
      </c>
      <c r="F831" s="23" t="s">
        <v>3263</v>
      </c>
      <c r="G831" s="23" t="s">
        <v>3276</v>
      </c>
      <c r="J831" s="23" t="s">
        <v>621</v>
      </c>
      <c r="K831" s="23" t="s">
        <v>2426</v>
      </c>
      <c r="L831" s="23">
        <v>1</v>
      </c>
      <c r="Y831" s="66" t="s">
        <v>1697</v>
      </c>
      <c r="AF831" s="23" t="s">
        <v>3277</v>
      </c>
      <c r="AI831" s="23" t="s">
        <v>3278</v>
      </c>
      <c r="AL831" s="23" t="s">
        <v>621</v>
      </c>
      <c r="AM831" s="23" t="s">
        <v>2426</v>
      </c>
      <c r="AN831" s="23">
        <v>1</v>
      </c>
      <c r="AP831" s="73"/>
      <c r="AQ831" s="75"/>
      <c r="AR831" s="76"/>
      <c r="AS831" s="77"/>
      <c r="AV831" s="75"/>
      <c r="AW831" s="83"/>
      <c r="AX831" s="84"/>
      <c r="AY831" s="80"/>
      <c r="BB831" s="81"/>
      <c r="BG831" s="23" t="s">
        <v>3279</v>
      </c>
    </row>
    <row r="832" spans="1:59" ht="15" customHeight="1">
      <c r="A832" s="28" t="s">
        <v>3336</v>
      </c>
      <c r="B832" s="23" t="s">
        <v>3353</v>
      </c>
      <c r="C832" s="23" t="s">
        <v>3335</v>
      </c>
      <c r="D832" s="24">
        <v>205</v>
      </c>
      <c r="E832" s="23">
        <v>1</v>
      </c>
      <c r="F832" s="23" t="s">
        <v>3263</v>
      </c>
      <c r="G832" s="23" t="s">
        <v>3280</v>
      </c>
      <c r="J832" s="23" t="s">
        <v>621</v>
      </c>
      <c r="K832" s="23" t="s">
        <v>2426</v>
      </c>
      <c r="L832" s="23">
        <v>1</v>
      </c>
      <c r="Y832" s="66" t="s">
        <v>1697</v>
      </c>
      <c r="AF832" s="23" t="s">
        <v>3277</v>
      </c>
      <c r="AI832" s="23" t="s">
        <v>3281</v>
      </c>
      <c r="AL832" s="23" t="s">
        <v>621</v>
      </c>
      <c r="AM832" s="23" t="s">
        <v>2426</v>
      </c>
      <c r="AN832" s="23">
        <v>1</v>
      </c>
      <c r="AP832" s="73"/>
      <c r="AQ832" s="75"/>
      <c r="AR832" s="76"/>
      <c r="AS832" s="77"/>
      <c r="AV832" s="75"/>
      <c r="AW832" s="83"/>
      <c r="AX832" s="84"/>
      <c r="AY832" s="80"/>
      <c r="BB832" s="81"/>
      <c r="BG832" s="23" t="s">
        <v>3282</v>
      </c>
    </row>
    <row r="833" spans="1:59" ht="15" customHeight="1">
      <c r="A833" s="28" t="s">
        <v>3336</v>
      </c>
      <c r="B833" s="23" t="s">
        <v>3354</v>
      </c>
      <c r="C833" s="23" t="s">
        <v>3335</v>
      </c>
      <c r="D833" s="24">
        <v>206</v>
      </c>
      <c r="E833" s="23">
        <v>1</v>
      </c>
      <c r="F833" s="23" t="s">
        <v>3263</v>
      </c>
      <c r="G833" s="23" t="s">
        <v>3283</v>
      </c>
      <c r="J833" s="23" t="s">
        <v>621</v>
      </c>
      <c r="K833" s="23" t="s">
        <v>2426</v>
      </c>
      <c r="L833" s="23">
        <v>2</v>
      </c>
      <c r="Y833" s="66" t="s">
        <v>38</v>
      </c>
      <c r="AF833" s="23" t="s">
        <v>3284</v>
      </c>
      <c r="AI833" s="23" t="s">
        <v>3285</v>
      </c>
      <c r="AL833" s="23" t="s">
        <v>621</v>
      </c>
      <c r="AM833" s="23" t="s">
        <v>2426</v>
      </c>
      <c r="AN833" s="23">
        <v>2</v>
      </c>
      <c r="AP833" s="73"/>
      <c r="AQ833" s="75"/>
      <c r="AR833" s="76"/>
      <c r="AS833" s="77"/>
      <c r="AV833" s="75"/>
      <c r="AW833" s="83"/>
      <c r="AX833" s="84"/>
      <c r="AY833" s="80"/>
      <c r="BB833" s="81"/>
      <c r="BG833" s="23" t="s">
        <v>3286</v>
      </c>
    </row>
    <row r="834" spans="1:59" ht="15" customHeight="1">
      <c r="A834" s="28" t="s">
        <v>3336</v>
      </c>
      <c r="B834" s="23" t="s">
        <v>3355</v>
      </c>
      <c r="C834" s="23" t="s">
        <v>3335</v>
      </c>
      <c r="D834" s="24">
        <v>207</v>
      </c>
      <c r="E834" s="23">
        <v>1</v>
      </c>
      <c r="F834" s="23" t="s">
        <v>3263</v>
      </c>
      <c r="G834" s="23" t="s">
        <v>3287</v>
      </c>
      <c r="J834" s="23" t="s">
        <v>621</v>
      </c>
      <c r="K834" s="23" t="s">
        <v>2426</v>
      </c>
      <c r="L834" s="23">
        <v>2</v>
      </c>
      <c r="Y834" s="66" t="s">
        <v>38</v>
      </c>
      <c r="AF834" s="23" t="s">
        <v>3288</v>
      </c>
      <c r="AI834" s="23" t="s">
        <v>3289</v>
      </c>
      <c r="AL834" s="23" t="s">
        <v>621</v>
      </c>
      <c r="AM834" s="23" t="s">
        <v>2426</v>
      </c>
      <c r="AN834" s="23">
        <v>2</v>
      </c>
      <c r="AP834" s="73"/>
      <c r="AQ834" s="75"/>
      <c r="AR834" s="76"/>
      <c r="AS834" s="77"/>
      <c r="AV834" s="75"/>
      <c r="AW834" s="83"/>
      <c r="AX834" s="84"/>
      <c r="AY834" s="80"/>
      <c r="BB834" s="81"/>
      <c r="BG834" s="23" t="s">
        <v>3286</v>
      </c>
    </row>
    <row r="835" spans="1:59" ht="15" customHeight="1">
      <c r="A835" s="28" t="s">
        <v>3336</v>
      </c>
      <c r="B835" s="23" t="s">
        <v>3356</v>
      </c>
      <c r="C835" s="23" t="s">
        <v>3335</v>
      </c>
      <c r="D835" s="24">
        <v>208</v>
      </c>
      <c r="E835" s="23">
        <v>1</v>
      </c>
      <c r="F835" s="23" t="s">
        <v>3263</v>
      </c>
      <c r="G835" s="23" t="s">
        <v>3290</v>
      </c>
      <c r="J835" s="23" t="s">
        <v>31</v>
      </c>
      <c r="K835" s="23" t="s">
        <v>2426</v>
      </c>
      <c r="AD835" s="23" t="s">
        <v>3291</v>
      </c>
      <c r="AI835" s="23" t="s">
        <v>3290</v>
      </c>
      <c r="AL835" s="23" t="s">
        <v>31</v>
      </c>
      <c r="AM835" s="23" t="s">
        <v>2426</v>
      </c>
      <c r="AP835" s="73"/>
      <c r="AQ835" s="75"/>
      <c r="AR835" s="76"/>
      <c r="AS835" s="77"/>
      <c r="AV835" s="75"/>
      <c r="AW835" s="83"/>
      <c r="AX835" s="84"/>
      <c r="AY835" s="80">
        <v>2</v>
      </c>
      <c r="AZ835" s="66" t="s">
        <v>1073</v>
      </c>
      <c r="BB835" s="81"/>
      <c r="BE835" s="23" t="s">
        <v>3291</v>
      </c>
      <c r="BG835" s="23" t="s">
        <v>3292</v>
      </c>
    </row>
    <row r="836" spans="1:59" ht="15" customHeight="1">
      <c r="A836" s="28" t="s">
        <v>3336</v>
      </c>
      <c r="B836" s="23" t="s">
        <v>3357</v>
      </c>
      <c r="C836" s="23" t="s">
        <v>3335</v>
      </c>
      <c r="D836" s="24">
        <v>209</v>
      </c>
      <c r="E836" s="23">
        <v>1</v>
      </c>
      <c r="F836" s="23" t="s">
        <v>3263</v>
      </c>
      <c r="G836" s="23" t="s">
        <v>3293</v>
      </c>
      <c r="J836" s="23" t="s">
        <v>31</v>
      </c>
      <c r="K836" s="23" t="s">
        <v>2426</v>
      </c>
      <c r="AD836" s="23" t="s">
        <v>3291</v>
      </c>
      <c r="AI836" s="23" t="s">
        <v>3293</v>
      </c>
      <c r="AL836" s="23" t="s">
        <v>31</v>
      </c>
      <c r="AM836" s="23" t="s">
        <v>2426</v>
      </c>
      <c r="AP836" s="73"/>
      <c r="AQ836" s="75"/>
      <c r="AR836" s="76"/>
      <c r="AS836" s="77"/>
      <c r="AV836" s="75"/>
      <c r="AW836" s="83"/>
      <c r="AX836" s="84"/>
      <c r="AY836" s="80">
        <v>3</v>
      </c>
      <c r="AZ836" s="66" t="s">
        <v>1073</v>
      </c>
      <c r="BB836" s="81"/>
      <c r="BE836" s="23" t="s">
        <v>3291</v>
      </c>
      <c r="BG836" s="23" t="s">
        <v>3294</v>
      </c>
    </row>
    <row r="837" spans="1:59" ht="15" customHeight="1">
      <c r="A837" s="28" t="s">
        <v>3336</v>
      </c>
      <c r="B837" s="23" t="s">
        <v>3358</v>
      </c>
      <c r="C837" s="23" t="s">
        <v>3335</v>
      </c>
      <c r="D837" s="24">
        <v>210</v>
      </c>
      <c r="E837" s="23">
        <v>1</v>
      </c>
      <c r="F837" s="23" t="s">
        <v>3263</v>
      </c>
      <c r="G837" s="23" t="s">
        <v>3293</v>
      </c>
      <c r="J837" s="23" t="s">
        <v>31</v>
      </c>
      <c r="K837" s="23" t="s">
        <v>2426</v>
      </c>
      <c r="AD837" s="23" t="s">
        <v>3291</v>
      </c>
      <c r="AI837" s="23" t="s">
        <v>3293</v>
      </c>
      <c r="AL837" s="23" t="s">
        <v>31</v>
      </c>
      <c r="AM837" s="23" t="s">
        <v>2426</v>
      </c>
      <c r="AP837" s="73"/>
      <c r="AQ837" s="75"/>
      <c r="AR837" s="76"/>
      <c r="AS837" s="77"/>
      <c r="AV837" s="75"/>
      <c r="AW837" s="83"/>
      <c r="AX837" s="84"/>
      <c r="AY837" s="80">
        <v>2</v>
      </c>
      <c r="AZ837" s="66" t="s">
        <v>1073</v>
      </c>
      <c r="BB837" s="81"/>
      <c r="BE837" s="23" t="s">
        <v>3291</v>
      </c>
      <c r="BG837" s="23" t="s">
        <v>3295</v>
      </c>
    </row>
    <row r="838" spans="1:59" ht="15" customHeight="1">
      <c r="A838" s="28" t="s">
        <v>3336</v>
      </c>
      <c r="B838" s="23" t="s">
        <v>3359</v>
      </c>
      <c r="C838" s="23" t="s">
        <v>3335</v>
      </c>
      <c r="D838" s="24">
        <v>211</v>
      </c>
      <c r="E838" s="23">
        <v>1</v>
      </c>
      <c r="F838" s="23" t="s">
        <v>3263</v>
      </c>
      <c r="G838" s="23" t="s">
        <v>3296</v>
      </c>
      <c r="H838" s="23" t="s">
        <v>3297</v>
      </c>
      <c r="J838" s="23" t="s">
        <v>31</v>
      </c>
      <c r="K838" s="23" t="s">
        <v>2426</v>
      </c>
      <c r="AD838" s="23" t="s">
        <v>3298</v>
      </c>
      <c r="AI838" s="23" t="s">
        <v>3296</v>
      </c>
      <c r="AJ838" s="23" t="s">
        <v>3297</v>
      </c>
      <c r="AL838" s="23" t="s">
        <v>31</v>
      </c>
      <c r="AM838" s="23" t="s">
        <v>2426</v>
      </c>
      <c r="AP838" s="73"/>
      <c r="AQ838" s="75"/>
      <c r="AR838" s="76"/>
      <c r="AS838" s="77"/>
      <c r="AV838" s="75"/>
      <c r="AW838" s="83"/>
      <c r="AX838" s="84"/>
      <c r="AY838" s="80">
        <v>3</v>
      </c>
      <c r="AZ838" s="66" t="s">
        <v>1073</v>
      </c>
      <c r="BB838" s="81">
        <v>1</v>
      </c>
      <c r="BE838" s="23" t="s">
        <v>3298</v>
      </c>
      <c r="BG838" s="23" t="s">
        <v>3299</v>
      </c>
    </row>
    <row r="839" spans="1:59" ht="15" customHeight="1">
      <c r="A839" s="28" t="s">
        <v>3336</v>
      </c>
      <c r="B839" s="23" t="s">
        <v>3360</v>
      </c>
      <c r="C839" s="23" t="s">
        <v>3335</v>
      </c>
      <c r="D839" s="24">
        <v>212</v>
      </c>
      <c r="E839" s="23">
        <v>1</v>
      </c>
      <c r="F839" s="23" t="s">
        <v>3263</v>
      </c>
      <c r="G839" s="23" t="s">
        <v>3300</v>
      </c>
      <c r="J839" s="23" t="s">
        <v>31</v>
      </c>
      <c r="K839" s="23" t="s">
        <v>2426</v>
      </c>
      <c r="AD839" s="23" t="s">
        <v>3291</v>
      </c>
      <c r="AI839" s="23" t="s">
        <v>3300</v>
      </c>
      <c r="AL839" s="23" t="s">
        <v>31</v>
      </c>
      <c r="AM839" s="23" t="s">
        <v>2426</v>
      </c>
      <c r="AP839" s="73"/>
      <c r="AQ839" s="75"/>
      <c r="AR839" s="76"/>
      <c r="AS839" s="77"/>
      <c r="AV839" s="75"/>
      <c r="AW839" s="83"/>
      <c r="AX839" s="84"/>
      <c r="AY839" s="80">
        <v>5</v>
      </c>
      <c r="AZ839" s="66" t="s">
        <v>1073</v>
      </c>
      <c r="BB839" s="81"/>
      <c r="BE839" s="23" t="s">
        <v>3291</v>
      </c>
      <c r="BG839" s="23" t="s">
        <v>3301</v>
      </c>
    </row>
    <row r="840" spans="1:59" ht="15" customHeight="1">
      <c r="A840" s="28" t="s">
        <v>3336</v>
      </c>
      <c r="B840" s="23" t="s">
        <v>3361</v>
      </c>
      <c r="C840" s="23" t="s">
        <v>3335</v>
      </c>
      <c r="D840" s="24">
        <v>213</v>
      </c>
      <c r="E840" s="23">
        <v>1</v>
      </c>
      <c r="F840" s="23" t="s">
        <v>3263</v>
      </c>
      <c r="G840" s="23" t="s">
        <v>3300</v>
      </c>
      <c r="J840" s="23" t="s">
        <v>31</v>
      </c>
      <c r="K840" s="23" t="s">
        <v>2426</v>
      </c>
      <c r="AD840" s="23" t="s">
        <v>3291</v>
      </c>
      <c r="AI840" s="23" t="s">
        <v>3300</v>
      </c>
      <c r="AL840" s="23" t="s">
        <v>31</v>
      </c>
      <c r="AM840" s="23" t="s">
        <v>2426</v>
      </c>
      <c r="AP840" s="73"/>
      <c r="AQ840" s="75"/>
      <c r="AR840" s="76"/>
      <c r="AS840" s="77"/>
      <c r="AV840" s="75"/>
      <c r="AW840" s="83"/>
      <c r="AX840" s="84"/>
      <c r="AY840" s="80">
        <v>6</v>
      </c>
      <c r="AZ840" s="66" t="s">
        <v>1073</v>
      </c>
      <c r="BB840" s="81"/>
      <c r="BE840" s="23" t="s">
        <v>3291</v>
      </c>
      <c r="BG840" s="23" t="s">
        <v>3302</v>
      </c>
    </row>
    <row r="841" spans="1:59" ht="15" customHeight="1">
      <c r="A841" s="28" t="s">
        <v>3336</v>
      </c>
      <c r="B841" s="23" t="s">
        <v>3362</v>
      </c>
      <c r="C841" s="23" t="s">
        <v>3335</v>
      </c>
      <c r="D841" s="24">
        <v>214</v>
      </c>
      <c r="E841" s="23">
        <v>1</v>
      </c>
      <c r="F841" s="23" t="s">
        <v>3263</v>
      </c>
      <c r="G841" s="23" t="s">
        <v>3303</v>
      </c>
      <c r="J841" s="23" t="s">
        <v>31</v>
      </c>
      <c r="K841" s="23" t="s">
        <v>2426</v>
      </c>
      <c r="AD841" s="23" t="s">
        <v>3291</v>
      </c>
      <c r="AI841" s="23" t="s">
        <v>3303</v>
      </c>
      <c r="AL841" s="23" t="s">
        <v>31</v>
      </c>
      <c r="AM841" s="23" t="s">
        <v>2426</v>
      </c>
      <c r="AP841" s="73"/>
      <c r="AQ841" s="75"/>
      <c r="AR841" s="76"/>
      <c r="AS841" s="77"/>
      <c r="AV841" s="75"/>
      <c r="AW841" s="83"/>
      <c r="AX841" s="84"/>
      <c r="AY841" s="80">
        <v>4</v>
      </c>
      <c r="AZ841" s="66" t="s">
        <v>1073</v>
      </c>
      <c r="BB841" s="81"/>
      <c r="BE841" s="23" t="s">
        <v>3291</v>
      </c>
      <c r="BG841" s="23" t="s">
        <v>3304</v>
      </c>
    </row>
    <row r="842" spans="1:59" ht="15" customHeight="1">
      <c r="A842" s="28" t="s">
        <v>3336</v>
      </c>
      <c r="B842" s="23" t="s">
        <v>3363</v>
      </c>
      <c r="C842" s="23" t="s">
        <v>3335</v>
      </c>
      <c r="D842" s="24">
        <v>215</v>
      </c>
      <c r="E842" s="23">
        <v>1</v>
      </c>
      <c r="F842" s="23" t="s">
        <v>3263</v>
      </c>
      <c r="G842" s="23" t="s">
        <v>3305</v>
      </c>
      <c r="J842" s="23" t="s">
        <v>31</v>
      </c>
      <c r="K842" s="23" t="s">
        <v>2426</v>
      </c>
      <c r="AD842" s="23" t="s">
        <v>3298</v>
      </c>
      <c r="AI842" s="23" t="s">
        <v>3305</v>
      </c>
      <c r="AL842" s="23" t="s">
        <v>31</v>
      </c>
      <c r="AM842" s="23" t="s">
        <v>2426</v>
      </c>
      <c r="AP842" s="73"/>
      <c r="AQ842" s="75"/>
      <c r="AR842" s="76"/>
      <c r="AS842" s="77"/>
      <c r="AV842" s="75"/>
      <c r="AW842" s="83"/>
      <c r="AX842" s="84"/>
      <c r="AY842" s="80">
        <v>1</v>
      </c>
      <c r="AZ842" s="66" t="s">
        <v>1111</v>
      </c>
      <c r="BB842" s="81">
        <v>1</v>
      </c>
      <c r="BE842" s="23" t="s">
        <v>3298</v>
      </c>
      <c r="BG842" s="23" t="s">
        <v>3306</v>
      </c>
    </row>
    <row r="843" spans="1:59" ht="15" customHeight="1">
      <c r="A843" s="28" t="s">
        <v>3336</v>
      </c>
      <c r="B843" s="23" t="s">
        <v>3364</v>
      </c>
      <c r="C843" s="23" t="s">
        <v>3335</v>
      </c>
      <c r="D843" s="24">
        <v>216</v>
      </c>
      <c r="E843" s="23">
        <v>1</v>
      </c>
      <c r="F843" s="23" t="s">
        <v>3263</v>
      </c>
      <c r="G843" s="23" t="s">
        <v>3307</v>
      </c>
      <c r="J843" s="23" t="s">
        <v>31</v>
      </c>
      <c r="K843" s="23" t="s">
        <v>2426</v>
      </c>
      <c r="AD843" s="23" t="s">
        <v>3298</v>
      </c>
      <c r="AI843" s="23" t="s">
        <v>3307</v>
      </c>
      <c r="AL843" s="23" t="s">
        <v>31</v>
      </c>
      <c r="AM843" s="23" t="s">
        <v>2426</v>
      </c>
      <c r="AP843" s="73"/>
      <c r="AQ843" s="75"/>
      <c r="AR843" s="76"/>
      <c r="AS843" s="77"/>
      <c r="AV843" s="75"/>
      <c r="AW843" s="83"/>
      <c r="AX843" s="84"/>
      <c r="AY843" s="80">
        <v>4</v>
      </c>
      <c r="AZ843" s="66" t="s">
        <v>1073</v>
      </c>
      <c r="BB843" s="81">
        <v>1</v>
      </c>
      <c r="BE843" s="23" t="s">
        <v>3298</v>
      </c>
      <c r="BG843" s="23" t="s">
        <v>3308</v>
      </c>
    </row>
    <row r="844" spans="1:59" ht="15" customHeight="1">
      <c r="A844" s="28" t="s">
        <v>3336</v>
      </c>
      <c r="B844" s="30" t="s">
        <v>3365</v>
      </c>
      <c r="C844" s="23" t="s">
        <v>3335</v>
      </c>
      <c r="D844" s="24">
        <v>217</v>
      </c>
      <c r="E844" s="23">
        <v>1</v>
      </c>
      <c r="F844" s="23" t="s">
        <v>3263</v>
      </c>
      <c r="G844" s="23" t="s">
        <v>3309</v>
      </c>
      <c r="J844" s="23" t="s">
        <v>31</v>
      </c>
      <c r="K844" s="23" t="s">
        <v>2426</v>
      </c>
      <c r="AD844" s="23" t="s">
        <v>3291</v>
      </c>
      <c r="AI844" s="23" t="s">
        <v>3309</v>
      </c>
      <c r="AL844" s="23" t="s">
        <v>31</v>
      </c>
      <c r="AM844" s="23" t="s">
        <v>2426</v>
      </c>
      <c r="AP844" s="73"/>
      <c r="AQ844" s="75"/>
      <c r="AR844" s="76"/>
      <c r="AS844" s="77"/>
      <c r="AV844" s="75"/>
      <c r="AW844" s="83"/>
      <c r="AX844" s="84"/>
      <c r="AY844" s="80">
        <v>3</v>
      </c>
      <c r="AZ844" s="66" t="s">
        <v>1073</v>
      </c>
      <c r="BB844" s="81"/>
      <c r="BE844" s="23" t="s">
        <v>3291</v>
      </c>
      <c r="BG844" s="23" t="s">
        <v>3310</v>
      </c>
    </row>
    <row r="845" spans="1:59" ht="15" customHeight="1">
      <c r="A845" s="28" t="s">
        <v>3336</v>
      </c>
      <c r="B845" s="23" t="s">
        <v>3366</v>
      </c>
      <c r="C845" s="23" t="s">
        <v>3335</v>
      </c>
      <c r="D845" s="24">
        <v>218</v>
      </c>
      <c r="E845" s="23">
        <v>1</v>
      </c>
      <c r="F845" s="23" t="s">
        <v>3263</v>
      </c>
      <c r="G845" s="23" t="s">
        <v>3309</v>
      </c>
      <c r="J845" s="23" t="s">
        <v>31</v>
      </c>
      <c r="K845" s="23" t="s">
        <v>2426</v>
      </c>
      <c r="AD845" s="23" t="s">
        <v>3291</v>
      </c>
      <c r="AI845" s="23" t="s">
        <v>3309</v>
      </c>
      <c r="AL845" s="23" t="s">
        <v>31</v>
      </c>
      <c r="AM845" s="23" t="s">
        <v>2426</v>
      </c>
      <c r="AP845" s="73"/>
      <c r="AQ845" s="75"/>
      <c r="AR845" s="76"/>
      <c r="AS845" s="77"/>
      <c r="AV845" s="75"/>
      <c r="AW845" s="83"/>
      <c r="AX845" s="84"/>
      <c r="AY845" s="80">
        <v>1</v>
      </c>
      <c r="AZ845" s="66" t="s">
        <v>1073</v>
      </c>
      <c r="BB845" s="81"/>
      <c r="BE845" s="23" t="s">
        <v>3291</v>
      </c>
      <c r="BG845" s="23" t="s">
        <v>3311</v>
      </c>
    </row>
    <row r="846" spans="1:59" ht="15" customHeight="1">
      <c r="A846" s="28" t="s">
        <v>3336</v>
      </c>
      <c r="B846" s="23" t="s">
        <v>3367</v>
      </c>
      <c r="C846" s="23" t="s">
        <v>3335</v>
      </c>
      <c r="D846" s="24">
        <v>219</v>
      </c>
      <c r="E846" s="23">
        <v>1</v>
      </c>
      <c r="F846" s="23" t="s">
        <v>3263</v>
      </c>
      <c r="G846" s="23" t="s">
        <v>3312</v>
      </c>
      <c r="J846" s="23" t="s">
        <v>31</v>
      </c>
      <c r="K846" s="23" t="s">
        <v>2426</v>
      </c>
      <c r="AD846" s="23" t="s">
        <v>3291</v>
      </c>
      <c r="AI846" s="23" t="s">
        <v>3312</v>
      </c>
      <c r="AL846" s="23" t="s">
        <v>31</v>
      </c>
      <c r="AM846" s="23" t="s">
        <v>2426</v>
      </c>
      <c r="AP846" s="73"/>
      <c r="AQ846" s="75"/>
      <c r="AR846" s="76"/>
      <c r="AS846" s="77"/>
      <c r="AV846" s="75"/>
      <c r="AW846" s="83"/>
      <c r="AX846" s="84"/>
      <c r="AY846" s="80">
        <v>3</v>
      </c>
      <c r="AZ846" s="66" t="s">
        <v>1073</v>
      </c>
      <c r="BB846" s="81"/>
      <c r="BE846" s="23" t="s">
        <v>3291</v>
      </c>
      <c r="BG846" s="23" t="s">
        <v>3313</v>
      </c>
    </row>
    <row r="847" spans="1:59" ht="15" customHeight="1">
      <c r="A847" s="28" t="s">
        <v>3336</v>
      </c>
      <c r="B847" s="23" t="s">
        <v>3368</v>
      </c>
      <c r="C847" s="23" t="s">
        <v>3335</v>
      </c>
      <c r="D847" s="24">
        <v>220</v>
      </c>
      <c r="E847" s="23">
        <v>1</v>
      </c>
      <c r="F847" s="23" t="s">
        <v>3263</v>
      </c>
      <c r="G847" s="23" t="s">
        <v>3314</v>
      </c>
      <c r="J847" s="23" t="s">
        <v>31</v>
      </c>
      <c r="K847" s="23" t="s">
        <v>2426</v>
      </c>
      <c r="AD847" s="23" t="s">
        <v>3298</v>
      </c>
      <c r="AI847" s="23" t="s">
        <v>3314</v>
      </c>
      <c r="AL847" s="23" t="s">
        <v>31</v>
      </c>
      <c r="AM847" s="23" t="s">
        <v>2426</v>
      </c>
      <c r="AP847" s="73"/>
      <c r="AQ847" s="75"/>
      <c r="AR847" s="76"/>
      <c r="AS847" s="77"/>
      <c r="AV847" s="75"/>
      <c r="AW847" s="83"/>
      <c r="AX847" s="84"/>
      <c r="AY847" s="80">
        <v>3</v>
      </c>
      <c r="AZ847" s="66" t="s">
        <v>1073</v>
      </c>
      <c r="BB847" s="81">
        <v>1</v>
      </c>
      <c r="BE847" s="23" t="s">
        <v>3298</v>
      </c>
      <c r="BG847" s="23" t="s">
        <v>3315</v>
      </c>
    </row>
    <row r="848" spans="1:59" ht="15" customHeight="1">
      <c r="A848" s="28" t="s">
        <v>3336</v>
      </c>
      <c r="B848" s="23" t="s">
        <v>3369</v>
      </c>
      <c r="C848" s="23" t="s">
        <v>3335</v>
      </c>
      <c r="D848" s="24">
        <v>221</v>
      </c>
      <c r="E848" s="23">
        <v>1</v>
      </c>
      <c r="F848" s="23" t="s">
        <v>3263</v>
      </c>
      <c r="G848" s="23" t="s">
        <v>3316</v>
      </c>
      <c r="H848" s="23" t="s">
        <v>3317</v>
      </c>
      <c r="I848" s="23" t="s">
        <v>223</v>
      </c>
      <c r="J848" s="23" t="s">
        <v>29</v>
      </c>
      <c r="K848" s="23" t="s">
        <v>2426</v>
      </c>
      <c r="Q848" s="65">
        <v>3</v>
      </c>
      <c r="R848" s="66">
        <v>5</v>
      </c>
      <c r="T848" s="68" t="s">
        <v>38</v>
      </c>
      <c r="W848" s="70">
        <v>1</v>
      </c>
      <c r="AD848" s="23" t="s">
        <v>3318</v>
      </c>
      <c r="AF848" s="23" t="s">
        <v>3319</v>
      </c>
      <c r="AI848" s="23" t="s">
        <v>3316</v>
      </c>
      <c r="AJ848" s="23" t="s">
        <v>3320</v>
      </c>
      <c r="AL848" s="23" t="s">
        <v>29</v>
      </c>
      <c r="AM848" s="23" t="s">
        <v>2426</v>
      </c>
      <c r="AP848" s="73"/>
      <c r="AQ848" s="75"/>
      <c r="AR848" s="76"/>
      <c r="AS848" s="77">
        <v>5</v>
      </c>
      <c r="AT848" s="66">
        <v>3</v>
      </c>
      <c r="AU848" s="68" t="s">
        <v>38</v>
      </c>
      <c r="AV848" s="75"/>
      <c r="AW848" s="83"/>
      <c r="AX848" s="84">
        <v>3</v>
      </c>
      <c r="AY848" s="80"/>
      <c r="BB848" s="81"/>
      <c r="BE848" s="23" t="s">
        <v>3318</v>
      </c>
      <c r="BG848" s="23" t="s">
        <v>3321</v>
      </c>
    </row>
    <row r="849" spans="1:58" ht="15" customHeight="1">
      <c r="A849" s="28" t="s">
        <v>3336</v>
      </c>
      <c r="B849" s="23" t="s">
        <v>3370</v>
      </c>
      <c r="C849" s="23" t="s">
        <v>3335</v>
      </c>
      <c r="D849" s="24">
        <v>222</v>
      </c>
      <c r="E849" s="23">
        <v>2</v>
      </c>
      <c r="F849" s="23" t="s">
        <v>3263</v>
      </c>
      <c r="G849" s="23" t="s">
        <v>3322</v>
      </c>
      <c r="J849" s="23" t="s">
        <v>29</v>
      </c>
      <c r="K849" s="23" t="s">
        <v>2426</v>
      </c>
      <c r="Q849" s="65">
        <v>5</v>
      </c>
      <c r="R849" s="66">
        <v>3</v>
      </c>
      <c r="T849" s="68">
        <v>2</v>
      </c>
      <c r="V849" s="69">
        <v>2</v>
      </c>
      <c r="W849" s="70">
        <v>1</v>
      </c>
      <c r="AD849" s="23" t="s">
        <v>836</v>
      </c>
      <c r="AF849" s="23" t="s">
        <v>3323</v>
      </c>
      <c r="AP849" s="73"/>
      <c r="AQ849" s="75"/>
      <c r="AR849" s="76"/>
      <c r="AS849" s="77"/>
      <c r="AV849" s="75"/>
      <c r="AW849" s="83"/>
      <c r="AX849" s="84"/>
      <c r="AY849" s="80"/>
      <c r="BB849" s="81"/>
    </row>
    <row r="850" spans="1:58" ht="15" customHeight="1">
      <c r="A850" s="28" t="s">
        <v>3336</v>
      </c>
      <c r="B850" s="23" t="s">
        <v>3371</v>
      </c>
      <c r="C850" s="23" t="s">
        <v>3335</v>
      </c>
      <c r="D850" s="24">
        <v>223</v>
      </c>
      <c r="E850" s="23">
        <v>2</v>
      </c>
      <c r="F850" s="23" t="s">
        <v>3263</v>
      </c>
      <c r="G850" s="23" t="s">
        <v>3324</v>
      </c>
      <c r="J850" s="23" t="s">
        <v>28</v>
      </c>
      <c r="K850" s="23" t="s">
        <v>2426</v>
      </c>
      <c r="AD850" s="23" t="s">
        <v>492</v>
      </c>
      <c r="AF850" s="23" t="s">
        <v>3325</v>
      </c>
      <c r="AP850" s="73"/>
      <c r="AQ850" s="75"/>
      <c r="AR850" s="76"/>
      <c r="AS850" s="77"/>
      <c r="AV850" s="75"/>
      <c r="AW850" s="83"/>
      <c r="AX850" s="84"/>
      <c r="AY850" s="80"/>
      <c r="BB850" s="81"/>
    </row>
    <row r="851" spans="1:58" ht="15" customHeight="1">
      <c r="A851" s="28" t="s">
        <v>3336</v>
      </c>
      <c r="B851" s="30" t="s">
        <v>3372</v>
      </c>
      <c r="C851" s="23" t="s">
        <v>3335</v>
      </c>
      <c r="D851" s="24">
        <v>224</v>
      </c>
      <c r="E851" s="23">
        <v>3</v>
      </c>
      <c r="F851" s="23" t="s">
        <v>3263</v>
      </c>
      <c r="G851" s="23" t="s">
        <v>3326</v>
      </c>
      <c r="J851" s="23" t="s">
        <v>28</v>
      </c>
      <c r="K851" s="23" t="s">
        <v>2426</v>
      </c>
      <c r="AD851" s="23" t="s">
        <v>492</v>
      </c>
      <c r="AF851" s="23" t="s">
        <v>3327</v>
      </c>
      <c r="AP851" s="73"/>
      <c r="AQ851" s="75"/>
      <c r="AR851" s="76"/>
      <c r="AS851" s="77"/>
      <c r="AV851" s="75"/>
      <c r="AW851" s="83"/>
      <c r="AX851" s="84"/>
      <c r="AY851" s="80"/>
      <c r="BB851" s="81"/>
    </row>
    <row r="852" spans="1:58" ht="15" customHeight="1">
      <c r="A852" s="28" t="s">
        <v>3336</v>
      </c>
      <c r="B852" s="23" t="s">
        <v>3373</v>
      </c>
      <c r="C852" s="23" t="s">
        <v>3335</v>
      </c>
      <c r="D852" s="24">
        <v>225</v>
      </c>
      <c r="E852" s="23">
        <v>3</v>
      </c>
      <c r="F852" s="23" t="s">
        <v>3263</v>
      </c>
      <c r="G852" s="23" t="s">
        <v>3328</v>
      </c>
      <c r="J852" s="23" t="s">
        <v>28</v>
      </c>
      <c r="K852" s="23" t="s">
        <v>2426</v>
      </c>
      <c r="AD852" s="23" t="s">
        <v>1682</v>
      </c>
      <c r="AF852" s="23" t="s">
        <v>3329</v>
      </c>
      <c r="AP852" s="73"/>
      <c r="AQ852" s="75"/>
      <c r="AR852" s="76"/>
      <c r="AS852" s="77"/>
      <c r="AV852" s="75"/>
      <c r="AW852" s="83"/>
      <c r="AX852" s="84"/>
      <c r="AY852" s="80"/>
      <c r="BB852" s="81"/>
    </row>
    <row r="853" spans="1:58" ht="15" customHeight="1">
      <c r="A853" s="28" t="s">
        <v>3336</v>
      </c>
      <c r="B853" s="23" t="s">
        <v>3374</v>
      </c>
      <c r="C853" s="23" t="s">
        <v>3335</v>
      </c>
      <c r="D853" s="24">
        <v>226</v>
      </c>
      <c r="E853" s="23">
        <v>2</v>
      </c>
      <c r="F853" s="23" t="s">
        <v>3263</v>
      </c>
      <c r="G853" s="23" t="s">
        <v>482</v>
      </c>
      <c r="J853" s="23" t="s">
        <v>28</v>
      </c>
      <c r="K853" s="23" t="s">
        <v>2426</v>
      </c>
      <c r="AD853" s="23" t="s">
        <v>481</v>
      </c>
      <c r="AF853" s="23" t="s">
        <v>636</v>
      </c>
      <c r="AP853" s="73"/>
      <c r="AQ853" s="75"/>
      <c r="AR853" s="76"/>
      <c r="AS853" s="77"/>
      <c r="AV853" s="75"/>
      <c r="AW853" s="83"/>
      <c r="AX853" s="84"/>
      <c r="AY853" s="80"/>
      <c r="BB853" s="81"/>
    </row>
    <row r="854" spans="1:58" ht="15" customHeight="1">
      <c r="A854" s="28" t="s">
        <v>3336</v>
      </c>
      <c r="B854" s="23" t="s">
        <v>3375</v>
      </c>
      <c r="C854" s="23" t="s">
        <v>3335</v>
      </c>
      <c r="D854" s="24">
        <v>227</v>
      </c>
      <c r="E854" s="23">
        <v>4</v>
      </c>
      <c r="F854" s="23" t="s">
        <v>3263</v>
      </c>
      <c r="G854" s="23" t="s">
        <v>3330</v>
      </c>
      <c r="J854" s="23" t="s">
        <v>28</v>
      </c>
      <c r="K854" s="23" t="s">
        <v>26</v>
      </c>
      <c r="M854" s="23" t="s">
        <v>648</v>
      </c>
      <c r="AD854" s="23" t="s">
        <v>3331</v>
      </c>
      <c r="AF854" s="23" t="s">
        <v>3332</v>
      </c>
      <c r="AP854" s="73"/>
      <c r="AQ854" s="75"/>
      <c r="AR854" s="76"/>
      <c r="AS854" s="77"/>
      <c r="AV854" s="75"/>
      <c r="AW854" s="83"/>
      <c r="AX854" s="84"/>
      <c r="AY854" s="80"/>
      <c r="BB854" s="81"/>
    </row>
    <row r="855" spans="1:58" ht="15" customHeight="1">
      <c r="A855" s="23" t="s">
        <v>3376</v>
      </c>
      <c r="B855" s="23" t="s">
        <v>3377</v>
      </c>
      <c r="C855" s="23" t="s">
        <v>3378</v>
      </c>
      <c r="D855" s="23">
        <v>228</v>
      </c>
      <c r="E855" s="23">
        <v>2</v>
      </c>
      <c r="G855" s="23" t="s">
        <v>3379</v>
      </c>
      <c r="J855" s="23" t="s">
        <v>312</v>
      </c>
      <c r="K855" s="23" t="s">
        <v>198</v>
      </c>
      <c r="L855" s="23">
        <v>0</v>
      </c>
      <c r="N855" s="23"/>
      <c r="O855" s="118">
        <v>1</v>
      </c>
      <c r="P855" s="119">
        <v>1</v>
      </c>
      <c r="Q855" s="120">
        <v>1</v>
      </c>
      <c r="R855" s="29"/>
      <c r="S855" s="121"/>
      <c r="T855" s="122"/>
      <c r="U855" s="118"/>
      <c r="V855" s="123"/>
      <c r="W855" s="124"/>
      <c r="X855" s="125"/>
      <c r="Y855" s="29"/>
      <c r="Z855" s="122"/>
      <c r="AA855" s="126"/>
      <c r="AB855" s="16" t="s">
        <v>3380</v>
      </c>
      <c r="AD855" s="23" t="s">
        <v>412</v>
      </c>
      <c r="AE855" s="23"/>
      <c r="AF855" s="23" t="s">
        <v>3381</v>
      </c>
      <c r="AO855" s="24"/>
      <c r="AP855" s="23"/>
      <c r="AQ855" s="129"/>
      <c r="AR855" s="130"/>
      <c r="AS855" s="131"/>
      <c r="AT855" s="29"/>
      <c r="AU855" s="122"/>
      <c r="AV855" s="129"/>
      <c r="AW855" s="136"/>
      <c r="AX855" s="137"/>
      <c r="AY855" s="134"/>
      <c r="AZ855" s="29"/>
      <c r="BA855" s="122"/>
      <c r="BB855" s="135"/>
      <c r="BE855" s="24"/>
      <c r="BF855" s="23"/>
    </row>
    <row r="856" spans="1:58" ht="15" customHeight="1">
      <c r="A856" s="23" t="s">
        <v>3376</v>
      </c>
      <c r="B856" s="23" t="s">
        <v>3382</v>
      </c>
      <c r="C856" s="23" t="s">
        <v>3378</v>
      </c>
      <c r="D856" s="23">
        <v>229</v>
      </c>
      <c r="E856" s="23">
        <v>2</v>
      </c>
      <c r="G856" s="23" t="s">
        <v>3383</v>
      </c>
      <c r="J856" s="23" t="s">
        <v>27</v>
      </c>
      <c r="K856" s="23" t="s">
        <v>198</v>
      </c>
      <c r="L856" s="23">
        <v>1</v>
      </c>
      <c r="N856" s="23">
        <v>0</v>
      </c>
      <c r="O856" s="118">
        <v>1</v>
      </c>
      <c r="P856" s="119"/>
      <c r="Q856" s="120">
        <v>1</v>
      </c>
      <c r="R856" s="29"/>
      <c r="S856" s="121"/>
      <c r="T856" s="122"/>
      <c r="U856" s="118"/>
      <c r="V856" s="123"/>
      <c r="W856" s="124"/>
      <c r="X856" s="125"/>
      <c r="Y856" s="145"/>
      <c r="Z856" s="122"/>
      <c r="AA856" s="126"/>
      <c r="AB856" s="16" t="s">
        <v>2179</v>
      </c>
      <c r="AD856" s="23" t="s">
        <v>3384</v>
      </c>
      <c r="AE856" s="23"/>
      <c r="AF856" s="23" t="s">
        <v>3385</v>
      </c>
      <c r="AO856" s="24"/>
      <c r="AP856" s="23"/>
      <c r="AQ856" s="129"/>
      <c r="AR856" s="130"/>
      <c r="AS856" s="131"/>
      <c r="AT856" s="29"/>
      <c r="AU856" s="122"/>
      <c r="AV856" s="129"/>
      <c r="AW856" s="136"/>
      <c r="AX856" s="137"/>
      <c r="AY856" s="134"/>
      <c r="AZ856" s="29"/>
      <c r="BA856" s="122"/>
      <c r="BB856" s="135"/>
      <c r="BE856" s="24"/>
      <c r="BF856" s="23"/>
    </row>
    <row r="857" spans="1:58" ht="15" customHeight="1">
      <c r="A857" s="23" t="s">
        <v>3376</v>
      </c>
      <c r="B857" s="23" t="s">
        <v>3386</v>
      </c>
      <c r="C857" s="23" t="s">
        <v>3378</v>
      </c>
      <c r="D857" s="23">
        <v>230</v>
      </c>
      <c r="E857" s="23">
        <v>2</v>
      </c>
      <c r="G857" s="23" t="s">
        <v>294</v>
      </c>
      <c r="J857" s="23" t="s">
        <v>257</v>
      </c>
      <c r="K857" s="23" t="s">
        <v>198</v>
      </c>
      <c r="L857" s="23">
        <v>3</v>
      </c>
      <c r="N857" s="23">
        <v>2</v>
      </c>
      <c r="O857" s="118">
        <v>2</v>
      </c>
      <c r="P857" s="119"/>
      <c r="Q857" s="120"/>
      <c r="R857" s="29"/>
      <c r="S857" s="121"/>
      <c r="T857" s="122"/>
      <c r="U857" s="118"/>
      <c r="V857" s="123"/>
      <c r="W857" s="124"/>
      <c r="X857" s="125"/>
      <c r="Y857" s="29"/>
      <c r="Z857" s="122"/>
      <c r="AA857" s="126"/>
      <c r="AB857" s="16" t="s">
        <v>1094</v>
      </c>
      <c r="AD857" s="23" t="s">
        <v>295</v>
      </c>
      <c r="AE857" s="23"/>
      <c r="AF857" s="23" t="s">
        <v>3387</v>
      </c>
      <c r="AO857" s="24"/>
      <c r="AP857" s="23"/>
      <c r="AQ857" s="129"/>
      <c r="AR857" s="130"/>
      <c r="AS857" s="131"/>
      <c r="AT857" s="29"/>
      <c r="AU857" s="122"/>
      <c r="AV857" s="129"/>
      <c r="AW857" s="136"/>
      <c r="AX857" s="137"/>
      <c r="AY857" s="134"/>
      <c r="AZ857" s="29"/>
      <c r="BA857" s="122"/>
      <c r="BB857" s="135"/>
      <c r="BE857" s="24"/>
      <c r="BF857" s="23"/>
    </row>
    <row r="858" spans="1:58" ht="15" customHeight="1">
      <c r="A858" s="23" t="s">
        <v>3376</v>
      </c>
      <c r="B858" s="23" t="s">
        <v>3388</v>
      </c>
      <c r="C858" s="23" t="s">
        <v>3378</v>
      </c>
      <c r="D858" s="23">
        <v>231</v>
      </c>
      <c r="E858" s="23">
        <v>2</v>
      </c>
      <c r="G858" s="23" t="s">
        <v>3389</v>
      </c>
      <c r="J858" s="23" t="s">
        <v>312</v>
      </c>
      <c r="K858" s="23" t="s">
        <v>199</v>
      </c>
      <c r="L858" s="23">
        <v>0</v>
      </c>
      <c r="N858" s="23"/>
      <c r="O858" s="118">
        <v>1</v>
      </c>
      <c r="P858" s="119">
        <v>1</v>
      </c>
      <c r="Q858" s="120"/>
      <c r="R858" s="29">
        <v>1</v>
      </c>
      <c r="S858" s="121"/>
      <c r="T858" s="122"/>
      <c r="U858" s="118"/>
      <c r="V858" s="123"/>
      <c r="W858" s="124"/>
      <c r="X858" s="125"/>
      <c r="Y858" s="29"/>
      <c r="Z858" s="122"/>
      <c r="AA858" s="126"/>
      <c r="AB858" s="16" t="s">
        <v>3390</v>
      </c>
      <c r="AD858" s="23" t="s">
        <v>412</v>
      </c>
      <c r="AE858" s="23"/>
      <c r="AF858" s="23" t="s">
        <v>3391</v>
      </c>
      <c r="AO858" s="24"/>
      <c r="AP858" s="23"/>
      <c r="AQ858" s="129"/>
      <c r="AR858" s="130"/>
      <c r="AS858" s="131"/>
      <c r="AT858" s="29"/>
      <c r="AU858" s="122"/>
      <c r="AV858" s="129"/>
      <c r="AW858" s="136"/>
      <c r="AX858" s="137"/>
      <c r="AY858" s="134"/>
      <c r="AZ858" s="29"/>
      <c r="BA858" s="122"/>
      <c r="BB858" s="135"/>
      <c r="BE858" s="24"/>
      <c r="BF858" s="23"/>
    </row>
    <row r="859" spans="1:58" ht="15" customHeight="1">
      <c r="A859" s="23" t="s">
        <v>3376</v>
      </c>
      <c r="B859" s="23" t="s">
        <v>3392</v>
      </c>
      <c r="C859" s="23" t="s">
        <v>3378</v>
      </c>
      <c r="D859" s="23">
        <v>232</v>
      </c>
      <c r="E859" s="23">
        <v>2</v>
      </c>
      <c r="G859" s="23" t="s">
        <v>1401</v>
      </c>
      <c r="J859" s="23" t="s">
        <v>27</v>
      </c>
      <c r="K859" s="23" t="s">
        <v>199</v>
      </c>
      <c r="L859" s="23">
        <v>2</v>
      </c>
      <c r="N859" s="23">
        <v>1</v>
      </c>
      <c r="O859" s="118">
        <v>1</v>
      </c>
      <c r="P859" s="119">
        <v>1</v>
      </c>
      <c r="Q859" s="120"/>
      <c r="R859" s="29">
        <v>1</v>
      </c>
      <c r="S859" s="121"/>
      <c r="T859" s="122"/>
      <c r="U859" s="118"/>
      <c r="V859" s="123"/>
      <c r="W859" s="124"/>
      <c r="X859" s="125"/>
      <c r="Y859" s="29"/>
      <c r="Z859" s="122"/>
      <c r="AA859" s="126"/>
      <c r="AB859" s="16" t="s">
        <v>3390</v>
      </c>
      <c r="AD859" s="23" t="s">
        <v>344</v>
      </c>
      <c r="AE859" s="23"/>
      <c r="AF859" s="23" t="s">
        <v>3393</v>
      </c>
      <c r="AO859" s="24"/>
      <c r="AP859" s="23"/>
      <c r="AQ859" s="129"/>
      <c r="AR859" s="130"/>
      <c r="AS859" s="131"/>
      <c r="AT859" s="29"/>
      <c r="AU859" s="122"/>
      <c r="AV859" s="129"/>
      <c r="AW859" s="136"/>
      <c r="AX859" s="137"/>
      <c r="AY859" s="134"/>
      <c r="AZ859" s="29"/>
      <c r="BA859" s="122"/>
      <c r="BB859" s="135"/>
      <c r="BE859" s="24"/>
      <c r="BF859" s="23"/>
    </row>
    <row r="860" spans="1:58" ht="15" customHeight="1">
      <c r="A860" s="23" t="s">
        <v>3376</v>
      </c>
      <c r="B860" s="23" t="s">
        <v>3394</v>
      </c>
      <c r="C860" s="23" t="s">
        <v>3378</v>
      </c>
      <c r="D860" s="23">
        <v>233</v>
      </c>
      <c r="E860" s="23">
        <v>2</v>
      </c>
      <c r="G860" s="23" t="s">
        <v>3395</v>
      </c>
      <c r="J860" s="23" t="s">
        <v>312</v>
      </c>
      <c r="K860" s="23" t="s">
        <v>201</v>
      </c>
      <c r="L860" s="23">
        <v>0</v>
      </c>
      <c r="N860" s="23"/>
      <c r="O860" s="118">
        <v>1</v>
      </c>
      <c r="P860" s="119"/>
      <c r="Q860" s="120">
        <v>1</v>
      </c>
      <c r="R860" s="29">
        <v>1</v>
      </c>
      <c r="S860" s="121"/>
      <c r="T860" s="122"/>
      <c r="U860" s="118"/>
      <c r="V860" s="123"/>
      <c r="W860" s="124"/>
      <c r="X860" s="125"/>
      <c r="Y860" s="29"/>
      <c r="Z860" s="122"/>
      <c r="AA860" s="126"/>
      <c r="AB860" s="16" t="s">
        <v>3396</v>
      </c>
      <c r="AD860" s="23" t="s">
        <v>2603</v>
      </c>
      <c r="AE860" s="23"/>
      <c r="AF860" s="23" t="s">
        <v>3397</v>
      </c>
      <c r="AO860" s="24"/>
      <c r="AP860" s="23"/>
      <c r="AQ860" s="129"/>
      <c r="AR860" s="130"/>
      <c r="AS860" s="131"/>
      <c r="AT860" s="29"/>
      <c r="AU860" s="122"/>
      <c r="AV860" s="129"/>
      <c r="AW860" s="136"/>
      <c r="AX860" s="137"/>
      <c r="AY860" s="134"/>
      <c r="AZ860" s="29"/>
      <c r="BA860" s="122"/>
      <c r="BB860" s="135"/>
      <c r="BE860" s="24"/>
      <c r="BF860" s="23"/>
    </row>
    <row r="861" spans="1:58" ht="15" customHeight="1">
      <c r="A861" s="23" t="s">
        <v>3376</v>
      </c>
      <c r="B861" s="23" t="s">
        <v>3398</v>
      </c>
      <c r="C861" s="23" t="s">
        <v>3378</v>
      </c>
      <c r="D861" s="23">
        <v>234</v>
      </c>
      <c r="E861" s="23">
        <v>2</v>
      </c>
      <c r="G861" s="23" t="s">
        <v>359</v>
      </c>
      <c r="J861" s="23" t="s">
        <v>257</v>
      </c>
      <c r="K861" s="23" t="s">
        <v>201</v>
      </c>
      <c r="L861" s="23">
        <v>2</v>
      </c>
      <c r="N861" s="23">
        <v>3</v>
      </c>
      <c r="O861" s="118"/>
      <c r="P861" s="119"/>
      <c r="Q861" s="120">
        <v>1</v>
      </c>
      <c r="R861" s="29">
        <v>1</v>
      </c>
      <c r="S861" s="121"/>
      <c r="T861" s="122"/>
      <c r="U861" s="118"/>
      <c r="V861" s="123"/>
      <c r="W861" s="124"/>
      <c r="X861" s="125"/>
      <c r="Y861" s="29"/>
      <c r="Z861" s="122"/>
      <c r="AA861" s="126"/>
      <c r="AB861" s="16" t="s">
        <v>2181</v>
      </c>
      <c r="AC861" s="23" t="s">
        <v>258</v>
      </c>
      <c r="AD861" s="23" t="s">
        <v>923</v>
      </c>
      <c r="AE861" s="23"/>
      <c r="AF861" s="23" t="s">
        <v>3399</v>
      </c>
      <c r="AP861" s="23"/>
      <c r="AQ861" s="118"/>
      <c r="AR861" s="119"/>
      <c r="AS861" s="120"/>
      <c r="AT861" s="29"/>
      <c r="AU861" s="122"/>
      <c r="AV861" s="118"/>
      <c r="AW861" s="123"/>
      <c r="AX861" s="124"/>
      <c r="AY861" s="125"/>
      <c r="AZ861" s="29"/>
      <c r="BA861" s="122"/>
      <c r="BB861" s="126"/>
      <c r="BF861" s="23"/>
    </row>
    <row r="862" spans="1:58" ht="15" customHeight="1">
      <c r="A862" s="23" t="s">
        <v>3376</v>
      </c>
      <c r="B862" s="23" t="s">
        <v>3400</v>
      </c>
      <c r="C862" s="23" t="s">
        <v>3378</v>
      </c>
      <c r="D862" s="23">
        <v>235</v>
      </c>
      <c r="E862" s="23">
        <v>2</v>
      </c>
      <c r="G862" s="23" t="s">
        <v>3401</v>
      </c>
      <c r="J862" s="23" t="s">
        <v>312</v>
      </c>
      <c r="K862" s="23" t="s">
        <v>200</v>
      </c>
      <c r="L862" s="23">
        <v>0</v>
      </c>
      <c r="N862" s="23"/>
      <c r="O862" s="118"/>
      <c r="P862" s="119"/>
      <c r="Q862" s="120"/>
      <c r="R862" s="29"/>
      <c r="S862" s="121">
        <v>1</v>
      </c>
      <c r="T862" s="122"/>
      <c r="U862" s="118"/>
      <c r="V862" s="123"/>
      <c r="W862" s="124"/>
      <c r="X862" s="125"/>
      <c r="Y862" s="29"/>
      <c r="Z862" s="122"/>
      <c r="AA862" s="126"/>
      <c r="AB862" s="16" t="s">
        <v>208</v>
      </c>
      <c r="AD862" s="23" t="s">
        <v>313</v>
      </c>
      <c r="AE862" s="23"/>
      <c r="AF862" s="23" t="s">
        <v>3402</v>
      </c>
      <c r="AP862" s="23"/>
      <c r="AQ862" s="118"/>
      <c r="AR862" s="119"/>
      <c r="AS862" s="120"/>
      <c r="AT862" s="29"/>
      <c r="AU862" s="122"/>
      <c r="AV862" s="118"/>
      <c r="AW862" s="123"/>
      <c r="AX862" s="124"/>
      <c r="AY862" s="125"/>
      <c r="AZ862" s="29"/>
      <c r="BA862" s="122"/>
      <c r="BB862" s="126"/>
      <c r="BF862" s="23"/>
    </row>
    <row r="863" spans="1:58" ht="15" customHeight="1">
      <c r="A863" s="23" t="s">
        <v>3376</v>
      </c>
      <c r="B863" s="23" t="s">
        <v>3403</v>
      </c>
      <c r="C863" s="23" t="s">
        <v>3378</v>
      </c>
      <c r="D863" s="23">
        <v>236</v>
      </c>
      <c r="E863" s="23">
        <v>2</v>
      </c>
      <c r="G863" s="23" t="s">
        <v>380</v>
      </c>
      <c r="J863" s="23" t="s">
        <v>257</v>
      </c>
      <c r="K863" s="23" t="s">
        <v>200</v>
      </c>
      <c r="L863" s="23">
        <v>3</v>
      </c>
      <c r="N863" s="23">
        <v>1</v>
      </c>
      <c r="O863" s="118"/>
      <c r="P863" s="119">
        <v>2</v>
      </c>
      <c r="Q863" s="120"/>
      <c r="R863" s="29"/>
      <c r="S863" s="121"/>
      <c r="T863" s="122"/>
      <c r="U863" s="118"/>
      <c r="V863" s="123"/>
      <c r="W863" s="124"/>
      <c r="X863" s="125"/>
      <c r="Y863" s="29"/>
      <c r="Z863" s="122"/>
      <c r="AA863" s="126"/>
      <c r="AB863" s="16" t="s">
        <v>1084</v>
      </c>
      <c r="AC863" s="23" t="s">
        <v>378</v>
      </c>
      <c r="AD863" s="23" t="s">
        <v>279</v>
      </c>
      <c r="AE863" s="23"/>
      <c r="AF863" s="23" t="s">
        <v>3404</v>
      </c>
      <c r="AO863" s="24"/>
      <c r="AP863" s="23"/>
      <c r="AQ863" s="129"/>
      <c r="AR863" s="130"/>
      <c r="AS863" s="131"/>
      <c r="AT863" s="29"/>
      <c r="AU863" s="122"/>
      <c r="AV863" s="129"/>
      <c r="AW863" s="136"/>
      <c r="AX863" s="137"/>
      <c r="AY863" s="134"/>
      <c r="AZ863" s="29"/>
      <c r="BA863" s="122"/>
      <c r="BB863" s="135"/>
      <c r="BE863" s="24"/>
      <c r="BF863" s="23"/>
    </row>
    <row r="864" spans="1:58" ht="15" customHeight="1">
      <c r="A864" s="23" t="s">
        <v>3376</v>
      </c>
      <c r="B864" s="23" t="s">
        <v>3405</v>
      </c>
      <c r="C864" s="23" t="s">
        <v>3378</v>
      </c>
      <c r="D864" s="23">
        <v>237</v>
      </c>
      <c r="E864" s="23">
        <v>2</v>
      </c>
      <c r="G864" s="23" t="s">
        <v>3406</v>
      </c>
      <c r="J864" s="23" t="s">
        <v>27</v>
      </c>
      <c r="K864" s="23" t="s">
        <v>202</v>
      </c>
      <c r="L864" s="23">
        <v>0</v>
      </c>
      <c r="N864" s="23">
        <v>3</v>
      </c>
      <c r="O864" s="118"/>
      <c r="P864" s="119"/>
      <c r="Q864" s="120"/>
      <c r="R864" s="29">
        <v>2</v>
      </c>
      <c r="S864" s="121"/>
      <c r="T864" s="122"/>
      <c r="U864" s="118"/>
      <c r="V864" s="123"/>
      <c r="W864" s="124"/>
      <c r="X864" s="125"/>
      <c r="Y864" s="29"/>
      <c r="Z864" s="122"/>
      <c r="AA864" s="126"/>
      <c r="AB864" s="16" t="s">
        <v>1095</v>
      </c>
      <c r="AD864" s="23" t="s">
        <v>307</v>
      </c>
      <c r="AE864" s="23"/>
      <c r="AF864" s="23" t="s">
        <v>3407</v>
      </c>
      <c r="AO864" s="24"/>
      <c r="AP864" s="23"/>
      <c r="AQ864" s="129"/>
      <c r="AR864" s="130"/>
      <c r="AS864" s="131"/>
      <c r="AT864" s="29"/>
      <c r="AU864" s="122"/>
      <c r="AV864" s="129"/>
      <c r="AW864" s="136"/>
      <c r="AX864" s="137"/>
      <c r="AY864" s="134"/>
      <c r="AZ864" s="29"/>
      <c r="BA864" s="122"/>
      <c r="BB864" s="135"/>
      <c r="BE864" s="24"/>
      <c r="BF864" s="23"/>
    </row>
    <row r="865" spans="1:59" ht="15" customHeight="1">
      <c r="A865" s="23" t="s">
        <v>3376</v>
      </c>
      <c r="B865" s="23" t="s">
        <v>3408</v>
      </c>
      <c r="C865" s="23" t="s">
        <v>3378</v>
      </c>
      <c r="D865" s="23">
        <v>238</v>
      </c>
      <c r="E865" s="23">
        <v>2</v>
      </c>
      <c r="G865" s="23" t="s">
        <v>2251</v>
      </c>
      <c r="J865" s="23" t="s">
        <v>27</v>
      </c>
      <c r="K865" s="23" t="s">
        <v>202</v>
      </c>
      <c r="L865" s="23">
        <v>2</v>
      </c>
      <c r="N865" s="23" t="s">
        <v>32</v>
      </c>
      <c r="O865" s="118">
        <v>1</v>
      </c>
      <c r="P865" s="119">
        <v>1</v>
      </c>
      <c r="Q865" s="120"/>
      <c r="R865" s="29"/>
      <c r="S865" s="121"/>
      <c r="T865" s="122"/>
      <c r="U865" s="118"/>
      <c r="V865" s="123"/>
      <c r="W865" s="124"/>
      <c r="X865" s="125"/>
      <c r="Y865" s="29"/>
      <c r="Z865" s="122"/>
      <c r="AA865" s="126"/>
      <c r="AB865" s="16" t="s">
        <v>2322</v>
      </c>
      <c r="AD865" s="23" t="s">
        <v>372</v>
      </c>
      <c r="AE865" s="23"/>
      <c r="AF865" s="23" t="s">
        <v>3409</v>
      </c>
      <c r="AO865" s="24"/>
      <c r="AP865" s="23"/>
      <c r="AQ865" s="129"/>
      <c r="AR865" s="130"/>
      <c r="AS865" s="131"/>
      <c r="AT865" s="29"/>
      <c r="AU865" s="122"/>
      <c r="AV865" s="129"/>
      <c r="AW865" s="136"/>
      <c r="AX865" s="137"/>
      <c r="AY865" s="134"/>
      <c r="AZ865" s="29"/>
      <c r="BA865" s="122"/>
      <c r="BB865" s="135"/>
      <c r="BE865" s="24"/>
      <c r="BF865" s="23"/>
    </row>
    <row r="866" spans="1:59" ht="15" customHeight="1">
      <c r="A866" s="23" t="s">
        <v>3376</v>
      </c>
      <c r="B866" s="23" t="s">
        <v>3410</v>
      </c>
      <c r="C866" s="23" t="s">
        <v>3378</v>
      </c>
      <c r="D866" s="23">
        <v>239</v>
      </c>
      <c r="E866" s="23">
        <v>2</v>
      </c>
      <c r="G866" s="23" t="s">
        <v>423</v>
      </c>
      <c r="J866" s="23" t="s">
        <v>27</v>
      </c>
      <c r="K866" s="23" t="s">
        <v>26</v>
      </c>
      <c r="L866" s="23">
        <v>3</v>
      </c>
      <c r="N866" s="23">
        <v>0</v>
      </c>
      <c r="O866" s="118"/>
      <c r="P866" s="119"/>
      <c r="Q866" s="120"/>
      <c r="R866" s="29"/>
      <c r="S866" s="121"/>
      <c r="T866" s="122"/>
      <c r="U866" s="118"/>
      <c r="V866" s="123"/>
      <c r="W866" s="124"/>
      <c r="X866" s="125"/>
      <c r="Y866" s="29"/>
      <c r="Z866" s="122"/>
      <c r="AA866" s="126"/>
      <c r="AB866" s="16"/>
      <c r="AD866" s="23" t="s">
        <v>316</v>
      </c>
      <c r="AE866" s="23"/>
      <c r="AF866" s="23" t="s">
        <v>3411</v>
      </c>
      <c r="AO866" s="24"/>
      <c r="AP866" s="23"/>
      <c r="AQ866" s="129"/>
      <c r="AR866" s="130"/>
      <c r="AS866" s="131"/>
      <c r="AT866" s="29"/>
      <c r="AU866" s="122"/>
      <c r="AV866" s="129"/>
      <c r="AW866" s="136"/>
      <c r="AX866" s="137"/>
      <c r="AY866" s="134"/>
      <c r="AZ866" s="29"/>
      <c r="BA866" s="122"/>
      <c r="BB866" s="135"/>
      <c r="BE866" s="24"/>
      <c r="BF866" s="23"/>
    </row>
    <row r="867" spans="1:59" ht="15" customHeight="1">
      <c r="A867" s="23" t="s">
        <v>3376</v>
      </c>
      <c r="B867" s="23" t="s">
        <v>3412</v>
      </c>
      <c r="C867" s="23" t="s">
        <v>3378</v>
      </c>
      <c r="D867" s="23">
        <v>240</v>
      </c>
      <c r="E867" s="23">
        <v>1</v>
      </c>
      <c r="F867" s="23" t="s">
        <v>3413</v>
      </c>
      <c r="G867" s="23" t="s">
        <v>3413</v>
      </c>
      <c r="J867" s="23" t="s">
        <v>618</v>
      </c>
      <c r="K867" s="23" t="s">
        <v>2426</v>
      </c>
      <c r="N867" s="23"/>
      <c r="O867" s="118"/>
      <c r="P867" s="119"/>
      <c r="Q867" s="120"/>
      <c r="R867" s="29"/>
      <c r="S867" s="121"/>
      <c r="T867" s="122"/>
      <c r="U867" s="118"/>
      <c r="V867" s="123"/>
      <c r="W867" s="124"/>
      <c r="X867" s="125"/>
      <c r="Y867" s="29"/>
      <c r="Z867" s="122"/>
      <c r="AA867" s="126"/>
      <c r="AB867" s="16"/>
      <c r="AE867" s="23"/>
      <c r="AF867" s="23" t="s">
        <v>3414</v>
      </c>
      <c r="AI867" s="23" t="s">
        <v>3413</v>
      </c>
      <c r="AL867" s="23" t="s">
        <v>618</v>
      </c>
      <c r="AM867" s="23" t="s">
        <v>2426</v>
      </c>
      <c r="AO867" s="24"/>
      <c r="AP867" s="23"/>
      <c r="AQ867" s="129"/>
      <c r="AR867" s="130"/>
      <c r="AS867" s="131"/>
      <c r="AT867" s="29"/>
      <c r="AU867" s="122"/>
      <c r="AV867" s="129"/>
      <c r="AW867" s="136"/>
      <c r="AX867" s="137"/>
      <c r="AY867" s="134"/>
      <c r="AZ867" s="29"/>
      <c r="BA867" s="122"/>
      <c r="BB867" s="135"/>
      <c r="BE867" s="24"/>
      <c r="BF867" s="23"/>
      <c r="BG867" s="23" t="s">
        <v>3415</v>
      </c>
    </row>
    <row r="868" spans="1:59" ht="15" customHeight="1">
      <c r="A868" s="23" t="s">
        <v>3376</v>
      </c>
      <c r="B868" s="23" t="s">
        <v>3416</v>
      </c>
      <c r="C868" s="23" t="s">
        <v>3378</v>
      </c>
      <c r="D868" s="23">
        <v>241</v>
      </c>
      <c r="E868" s="23">
        <v>1</v>
      </c>
      <c r="F868" s="23" t="s">
        <v>3413</v>
      </c>
      <c r="G868" s="23" t="s">
        <v>3417</v>
      </c>
      <c r="J868" s="23" t="s">
        <v>619</v>
      </c>
      <c r="K868" s="23" t="s">
        <v>2426</v>
      </c>
      <c r="L868" s="23">
        <v>1</v>
      </c>
      <c r="N868" s="23"/>
      <c r="O868" s="118"/>
      <c r="P868" s="119"/>
      <c r="Q868" s="120"/>
      <c r="R868" s="29"/>
      <c r="S868" s="121"/>
      <c r="T868" s="122"/>
      <c r="U868" s="118"/>
      <c r="V868" s="123"/>
      <c r="W868" s="124"/>
      <c r="X868" s="125"/>
      <c r="Y868" s="29"/>
      <c r="Z868" s="122">
        <v>6</v>
      </c>
      <c r="AA868" s="126"/>
      <c r="AB868" s="16"/>
      <c r="AE868" s="23"/>
      <c r="AF868" s="23" t="s">
        <v>3418</v>
      </c>
      <c r="AI868" s="23" t="s">
        <v>3419</v>
      </c>
      <c r="AJ868" s="23" t="s">
        <v>3420</v>
      </c>
      <c r="AL868" s="23" t="s">
        <v>29</v>
      </c>
      <c r="AM868" s="23" t="s">
        <v>2426</v>
      </c>
      <c r="AO868" s="24"/>
      <c r="AP868" s="23"/>
      <c r="AQ868" s="129"/>
      <c r="AR868" s="130"/>
      <c r="AS868" s="131">
        <v>3</v>
      </c>
      <c r="AT868" s="29">
        <v>3</v>
      </c>
      <c r="AU868" s="122" t="s">
        <v>3421</v>
      </c>
      <c r="AV868" s="129"/>
      <c r="AW868" s="136">
        <v>2</v>
      </c>
      <c r="AX868" s="137">
        <v>2</v>
      </c>
      <c r="AY868" s="134"/>
      <c r="AZ868" s="29"/>
      <c r="BA868" s="122"/>
      <c r="BB868" s="135">
        <v>2</v>
      </c>
      <c r="BE868" s="24" t="s">
        <v>3422</v>
      </c>
      <c r="BF868" s="23"/>
      <c r="BG868" s="23" t="s">
        <v>3423</v>
      </c>
    </row>
    <row r="869" spans="1:59" ht="15" customHeight="1">
      <c r="A869" s="23" t="s">
        <v>3376</v>
      </c>
      <c r="B869" s="23" t="s">
        <v>3424</v>
      </c>
      <c r="C869" s="23" t="s">
        <v>3378</v>
      </c>
      <c r="D869" s="23">
        <v>242</v>
      </c>
      <c r="E869" s="23">
        <v>1</v>
      </c>
      <c r="F869" s="23" t="s">
        <v>3413</v>
      </c>
      <c r="G869" s="23" t="s">
        <v>3425</v>
      </c>
      <c r="J869" s="23" t="s">
        <v>619</v>
      </c>
      <c r="K869" s="23" t="s">
        <v>2426</v>
      </c>
      <c r="L869" s="23">
        <v>2</v>
      </c>
      <c r="N869" s="23"/>
      <c r="O869" s="118"/>
      <c r="P869" s="119"/>
      <c r="Q869" s="120"/>
      <c r="R869" s="29"/>
      <c r="S869" s="121"/>
      <c r="T869" s="122"/>
      <c r="U869" s="118"/>
      <c r="V869" s="123"/>
      <c r="W869" s="124"/>
      <c r="X869" s="125"/>
      <c r="Y869" s="29"/>
      <c r="Z869" s="122">
        <v>12</v>
      </c>
      <c r="AA869" s="126"/>
      <c r="AB869" s="16"/>
      <c r="AE869" s="23"/>
      <c r="AF869" s="23" t="s">
        <v>3418</v>
      </c>
      <c r="AI869" s="23" t="s">
        <v>3426</v>
      </c>
      <c r="AL869" s="23" t="s">
        <v>619</v>
      </c>
      <c r="AM869" s="23" t="s">
        <v>2426</v>
      </c>
      <c r="AN869" s="23">
        <v>2</v>
      </c>
      <c r="AO869" s="24"/>
      <c r="AP869" s="23"/>
      <c r="AQ869" s="129"/>
      <c r="AR869" s="130"/>
      <c r="AS869" s="131"/>
      <c r="AT869" s="29"/>
      <c r="AU869" s="122"/>
      <c r="AV869" s="129"/>
      <c r="AW869" s="136"/>
      <c r="AX869" s="137"/>
      <c r="AY869" s="134"/>
      <c r="AZ869" s="29"/>
      <c r="BA869" s="122"/>
      <c r="BB869" s="135"/>
      <c r="BE869" s="24"/>
      <c r="BF869" s="23"/>
      <c r="BG869" s="23" t="s">
        <v>3427</v>
      </c>
    </row>
    <row r="870" spans="1:59" ht="15" customHeight="1">
      <c r="A870" s="23" t="s">
        <v>3376</v>
      </c>
      <c r="B870" s="23" t="s">
        <v>3428</v>
      </c>
      <c r="C870" s="23" t="s">
        <v>3378</v>
      </c>
      <c r="D870" s="23">
        <v>243</v>
      </c>
      <c r="E870" s="23">
        <v>1</v>
      </c>
      <c r="F870" s="23" t="s">
        <v>3413</v>
      </c>
      <c r="G870" s="23" t="s">
        <v>3429</v>
      </c>
      <c r="J870" s="23" t="s">
        <v>621</v>
      </c>
      <c r="K870" s="23" t="s">
        <v>2426</v>
      </c>
      <c r="L870" s="23">
        <v>1</v>
      </c>
      <c r="N870" s="23"/>
      <c r="O870" s="118"/>
      <c r="P870" s="119"/>
      <c r="Q870" s="120"/>
      <c r="R870" s="29"/>
      <c r="S870" s="121"/>
      <c r="T870" s="122"/>
      <c r="U870" s="118"/>
      <c r="V870" s="123"/>
      <c r="W870" s="124"/>
      <c r="X870" s="125"/>
      <c r="Y870" s="29" t="s">
        <v>38</v>
      </c>
      <c r="Z870" s="122"/>
      <c r="AA870" s="126"/>
      <c r="AB870" s="16"/>
      <c r="AE870" s="23"/>
      <c r="AF870" s="23" t="s">
        <v>3430</v>
      </c>
      <c r="AI870" s="23" t="s">
        <v>3431</v>
      </c>
      <c r="AL870" s="23" t="s">
        <v>621</v>
      </c>
      <c r="AM870" s="23" t="s">
        <v>2426</v>
      </c>
      <c r="AN870" s="23">
        <v>1</v>
      </c>
      <c r="AO870" s="24"/>
      <c r="AP870" s="23"/>
      <c r="AQ870" s="129"/>
      <c r="AR870" s="130"/>
      <c r="AS870" s="131"/>
      <c r="AT870" s="29"/>
      <c r="AU870" s="122"/>
      <c r="AV870" s="129"/>
      <c r="AW870" s="136"/>
      <c r="AX870" s="137"/>
      <c r="AY870" s="134"/>
      <c r="AZ870" s="29"/>
      <c r="BA870" s="122"/>
      <c r="BB870" s="135"/>
      <c r="BE870" s="24"/>
      <c r="BF870" s="23"/>
      <c r="BG870" s="23" t="s">
        <v>3432</v>
      </c>
    </row>
    <row r="871" spans="1:59" ht="15" customHeight="1">
      <c r="A871" s="23" t="s">
        <v>3376</v>
      </c>
      <c r="B871" s="23" t="s">
        <v>3433</v>
      </c>
      <c r="C871" s="23" t="s">
        <v>3378</v>
      </c>
      <c r="D871" s="23">
        <v>244</v>
      </c>
      <c r="E871" s="23">
        <v>1</v>
      </c>
      <c r="F871" s="23" t="s">
        <v>3413</v>
      </c>
      <c r="G871" s="23" t="s">
        <v>3434</v>
      </c>
      <c r="J871" s="23" t="s">
        <v>621</v>
      </c>
      <c r="K871" s="23" t="s">
        <v>2426</v>
      </c>
      <c r="L871" s="23">
        <v>2</v>
      </c>
      <c r="N871" s="23"/>
      <c r="O871" s="118"/>
      <c r="P871" s="119"/>
      <c r="Q871" s="120"/>
      <c r="R871" s="29"/>
      <c r="S871" s="121"/>
      <c r="T871" s="122"/>
      <c r="U871" s="118"/>
      <c r="V871" s="123"/>
      <c r="W871" s="124"/>
      <c r="X871" s="125"/>
      <c r="Y871" s="29" t="s">
        <v>1111</v>
      </c>
      <c r="Z871" s="122"/>
      <c r="AA871" s="126"/>
      <c r="AB871" s="16"/>
      <c r="AE871" s="23"/>
      <c r="AF871" s="23" t="s">
        <v>3435</v>
      </c>
      <c r="AI871" s="23" t="s">
        <v>3436</v>
      </c>
      <c r="AL871" s="23" t="s">
        <v>621</v>
      </c>
      <c r="AM871" s="23" t="s">
        <v>2426</v>
      </c>
      <c r="AN871" s="23">
        <v>2</v>
      </c>
      <c r="AO871" s="24"/>
      <c r="AP871" s="23"/>
      <c r="AQ871" s="129"/>
      <c r="AR871" s="130"/>
      <c r="AS871" s="131"/>
      <c r="AT871" s="29"/>
      <c r="AU871" s="122"/>
      <c r="AV871" s="129"/>
      <c r="AW871" s="136"/>
      <c r="AX871" s="137"/>
      <c r="AY871" s="134"/>
      <c r="AZ871" s="29"/>
      <c r="BA871" s="122"/>
      <c r="BB871" s="135"/>
      <c r="BE871" s="24"/>
      <c r="BF871" s="23"/>
      <c r="BG871" s="23" t="s">
        <v>3496</v>
      </c>
    </row>
    <row r="872" spans="1:59" ht="15" customHeight="1">
      <c r="A872" s="23" t="s">
        <v>3376</v>
      </c>
      <c r="B872" s="23" t="s">
        <v>3437</v>
      </c>
      <c r="C872" s="23" t="s">
        <v>3378</v>
      </c>
      <c r="D872" s="23">
        <v>245</v>
      </c>
      <c r="E872" s="23">
        <v>1</v>
      </c>
      <c r="F872" s="23" t="s">
        <v>3413</v>
      </c>
      <c r="G872" s="23" t="s">
        <v>3438</v>
      </c>
      <c r="J872" s="23" t="s">
        <v>621</v>
      </c>
      <c r="K872" s="23" t="s">
        <v>2426</v>
      </c>
      <c r="L872" s="23">
        <v>3</v>
      </c>
      <c r="N872" s="23"/>
      <c r="O872" s="118"/>
      <c r="P872" s="119"/>
      <c r="Q872" s="120"/>
      <c r="R872" s="29"/>
      <c r="S872" s="121"/>
      <c r="T872" s="122"/>
      <c r="U872" s="118"/>
      <c r="V872" s="123"/>
      <c r="W872" s="124"/>
      <c r="X872" s="125"/>
      <c r="Y872" s="29" t="s">
        <v>38</v>
      </c>
      <c r="Z872" s="122"/>
      <c r="AA872" s="126"/>
      <c r="AB872" s="16"/>
      <c r="AE872" s="23"/>
      <c r="AF872" s="23" t="s">
        <v>3439</v>
      </c>
      <c r="AI872" s="23" t="s">
        <v>3440</v>
      </c>
      <c r="AL872" s="23" t="s">
        <v>621</v>
      </c>
      <c r="AM872" s="23" t="s">
        <v>2426</v>
      </c>
      <c r="AN872" s="23">
        <v>3</v>
      </c>
      <c r="AO872" s="24"/>
      <c r="AP872" s="23"/>
      <c r="AQ872" s="129"/>
      <c r="AR872" s="130"/>
      <c r="AS872" s="131"/>
      <c r="AT872" s="29"/>
      <c r="AU872" s="122"/>
      <c r="AV872" s="129"/>
      <c r="AW872" s="136"/>
      <c r="AX872" s="137"/>
      <c r="AY872" s="134"/>
      <c r="AZ872" s="29"/>
      <c r="BA872" s="122"/>
      <c r="BB872" s="135"/>
      <c r="BE872" s="24"/>
      <c r="BF872" s="23"/>
      <c r="BG872" s="23" t="s">
        <v>1886</v>
      </c>
    </row>
    <row r="873" spans="1:59" ht="15" customHeight="1">
      <c r="A873" s="23" t="s">
        <v>3376</v>
      </c>
      <c r="B873" s="23" t="s">
        <v>3441</v>
      </c>
      <c r="C873" s="23" t="s">
        <v>3378</v>
      </c>
      <c r="D873" s="23">
        <v>246</v>
      </c>
      <c r="E873" s="23">
        <v>1</v>
      </c>
      <c r="F873" s="23" t="s">
        <v>3413</v>
      </c>
      <c r="G873" s="23" t="s">
        <v>3442</v>
      </c>
      <c r="J873" s="23" t="s">
        <v>621</v>
      </c>
      <c r="K873" s="23" t="s">
        <v>2426</v>
      </c>
      <c r="L873" s="23">
        <v>3</v>
      </c>
      <c r="N873" s="23"/>
      <c r="O873" s="118"/>
      <c r="P873" s="119"/>
      <c r="Q873" s="120"/>
      <c r="R873" s="29"/>
      <c r="S873" s="121"/>
      <c r="T873" s="122"/>
      <c r="U873" s="118"/>
      <c r="V873" s="123"/>
      <c r="W873" s="124"/>
      <c r="X873" s="125"/>
      <c r="Y873" s="29" t="s">
        <v>38</v>
      </c>
      <c r="Z873" s="122"/>
      <c r="AA873" s="126"/>
      <c r="AB873" s="16"/>
      <c r="AE873" s="23"/>
      <c r="AF873" s="23" t="s">
        <v>3443</v>
      </c>
      <c r="AI873" s="23" t="s">
        <v>3444</v>
      </c>
      <c r="AL873" s="23" t="s">
        <v>621</v>
      </c>
      <c r="AM873" s="23" t="s">
        <v>2426</v>
      </c>
      <c r="AN873" s="23">
        <v>3</v>
      </c>
      <c r="AO873" s="24"/>
      <c r="AP873" s="23"/>
      <c r="AQ873" s="129"/>
      <c r="AR873" s="130"/>
      <c r="AS873" s="131"/>
      <c r="AT873" s="29"/>
      <c r="AU873" s="122"/>
      <c r="AV873" s="129"/>
      <c r="AW873" s="136"/>
      <c r="AX873" s="137"/>
      <c r="AY873" s="134"/>
      <c r="AZ873" s="29"/>
      <c r="BA873" s="122"/>
      <c r="BB873" s="135"/>
      <c r="BE873" s="24"/>
      <c r="BF873" s="23"/>
      <c r="BG873" s="23" t="s">
        <v>2212</v>
      </c>
    </row>
    <row r="874" spans="1:59" ht="15" customHeight="1">
      <c r="A874" s="23" t="s">
        <v>3376</v>
      </c>
      <c r="B874" s="23" t="s">
        <v>3445</v>
      </c>
      <c r="C874" s="23" t="s">
        <v>3378</v>
      </c>
      <c r="D874" s="23">
        <v>247</v>
      </c>
      <c r="E874" s="23">
        <v>1</v>
      </c>
      <c r="F874" s="23" t="s">
        <v>3413</v>
      </c>
      <c r="G874" s="23" t="s">
        <v>3446</v>
      </c>
      <c r="J874" s="23" t="s">
        <v>31</v>
      </c>
      <c r="K874" s="23" t="s">
        <v>2426</v>
      </c>
      <c r="N874" s="23"/>
      <c r="O874" s="118"/>
      <c r="P874" s="119"/>
      <c r="Q874" s="120"/>
      <c r="R874" s="29"/>
      <c r="S874" s="121"/>
      <c r="T874" s="122"/>
      <c r="U874" s="118"/>
      <c r="V874" s="123"/>
      <c r="W874" s="124"/>
      <c r="X874" s="125"/>
      <c r="Y874" s="29"/>
      <c r="Z874" s="122"/>
      <c r="AA874" s="126"/>
      <c r="AB874" s="16"/>
      <c r="AE874" s="23"/>
      <c r="AF874" s="23" t="s">
        <v>3447</v>
      </c>
      <c r="AI874" s="23" t="s">
        <v>3448</v>
      </c>
      <c r="AL874" s="23" t="s">
        <v>31</v>
      </c>
      <c r="AM874" s="23" t="s">
        <v>2426</v>
      </c>
      <c r="AO874" s="24"/>
      <c r="AP874" s="23"/>
      <c r="AQ874" s="129"/>
      <c r="AR874" s="130"/>
      <c r="AS874" s="131"/>
      <c r="AT874" s="29"/>
      <c r="AU874" s="122"/>
      <c r="AV874" s="129"/>
      <c r="AW874" s="136"/>
      <c r="AX874" s="137"/>
      <c r="AY874" s="134">
        <v>1</v>
      </c>
      <c r="AZ874" s="29" t="s">
        <v>1111</v>
      </c>
      <c r="BA874" s="122"/>
      <c r="BB874" s="135"/>
      <c r="BE874" s="24"/>
      <c r="BF874" s="23"/>
      <c r="BG874" s="23" t="s">
        <v>3449</v>
      </c>
    </row>
    <row r="875" spans="1:59" ht="15" customHeight="1">
      <c r="A875" s="23" t="s">
        <v>3376</v>
      </c>
      <c r="B875" s="23" t="s">
        <v>3450</v>
      </c>
      <c r="C875" s="23" t="s">
        <v>3378</v>
      </c>
      <c r="D875" s="23">
        <v>248</v>
      </c>
      <c r="E875" s="23">
        <v>2</v>
      </c>
      <c r="F875" s="23" t="s">
        <v>3413</v>
      </c>
      <c r="G875" s="23" t="s">
        <v>3446</v>
      </c>
      <c r="J875" s="23" t="s">
        <v>31</v>
      </c>
      <c r="K875" s="23" t="s">
        <v>2426</v>
      </c>
      <c r="N875" s="23"/>
      <c r="O875" s="118"/>
      <c r="P875" s="119"/>
      <c r="Q875" s="120"/>
      <c r="R875" s="29"/>
      <c r="S875" s="121"/>
      <c r="T875" s="122"/>
      <c r="U875" s="118"/>
      <c r="V875" s="123"/>
      <c r="W875" s="124"/>
      <c r="X875" s="125"/>
      <c r="Y875" s="29"/>
      <c r="Z875" s="122"/>
      <c r="AA875" s="126"/>
      <c r="AB875" s="16"/>
      <c r="AE875" s="23"/>
      <c r="AF875" s="23" t="s">
        <v>3447</v>
      </c>
      <c r="AI875" s="23" t="s">
        <v>3451</v>
      </c>
      <c r="AL875" s="23" t="s">
        <v>31</v>
      </c>
      <c r="AM875" s="23" t="s">
        <v>2426</v>
      </c>
      <c r="AO875" s="24"/>
      <c r="AP875" s="23"/>
      <c r="AQ875" s="129"/>
      <c r="AR875" s="130"/>
      <c r="AS875" s="131"/>
      <c r="AT875" s="29"/>
      <c r="AU875" s="122"/>
      <c r="AV875" s="129"/>
      <c r="AW875" s="136"/>
      <c r="AX875" s="137"/>
      <c r="AY875" s="134">
        <v>2</v>
      </c>
      <c r="AZ875" s="29">
        <v>0</v>
      </c>
      <c r="BA875" s="122"/>
      <c r="BB875" s="135"/>
      <c r="BE875" s="24"/>
      <c r="BF875" s="23"/>
      <c r="BG875" s="23" t="s">
        <v>3452</v>
      </c>
    </row>
    <row r="876" spans="1:59" ht="15" customHeight="1">
      <c r="A876" s="23" t="s">
        <v>3376</v>
      </c>
      <c r="B876" s="23" t="s">
        <v>3453</v>
      </c>
      <c r="C876" s="23" t="s">
        <v>3378</v>
      </c>
      <c r="D876" s="23">
        <v>249</v>
      </c>
      <c r="E876" s="23">
        <v>1</v>
      </c>
      <c r="F876" s="23" t="s">
        <v>3413</v>
      </c>
      <c r="G876" s="23" t="s">
        <v>3446</v>
      </c>
      <c r="J876" s="23" t="s">
        <v>31</v>
      </c>
      <c r="K876" s="23" t="s">
        <v>2426</v>
      </c>
      <c r="N876" s="23"/>
      <c r="O876" s="118"/>
      <c r="P876" s="119"/>
      <c r="Q876" s="120"/>
      <c r="R876" s="29"/>
      <c r="S876" s="121"/>
      <c r="T876" s="122"/>
      <c r="U876" s="118"/>
      <c r="V876" s="123"/>
      <c r="W876" s="124"/>
      <c r="X876" s="125"/>
      <c r="Y876" s="29"/>
      <c r="Z876" s="122"/>
      <c r="AA876" s="126"/>
      <c r="AB876" s="16"/>
      <c r="AE876" s="23"/>
      <c r="AF876" s="23" t="s">
        <v>3447</v>
      </c>
      <c r="AI876" s="23" t="s">
        <v>3454</v>
      </c>
      <c r="AL876" s="23" t="s">
        <v>31</v>
      </c>
      <c r="AM876" s="23" t="s">
        <v>2426</v>
      </c>
      <c r="AO876" s="24"/>
      <c r="AP876" s="23"/>
      <c r="AQ876" s="129"/>
      <c r="AR876" s="130"/>
      <c r="AS876" s="131"/>
      <c r="AT876" s="29"/>
      <c r="AU876" s="122"/>
      <c r="AV876" s="129"/>
      <c r="AW876" s="136"/>
      <c r="AX876" s="137"/>
      <c r="AY876" s="134">
        <v>2</v>
      </c>
      <c r="AZ876" s="29" t="s">
        <v>1111</v>
      </c>
      <c r="BA876" s="122"/>
      <c r="BB876" s="135"/>
      <c r="BE876" s="24"/>
      <c r="BF876" s="23"/>
      <c r="BG876" s="23" t="s">
        <v>3455</v>
      </c>
    </row>
    <row r="877" spans="1:59" ht="15" customHeight="1">
      <c r="A877" s="23" t="s">
        <v>3376</v>
      </c>
      <c r="B877" s="23" t="s">
        <v>3456</v>
      </c>
      <c r="C877" s="23" t="s">
        <v>3378</v>
      </c>
      <c r="D877" s="23">
        <v>250</v>
      </c>
      <c r="E877" s="23">
        <v>1</v>
      </c>
      <c r="F877" s="23" t="s">
        <v>3413</v>
      </c>
      <c r="G877" s="23" t="s">
        <v>3446</v>
      </c>
      <c r="J877" s="23" t="s">
        <v>31</v>
      </c>
      <c r="K877" s="23" t="s">
        <v>2426</v>
      </c>
      <c r="N877" s="23"/>
      <c r="O877" s="118"/>
      <c r="P877" s="119"/>
      <c r="Q877" s="120"/>
      <c r="R877" s="29"/>
      <c r="S877" s="121"/>
      <c r="T877" s="122"/>
      <c r="U877" s="118"/>
      <c r="V877" s="123"/>
      <c r="W877" s="124"/>
      <c r="X877" s="125"/>
      <c r="Y877" s="29"/>
      <c r="Z877" s="122"/>
      <c r="AA877" s="126"/>
      <c r="AB877" s="16"/>
      <c r="AE877" s="23"/>
      <c r="AF877" s="23" t="s">
        <v>3447</v>
      </c>
      <c r="AI877" s="23" t="s">
        <v>3457</v>
      </c>
      <c r="AL877" s="23" t="s">
        <v>31</v>
      </c>
      <c r="AM877" s="23" t="s">
        <v>2426</v>
      </c>
      <c r="AO877" s="24"/>
      <c r="AP877" s="23"/>
      <c r="AQ877" s="129"/>
      <c r="AR877" s="130"/>
      <c r="AS877" s="131"/>
      <c r="AT877" s="29"/>
      <c r="AU877" s="122"/>
      <c r="AV877" s="129"/>
      <c r="AW877" s="136"/>
      <c r="AX877" s="137"/>
      <c r="AY877" s="134">
        <v>3</v>
      </c>
      <c r="AZ877" s="29" t="s">
        <v>1111</v>
      </c>
      <c r="BA877" s="122"/>
      <c r="BB877" s="135">
        <v>1</v>
      </c>
      <c r="BE877" s="24"/>
      <c r="BF877" s="23"/>
      <c r="BG877" s="23" t="s">
        <v>3458</v>
      </c>
    </row>
    <row r="878" spans="1:59" ht="15" customHeight="1">
      <c r="A878" s="23" t="s">
        <v>3376</v>
      </c>
      <c r="B878" s="23" t="s">
        <v>3459</v>
      </c>
      <c r="C878" s="23" t="s">
        <v>3378</v>
      </c>
      <c r="D878" s="23">
        <v>251</v>
      </c>
      <c r="E878" s="23">
        <v>1</v>
      </c>
      <c r="F878" s="23" t="s">
        <v>3413</v>
      </c>
      <c r="G878" s="23" t="s">
        <v>3446</v>
      </c>
      <c r="J878" s="23" t="s">
        <v>31</v>
      </c>
      <c r="K878" s="23" t="s">
        <v>2426</v>
      </c>
      <c r="N878" s="23"/>
      <c r="O878" s="118"/>
      <c r="P878" s="119"/>
      <c r="Q878" s="120"/>
      <c r="R878" s="29"/>
      <c r="S878" s="121"/>
      <c r="T878" s="122"/>
      <c r="U878" s="118"/>
      <c r="V878" s="123"/>
      <c r="W878" s="124"/>
      <c r="X878" s="125"/>
      <c r="Y878" s="29"/>
      <c r="Z878" s="122"/>
      <c r="AA878" s="126"/>
      <c r="AB878" s="16"/>
      <c r="AE878" s="23"/>
      <c r="AF878" s="23" t="s">
        <v>3447</v>
      </c>
      <c r="AI878" s="23" t="s">
        <v>3460</v>
      </c>
      <c r="AL878" s="23" t="s">
        <v>31</v>
      </c>
      <c r="AM878" s="23" t="s">
        <v>2426</v>
      </c>
      <c r="AO878" s="24"/>
      <c r="AP878" s="23"/>
      <c r="AQ878" s="129"/>
      <c r="AR878" s="130"/>
      <c r="AS878" s="131"/>
      <c r="AT878" s="29"/>
      <c r="AU878" s="122"/>
      <c r="AV878" s="129"/>
      <c r="AW878" s="136"/>
      <c r="AX878" s="137"/>
      <c r="AY878" s="134">
        <v>4</v>
      </c>
      <c r="AZ878" s="29" t="s">
        <v>1073</v>
      </c>
      <c r="BA878" s="122"/>
      <c r="BB878" s="135">
        <v>1</v>
      </c>
      <c r="BE878" s="24"/>
      <c r="BF878" s="23"/>
      <c r="BG878" s="23" t="s">
        <v>3461</v>
      </c>
    </row>
    <row r="879" spans="1:59" ht="15" customHeight="1">
      <c r="A879" s="23" t="s">
        <v>3376</v>
      </c>
      <c r="B879" s="23" t="s">
        <v>3462</v>
      </c>
      <c r="C879" s="23" t="s">
        <v>3378</v>
      </c>
      <c r="D879" s="23">
        <v>252</v>
      </c>
      <c r="E879" s="23">
        <v>2</v>
      </c>
      <c r="F879" s="23" t="s">
        <v>3413</v>
      </c>
      <c r="G879" s="23" t="s">
        <v>3446</v>
      </c>
      <c r="J879" s="23" t="s">
        <v>31</v>
      </c>
      <c r="K879" s="23" t="s">
        <v>2426</v>
      </c>
      <c r="N879" s="23"/>
      <c r="O879" s="118"/>
      <c r="P879" s="119"/>
      <c r="Q879" s="120"/>
      <c r="R879" s="29"/>
      <c r="S879" s="121"/>
      <c r="T879" s="122"/>
      <c r="U879" s="118"/>
      <c r="V879" s="123"/>
      <c r="W879" s="124"/>
      <c r="X879" s="125"/>
      <c r="Y879" s="29"/>
      <c r="Z879" s="122"/>
      <c r="AA879" s="126"/>
      <c r="AB879" s="16"/>
      <c r="AE879" s="23"/>
      <c r="AF879" s="23" t="s">
        <v>3447</v>
      </c>
      <c r="AI879" s="23" t="s">
        <v>3463</v>
      </c>
      <c r="AL879" s="23" t="s">
        <v>31</v>
      </c>
      <c r="AM879" s="23" t="s">
        <v>2426</v>
      </c>
      <c r="AO879" s="24"/>
      <c r="AP879" s="23"/>
      <c r="AQ879" s="129"/>
      <c r="AR879" s="130"/>
      <c r="AS879" s="131"/>
      <c r="AT879" s="29"/>
      <c r="AU879" s="122"/>
      <c r="AV879" s="129"/>
      <c r="AW879" s="136"/>
      <c r="AX879" s="137"/>
      <c r="AY879" s="134">
        <v>3</v>
      </c>
      <c r="AZ879" s="29" t="s">
        <v>1111</v>
      </c>
      <c r="BA879" s="122"/>
      <c r="BB879" s="135"/>
      <c r="BE879" s="24"/>
      <c r="BF879" s="23"/>
      <c r="BG879" s="23" t="s">
        <v>3464</v>
      </c>
    </row>
    <row r="880" spans="1:59" ht="15" customHeight="1">
      <c r="A880" s="23" t="s">
        <v>3376</v>
      </c>
      <c r="B880" s="23" t="s">
        <v>3465</v>
      </c>
      <c r="C880" s="23" t="s">
        <v>3378</v>
      </c>
      <c r="D880" s="23">
        <v>253</v>
      </c>
      <c r="E880" s="23">
        <v>2</v>
      </c>
      <c r="F880" s="23" t="s">
        <v>3413</v>
      </c>
      <c r="G880" s="23" t="s">
        <v>3446</v>
      </c>
      <c r="J880" s="23" t="s">
        <v>31</v>
      </c>
      <c r="K880" s="23" t="s">
        <v>2426</v>
      </c>
      <c r="N880" s="23"/>
      <c r="O880" s="118"/>
      <c r="P880" s="119"/>
      <c r="Q880" s="120"/>
      <c r="R880" s="29"/>
      <c r="S880" s="121"/>
      <c r="T880" s="122"/>
      <c r="U880" s="118"/>
      <c r="V880" s="123"/>
      <c r="W880" s="124"/>
      <c r="X880" s="125"/>
      <c r="Y880" s="145"/>
      <c r="Z880" s="122"/>
      <c r="AA880" s="126"/>
      <c r="AB880" s="16"/>
      <c r="AE880" s="23"/>
      <c r="AF880" s="23" t="s">
        <v>3447</v>
      </c>
      <c r="AI880" s="23" t="s">
        <v>3466</v>
      </c>
      <c r="AL880" s="23" t="s">
        <v>31</v>
      </c>
      <c r="AM880" s="23" t="s">
        <v>2426</v>
      </c>
      <c r="AO880" s="24"/>
      <c r="AP880" s="23"/>
      <c r="AQ880" s="129"/>
      <c r="AR880" s="130"/>
      <c r="AS880" s="131"/>
      <c r="AT880" s="29"/>
      <c r="AU880" s="122"/>
      <c r="AV880" s="129"/>
      <c r="AW880" s="136"/>
      <c r="AX880" s="137"/>
      <c r="AY880" s="134">
        <v>2</v>
      </c>
      <c r="AZ880" s="29" t="s">
        <v>1111</v>
      </c>
      <c r="BA880" s="122"/>
      <c r="BB880" s="135"/>
      <c r="BE880" s="24"/>
      <c r="BF880" s="23"/>
      <c r="BG880" s="23" t="s">
        <v>3467</v>
      </c>
    </row>
    <row r="881" spans="1:59" ht="15" customHeight="1">
      <c r="A881" s="23" t="s">
        <v>3376</v>
      </c>
      <c r="B881" s="23" t="s">
        <v>3468</v>
      </c>
      <c r="C881" s="23" t="s">
        <v>3378</v>
      </c>
      <c r="D881" s="23">
        <v>254</v>
      </c>
      <c r="E881" s="23">
        <v>1</v>
      </c>
      <c r="F881" s="23" t="s">
        <v>3413</v>
      </c>
      <c r="G881" s="23" t="s">
        <v>3446</v>
      </c>
      <c r="J881" s="23" t="s">
        <v>31</v>
      </c>
      <c r="K881" s="23" t="s">
        <v>2426</v>
      </c>
      <c r="N881" s="23"/>
      <c r="O881" s="118"/>
      <c r="P881" s="119"/>
      <c r="Q881" s="120"/>
      <c r="R881" s="29"/>
      <c r="S881" s="121"/>
      <c r="T881" s="122"/>
      <c r="U881" s="118"/>
      <c r="V881" s="123"/>
      <c r="W881" s="124"/>
      <c r="X881" s="125"/>
      <c r="Y881" s="145"/>
      <c r="Z881" s="122"/>
      <c r="AA881" s="126"/>
      <c r="AB881" s="16"/>
      <c r="AE881" s="23"/>
      <c r="AF881" s="23" t="s">
        <v>3447</v>
      </c>
      <c r="AI881" s="23" t="s">
        <v>3469</v>
      </c>
      <c r="AL881" s="23" t="s">
        <v>31</v>
      </c>
      <c r="AM881" s="23" t="s">
        <v>2426</v>
      </c>
      <c r="AO881" s="24"/>
      <c r="AP881" s="23"/>
      <c r="AQ881" s="129"/>
      <c r="AR881" s="130"/>
      <c r="AS881" s="131"/>
      <c r="AT881" s="29"/>
      <c r="AU881" s="122"/>
      <c r="AV881" s="129"/>
      <c r="AW881" s="136"/>
      <c r="AX881" s="137"/>
      <c r="AY881" s="134">
        <v>2</v>
      </c>
      <c r="AZ881" s="29" t="s">
        <v>1073</v>
      </c>
      <c r="BA881" s="122"/>
      <c r="BB881" s="135">
        <v>1</v>
      </c>
      <c r="BE881" s="24"/>
      <c r="BF881" s="23"/>
      <c r="BG881" s="23" t="s">
        <v>3470</v>
      </c>
    </row>
    <row r="882" spans="1:59" ht="15" customHeight="1">
      <c r="A882" s="23" t="s">
        <v>3376</v>
      </c>
      <c r="B882" s="23" t="s">
        <v>3471</v>
      </c>
      <c r="C882" s="23" t="s">
        <v>3378</v>
      </c>
      <c r="D882" s="23">
        <v>255</v>
      </c>
      <c r="E882" s="23">
        <v>1</v>
      </c>
      <c r="F882" s="23" t="s">
        <v>3413</v>
      </c>
      <c r="G882" s="23" t="s">
        <v>3446</v>
      </c>
      <c r="J882" s="23" t="s">
        <v>31</v>
      </c>
      <c r="K882" s="23" t="s">
        <v>2426</v>
      </c>
      <c r="N882" s="23"/>
      <c r="O882" s="118"/>
      <c r="P882" s="119"/>
      <c r="Q882" s="120"/>
      <c r="R882" s="29"/>
      <c r="S882" s="121"/>
      <c r="T882" s="122"/>
      <c r="U882" s="118"/>
      <c r="V882" s="123"/>
      <c r="W882" s="124"/>
      <c r="X882" s="125"/>
      <c r="Y882" s="29"/>
      <c r="Z882" s="122"/>
      <c r="AA882" s="126"/>
      <c r="AB882" s="16"/>
      <c r="AE882" s="23"/>
      <c r="AF882" s="23" t="s">
        <v>3447</v>
      </c>
      <c r="AI882" s="23" t="s">
        <v>3472</v>
      </c>
      <c r="AL882" s="23" t="s">
        <v>31</v>
      </c>
      <c r="AM882" s="23" t="s">
        <v>2426</v>
      </c>
      <c r="AP882" s="23"/>
      <c r="AQ882" s="118"/>
      <c r="AR882" s="119"/>
      <c r="AS882" s="120"/>
      <c r="AT882" s="29"/>
      <c r="AU882" s="122"/>
      <c r="AV882" s="118"/>
      <c r="AW882" s="123"/>
      <c r="AX882" s="124"/>
      <c r="AY882" s="125">
        <v>5</v>
      </c>
      <c r="AZ882" s="29" t="s">
        <v>1073</v>
      </c>
      <c r="BA882" s="122"/>
      <c r="BB882" s="126">
        <v>1</v>
      </c>
      <c r="BF882" s="23"/>
      <c r="BG882" s="23" t="s">
        <v>3473</v>
      </c>
    </row>
    <row r="883" spans="1:59" ht="15" customHeight="1">
      <c r="A883" s="23" t="s">
        <v>3376</v>
      </c>
      <c r="B883" s="23" t="s">
        <v>3474</v>
      </c>
      <c r="C883" s="23" t="s">
        <v>3378</v>
      </c>
      <c r="D883" s="23">
        <v>256</v>
      </c>
      <c r="E883" s="23">
        <v>1</v>
      </c>
      <c r="F883" s="23" t="s">
        <v>3413</v>
      </c>
      <c r="G883" s="23" t="s">
        <v>3446</v>
      </c>
      <c r="J883" s="23" t="s">
        <v>31</v>
      </c>
      <c r="K883" s="23" t="s">
        <v>2426</v>
      </c>
      <c r="N883" s="23"/>
      <c r="O883" s="118"/>
      <c r="P883" s="119"/>
      <c r="Q883" s="120"/>
      <c r="R883" s="29"/>
      <c r="S883" s="121"/>
      <c r="T883" s="122"/>
      <c r="U883" s="118"/>
      <c r="V883" s="123"/>
      <c r="W883" s="124"/>
      <c r="X883" s="125"/>
      <c r="Y883" s="29"/>
      <c r="Z883" s="122"/>
      <c r="AA883" s="126"/>
      <c r="AB883" s="16"/>
      <c r="AE883" s="23"/>
      <c r="AF883" s="23" t="s">
        <v>3447</v>
      </c>
      <c r="AI883" s="23" t="s">
        <v>3475</v>
      </c>
      <c r="AL883" s="23" t="s">
        <v>31</v>
      </c>
      <c r="AM883" s="23" t="s">
        <v>2426</v>
      </c>
      <c r="AP883" s="23"/>
      <c r="AQ883" s="118"/>
      <c r="AR883" s="119"/>
      <c r="AS883" s="120"/>
      <c r="AT883" s="29"/>
      <c r="AU883" s="122"/>
      <c r="AV883" s="118"/>
      <c r="AW883" s="123"/>
      <c r="AX883" s="124"/>
      <c r="AY883" s="125">
        <v>7</v>
      </c>
      <c r="AZ883" s="29">
        <v>0</v>
      </c>
      <c r="BA883" s="122"/>
      <c r="BB883" s="126"/>
      <c r="BF883" s="23"/>
      <c r="BG883" s="23" t="s">
        <v>3476</v>
      </c>
    </row>
    <row r="884" spans="1:59" ht="15" customHeight="1">
      <c r="A884" s="23" t="s">
        <v>3376</v>
      </c>
      <c r="B884" s="23" t="s">
        <v>3477</v>
      </c>
      <c r="C884" s="23" t="s">
        <v>3378</v>
      </c>
      <c r="D884" s="23">
        <v>257</v>
      </c>
      <c r="E884" s="23">
        <v>1</v>
      </c>
      <c r="F884" s="23" t="s">
        <v>3413</v>
      </c>
      <c r="G884" s="23" t="s">
        <v>3446</v>
      </c>
      <c r="J884" s="23" t="s">
        <v>31</v>
      </c>
      <c r="K884" s="23" t="s">
        <v>2426</v>
      </c>
      <c r="N884" s="23"/>
      <c r="O884" s="118"/>
      <c r="P884" s="119"/>
      <c r="Q884" s="120"/>
      <c r="R884" s="29"/>
      <c r="S884" s="121"/>
      <c r="T884" s="122"/>
      <c r="U884" s="118"/>
      <c r="V884" s="123"/>
      <c r="W884" s="124"/>
      <c r="X884" s="125"/>
      <c r="Y884" s="29"/>
      <c r="Z884" s="122"/>
      <c r="AA884" s="126"/>
      <c r="AB884" s="16"/>
      <c r="AE884" s="23"/>
      <c r="AF884" s="23" t="s">
        <v>3447</v>
      </c>
      <c r="AI884" s="23" t="s">
        <v>3478</v>
      </c>
      <c r="AL884" s="23" t="s">
        <v>31</v>
      </c>
      <c r="AM884" s="23" t="s">
        <v>2426</v>
      </c>
      <c r="AP884" s="23"/>
      <c r="AQ884" s="118"/>
      <c r="AR884" s="119"/>
      <c r="AS884" s="120"/>
      <c r="AT884" s="29"/>
      <c r="AU884" s="122"/>
      <c r="AV884" s="118"/>
      <c r="AW884" s="123"/>
      <c r="AX884" s="124"/>
      <c r="AY884" s="125">
        <v>4</v>
      </c>
      <c r="AZ884" s="29" t="s">
        <v>1111</v>
      </c>
      <c r="BA884" s="122"/>
      <c r="BB884" s="126">
        <v>1</v>
      </c>
      <c r="BF884" s="23"/>
      <c r="BG884" s="23" t="s">
        <v>3479</v>
      </c>
    </row>
    <row r="885" spans="1:59" ht="15" customHeight="1">
      <c r="A885" s="23" t="s">
        <v>3376</v>
      </c>
      <c r="B885" s="23" t="s">
        <v>3480</v>
      </c>
      <c r="C885" s="23" t="s">
        <v>3378</v>
      </c>
      <c r="D885" s="23">
        <v>258</v>
      </c>
      <c r="E885" s="23">
        <v>3</v>
      </c>
      <c r="F885" s="23" t="s">
        <v>3413</v>
      </c>
      <c r="G885" s="23" t="s">
        <v>3481</v>
      </c>
      <c r="J885" s="23" t="s">
        <v>29</v>
      </c>
      <c r="K885" s="23" t="s">
        <v>2426</v>
      </c>
      <c r="N885" s="23"/>
      <c r="O885" s="118"/>
      <c r="P885" s="119"/>
      <c r="Q885" s="120">
        <v>3</v>
      </c>
      <c r="R885" s="29">
        <v>2</v>
      </c>
      <c r="S885" s="121"/>
      <c r="T885" s="122">
        <v>2</v>
      </c>
      <c r="U885" s="118"/>
      <c r="V885" s="123"/>
      <c r="W885" s="124">
        <v>1</v>
      </c>
      <c r="X885" s="125"/>
      <c r="Y885" s="29"/>
      <c r="Z885" s="122"/>
      <c r="AA885" s="126"/>
      <c r="AB885" s="16"/>
      <c r="AD885" s="23" t="s">
        <v>2802</v>
      </c>
      <c r="AE885" s="23"/>
      <c r="AF885" s="23" t="s">
        <v>3482</v>
      </c>
      <c r="AP885" s="23"/>
      <c r="AQ885" s="118"/>
      <c r="AR885" s="119"/>
      <c r="AS885" s="120"/>
      <c r="AT885" s="29"/>
      <c r="AU885" s="122"/>
      <c r="AV885" s="118"/>
      <c r="AW885" s="123"/>
      <c r="AX885" s="124"/>
      <c r="AY885" s="125"/>
      <c r="AZ885" s="29"/>
      <c r="BA885" s="122"/>
      <c r="BB885" s="126"/>
      <c r="BF885" s="23"/>
    </row>
    <row r="886" spans="1:59" ht="15" customHeight="1">
      <c r="A886" s="23" t="s">
        <v>3376</v>
      </c>
      <c r="B886" s="23" t="s">
        <v>3483</v>
      </c>
      <c r="C886" s="23" t="s">
        <v>3378</v>
      </c>
      <c r="D886" s="23">
        <v>259</v>
      </c>
      <c r="E886" s="23">
        <v>3</v>
      </c>
      <c r="F886" s="23" t="s">
        <v>3413</v>
      </c>
      <c r="G886" s="23" t="s">
        <v>3484</v>
      </c>
      <c r="J886" s="23" t="s">
        <v>29</v>
      </c>
      <c r="K886" s="23" t="s">
        <v>2426</v>
      </c>
      <c r="N886" s="23"/>
      <c r="O886" s="118"/>
      <c r="P886" s="119"/>
      <c r="Q886" s="120">
        <v>3</v>
      </c>
      <c r="R886" s="29">
        <v>4</v>
      </c>
      <c r="S886" s="121"/>
      <c r="T886" s="122">
        <v>5</v>
      </c>
      <c r="U886" s="118"/>
      <c r="V886" s="123">
        <v>2</v>
      </c>
      <c r="W886" s="124">
        <v>1</v>
      </c>
      <c r="X886" s="125"/>
      <c r="Y886" s="29"/>
      <c r="Z886" s="122"/>
      <c r="AA886" s="126"/>
      <c r="AB886" s="16"/>
      <c r="AD886" s="23" t="s">
        <v>2784</v>
      </c>
      <c r="AE886" s="23"/>
      <c r="AF886" s="23" t="s">
        <v>3485</v>
      </c>
      <c r="AP886" s="23"/>
      <c r="AQ886" s="118"/>
      <c r="AR886" s="119"/>
      <c r="AS886" s="120"/>
      <c r="AT886" s="29"/>
      <c r="AU886" s="122"/>
      <c r="AV886" s="118"/>
      <c r="AW886" s="123"/>
      <c r="AX886" s="124"/>
      <c r="AY886" s="125"/>
      <c r="AZ886" s="29"/>
      <c r="BA886" s="122"/>
      <c r="BB886" s="126"/>
      <c r="BF886" s="23"/>
    </row>
    <row r="887" spans="1:59" ht="15" customHeight="1">
      <c r="A887" s="23" t="s">
        <v>3376</v>
      </c>
      <c r="B887" s="23" t="s">
        <v>3486</v>
      </c>
      <c r="C887" s="23" t="s">
        <v>3378</v>
      </c>
      <c r="D887" s="23">
        <v>260</v>
      </c>
      <c r="E887" s="23">
        <v>3</v>
      </c>
      <c r="F887" s="23" t="s">
        <v>3413</v>
      </c>
      <c r="G887" s="23" t="s">
        <v>3487</v>
      </c>
      <c r="J887" s="23" t="s">
        <v>28</v>
      </c>
      <c r="K887" s="23" t="s">
        <v>2426</v>
      </c>
      <c r="N887" s="23"/>
      <c r="O887" s="118"/>
      <c r="P887" s="119"/>
      <c r="Q887" s="120"/>
      <c r="R887" s="29"/>
      <c r="S887" s="121"/>
      <c r="T887" s="122"/>
      <c r="U887" s="118"/>
      <c r="V887" s="123"/>
      <c r="W887" s="124"/>
      <c r="X887" s="125"/>
      <c r="Y887" s="29"/>
      <c r="Z887" s="122"/>
      <c r="AA887" s="126"/>
      <c r="AB887" s="16"/>
      <c r="AD887" s="23" t="s">
        <v>481</v>
      </c>
      <c r="AE887" s="23"/>
      <c r="AF887" s="23" t="s">
        <v>3488</v>
      </c>
      <c r="AP887" s="23"/>
      <c r="AQ887" s="118"/>
      <c r="AR887" s="119"/>
      <c r="AS887" s="120"/>
      <c r="AT887" s="29"/>
      <c r="AU887" s="122"/>
      <c r="AV887" s="118"/>
      <c r="AW887" s="123"/>
      <c r="AX887" s="124"/>
      <c r="AY887" s="125"/>
      <c r="AZ887" s="29"/>
      <c r="BA887" s="122"/>
      <c r="BB887" s="126"/>
      <c r="BF887" s="23"/>
    </row>
    <row r="888" spans="1:59" ht="15" customHeight="1">
      <c r="A888" s="23" t="s">
        <v>3376</v>
      </c>
      <c r="B888" s="23" t="s">
        <v>3489</v>
      </c>
      <c r="C888" s="23" t="s">
        <v>3378</v>
      </c>
      <c r="D888" s="23">
        <v>261</v>
      </c>
      <c r="E888" s="23">
        <v>3</v>
      </c>
      <c r="F888" s="23" t="s">
        <v>3413</v>
      </c>
      <c r="G888" s="23" t="s">
        <v>3490</v>
      </c>
      <c r="J888" s="23" t="s">
        <v>28</v>
      </c>
      <c r="K888" s="23" t="s">
        <v>2426</v>
      </c>
      <c r="N888" s="23"/>
      <c r="O888" s="118"/>
      <c r="P888" s="119"/>
      <c r="Q888" s="120"/>
      <c r="R888" s="29"/>
      <c r="S888" s="121"/>
      <c r="T888" s="122"/>
      <c r="U888" s="118"/>
      <c r="V888" s="123"/>
      <c r="W888" s="124"/>
      <c r="X888" s="125"/>
      <c r="Y888" s="29"/>
      <c r="Z888" s="122"/>
      <c r="AA888" s="126"/>
      <c r="AB888" s="16"/>
      <c r="AD888" s="23" t="s">
        <v>481</v>
      </c>
      <c r="AE888" s="23"/>
      <c r="AF888" s="23" t="s">
        <v>3491</v>
      </c>
      <c r="AP888" s="23"/>
      <c r="AQ888" s="118"/>
      <c r="AR888" s="119"/>
      <c r="AS888" s="120"/>
      <c r="AT888" s="29"/>
      <c r="AU888" s="122"/>
      <c r="AV888" s="118"/>
      <c r="AW888" s="123"/>
      <c r="AX888" s="124"/>
      <c r="AY888" s="125"/>
      <c r="AZ888" s="29"/>
      <c r="BA888" s="122"/>
      <c r="BB888" s="126"/>
      <c r="BF888" s="23"/>
    </row>
    <row r="889" spans="1:59" ht="15" customHeight="1">
      <c r="A889" s="23" t="s">
        <v>3376</v>
      </c>
      <c r="B889" s="23" t="s">
        <v>3492</v>
      </c>
      <c r="C889" s="23" t="s">
        <v>3378</v>
      </c>
      <c r="D889" s="23">
        <v>262</v>
      </c>
      <c r="E889" s="23">
        <v>3</v>
      </c>
      <c r="F889" s="23" t="s">
        <v>3413</v>
      </c>
      <c r="G889" s="23" t="s">
        <v>3493</v>
      </c>
      <c r="J889" s="23" t="s">
        <v>28</v>
      </c>
      <c r="K889" s="23" t="s">
        <v>2426</v>
      </c>
      <c r="N889" s="23"/>
      <c r="O889" s="118"/>
      <c r="P889" s="119"/>
      <c r="Q889" s="120"/>
      <c r="R889" s="29"/>
      <c r="S889" s="121"/>
      <c r="T889" s="122"/>
      <c r="U889" s="118"/>
      <c r="V889" s="123"/>
      <c r="W889" s="124"/>
      <c r="X889" s="125"/>
      <c r="Y889" s="29"/>
      <c r="Z889" s="122"/>
      <c r="AA889" s="126"/>
      <c r="AB889" s="16"/>
      <c r="AD889" s="23" t="s">
        <v>479</v>
      </c>
      <c r="AE889" s="23"/>
      <c r="AF889" s="23" t="s">
        <v>3494</v>
      </c>
      <c r="AP889" s="23"/>
      <c r="AQ889" s="118"/>
      <c r="AR889" s="119"/>
      <c r="AS889" s="120"/>
      <c r="AT889" s="29"/>
      <c r="AU889" s="122"/>
      <c r="AV889" s="118"/>
      <c r="AW889" s="123"/>
      <c r="AX889" s="124"/>
      <c r="AY889" s="125"/>
      <c r="AZ889" s="29"/>
      <c r="BA889" s="122"/>
      <c r="BB889" s="126"/>
      <c r="BF889" s="23"/>
    </row>
    <row r="890" spans="1:59" ht="15" customHeight="1">
      <c r="A890" s="23" t="s">
        <v>3497</v>
      </c>
      <c r="B890" s="23" t="s">
        <v>3498</v>
      </c>
      <c r="C890" s="23" t="s">
        <v>3632</v>
      </c>
      <c r="D890" s="24">
        <v>263</v>
      </c>
      <c r="E890" s="23">
        <v>2</v>
      </c>
      <c r="G890" s="23" t="s">
        <v>3499</v>
      </c>
      <c r="J890" s="23" t="s">
        <v>27</v>
      </c>
      <c r="K890" s="23" t="s">
        <v>198</v>
      </c>
      <c r="L890" s="23">
        <v>0</v>
      </c>
      <c r="N890" s="62">
        <v>1</v>
      </c>
      <c r="P890" s="64">
        <v>1</v>
      </c>
      <c r="Q890" s="65">
        <v>1</v>
      </c>
      <c r="AB890" s="23" t="s">
        <v>1091</v>
      </c>
      <c r="AD890" s="23" t="s">
        <v>307</v>
      </c>
      <c r="AF890" s="23" t="s">
        <v>3500</v>
      </c>
      <c r="AP890" s="73"/>
      <c r="AQ890" s="75"/>
      <c r="AR890" s="76"/>
      <c r="AS890" s="77"/>
      <c r="AV890" s="75"/>
      <c r="AW890" s="83"/>
      <c r="AX890" s="84"/>
      <c r="AY890" s="80"/>
      <c r="BB890" s="81"/>
    </row>
    <row r="891" spans="1:59" ht="15" customHeight="1">
      <c r="A891" s="23" t="s">
        <v>3497</v>
      </c>
      <c r="B891" s="23" t="s">
        <v>3501</v>
      </c>
      <c r="C891" s="23" t="s">
        <v>3632</v>
      </c>
      <c r="D891" s="24">
        <v>264</v>
      </c>
      <c r="E891" s="23">
        <v>2</v>
      </c>
      <c r="G891" s="23" t="s">
        <v>3502</v>
      </c>
      <c r="J891" s="23" t="s">
        <v>257</v>
      </c>
      <c r="K891" s="23" t="s">
        <v>198</v>
      </c>
      <c r="L891" s="23">
        <v>3</v>
      </c>
      <c r="N891" s="62" t="s">
        <v>38</v>
      </c>
      <c r="AD891" s="23" t="s">
        <v>289</v>
      </c>
      <c r="AE891" s="24" t="s">
        <v>3653</v>
      </c>
      <c r="AF891" s="23" t="s">
        <v>4284</v>
      </c>
      <c r="AP891" s="73"/>
      <c r="AQ891" s="75"/>
      <c r="AR891" s="76"/>
      <c r="AS891" s="77"/>
      <c r="AV891" s="75"/>
      <c r="AW891" s="83"/>
      <c r="AX891" s="84"/>
      <c r="AY891" s="80"/>
      <c r="BB891" s="81"/>
    </row>
    <row r="892" spans="1:59" ht="15" customHeight="1">
      <c r="A892" s="23" t="s">
        <v>3497</v>
      </c>
      <c r="B892" s="23" t="s">
        <v>3503</v>
      </c>
      <c r="C892" s="23" t="s">
        <v>3632</v>
      </c>
      <c r="D892" s="24">
        <v>265</v>
      </c>
      <c r="E892" s="23">
        <v>2</v>
      </c>
      <c r="G892" s="23" t="s">
        <v>3504</v>
      </c>
      <c r="J892" s="23" t="s">
        <v>27</v>
      </c>
      <c r="K892" s="23" t="s">
        <v>199</v>
      </c>
      <c r="L892" s="23">
        <v>0</v>
      </c>
      <c r="N892" s="62">
        <v>0</v>
      </c>
      <c r="S892" s="113">
        <v>1</v>
      </c>
      <c r="AB892" s="23" t="s">
        <v>208</v>
      </c>
      <c r="AD892" s="23" t="s">
        <v>340</v>
      </c>
      <c r="AF892" s="23" t="s">
        <v>3505</v>
      </c>
      <c r="AP892" s="73"/>
      <c r="AQ892" s="75"/>
      <c r="AR892" s="76"/>
      <c r="AS892" s="77"/>
      <c r="AV892" s="75"/>
      <c r="AW892" s="83"/>
      <c r="AX892" s="84"/>
      <c r="AY892" s="80"/>
      <c r="BB892" s="81"/>
    </row>
    <row r="893" spans="1:59" ht="15" customHeight="1">
      <c r="A893" s="23" t="s">
        <v>3497</v>
      </c>
      <c r="B893" s="23" t="s">
        <v>3506</v>
      </c>
      <c r="C893" s="23" t="s">
        <v>3632</v>
      </c>
      <c r="D893" s="24">
        <v>266</v>
      </c>
      <c r="E893" s="23">
        <v>2</v>
      </c>
      <c r="G893" s="23" t="s">
        <v>3507</v>
      </c>
      <c r="J893" s="23" t="s">
        <v>257</v>
      </c>
      <c r="K893" s="23" t="s">
        <v>199</v>
      </c>
      <c r="L893" s="23">
        <v>4</v>
      </c>
      <c r="N893" s="62">
        <v>3</v>
      </c>
      <c r="O893" s="63">
        <v>1</v>
      </c>
      <c r="P893" s="64">
        <v>1</v>
      </c>
      <c r="AB893" s="23" t="s">
        <v>2322</v>
      </c>
      <c r="AC893" s="23" t="s">
        <v>378</v>
      </c>
      <c r="AD893" s="23" t="s">
        <v>279</v>
      </c>
      <c r="AF893" s="23" t="s">
        <v>3508</v>
      </c>
      <c r="AP893" s="73"/>
      <c r="AQ893" s="75"/>
      <c r="AR893" s="76"/>
      <c r="AS893" s="77"/>
      <c r="AV893" s="75"/>
      <c r="AW893" s="83"/>
      <c r="AX893" s="84"/>
      <c r="AY893" s="80"/>
      <c r="BB893" s="81"/>
    </row>
    <row r="894" spans="1:59" ht="15" customHeight="1">
      <c r="A894" s="23" t="s">
        <v>3497</v>
      </c>
      <c r="B894" s="23" t="s">
        <v>3509</v>
      </c>
      <c r="C894" s="23" t="s">
        <v>3632</v>
      </c>
      <c r="D894" s="24">
        <v>267</v>
      </c>
      <c r="E894" s="23">
        <v>2</v>
      </c>
      <c r="G894" s="23" t="s">
        <v>3510</v>
      </c>
      <c r="J894" s="23" t="s">
        <v>27</v>
      </c>
      <c r="K894" s="23" t="s">
        <v>201</v>
      </c>
      <c r="L894" s="23">
        <v>0</v>
      </c>
      <c r="N894" s="62">
        <v>0</v>
      </c>
      <c r="R894" s="66">
        <v>2</v>
      </c>
      <c r="AB894" s="23" t="s">
        <v>1095</v>
      </c>
      <c r="AD894" s="23" t="s">
        <v>372</v>
      </c>
      <c r="AF894" s="23" t="s">
        <v>3511</v>
      </c>
      <c r="AP894" s="73"/>
      <c r="AQ894" s="75"/>
      <c r="AR894" s="76"/>
      <c r="AS894" s="77"/>
      <c r="AV894" s="75"/>
      <c r="AW894" s="83"/>
      <c r="AX894" s="84"/>
      <c r="AY894" s="80"/>
      <c r="BB894" s="81"/>
    </row>
    <row r="895" spans="1:59" ht="15" customHeight="1">
      <c r="A895" s="23" t="s">
        <v>3497</v>
      </c>
      <c r="B895" s="23" t="s">
        <v>3512</v>
      </c>
      <c r="C895" s="23" t="s">
        <v>3632</v>
      </c>
      <c r="D895" s="24">
        <v>268</v>
      </c>
      <c r="E895" s="23">
        <v>2</v>
      </c>
      <c r="G895" s="23" t="s">
        <v>3513</v>
      </c>
      <c r="J895" s="23" t="s">
        <v>257</v>
      </c>
      <c r="K895" s="23" t="s">
        <v>201</v>
      </c>
      <c r="L895" s="23">
        <v>4</v>
      </c>
      <c r="N895" s="62">
        <v>3</v>
      </c>
      <c r="O895" s="63">
        <v>1</v>
      </c>
      <c r="R895" s="66">
        <v>1</v>
      </c>
      <c r="AB895" s="23" t="s">
        <v>2188</v>
      </c>
      <c r="AC895" s="23" t="s">
        <v>378</v>
      </c>
      <c r="AD895" s="23" t="s">
        <v>279</v>
      </c>
      <c r="AF895" s="23" t="s">
        <v>3514</v>
      </c>
      <c r="AP895" s="73"/>
      <c r="AQ895" s="75"/>
      <c r="AR895" s="76"/>
      <c r="AS895" s="77"/>
      <c r="AV895" s="75"/>
      <c r="AW895" s="83"/>
      <c r="AX895" s="84"/>
      <c r="AY895" s="80"/>
      <c r="BB895" s="81"/>
    </row>
    <row r="896" spans="1:59" ht="15" customHeight="1">
      <c r="A896" s="23" t="s">
        <v>3497</v>
      </c>
      <c r="B896" s="23" t="s">
        <v>3515</v>
      </c>
      <c r="C896" s="23" t="s">
        <v>3632</v>
      </c>
      <c r="D896" s="24">
        <v>269</v>
      </c>
      <c r="E896" s="23">
        <v>2</v>
      </c>
      <c r="G896" s="23" t="s">
        <v>3516</v>
      </c>
      <c r="H896" s="23" t="s">
        <v>3517</v>
      </c>
      <c r="I896" s="23" t="s">
        <v>223</v>
      </c>
      <c r="J896" s="23" t="s">
        <v>257</v>
      </c>
      <c r="K896" s="23" t="s">
        <v>200</v>
      </c>
      <c r="L896" s="23">
        <v>0</v>
      </c>
      <c r="N896" s="62">
        <v>4</v>
      </c>
      <c r="O896" s="63">
        <v>1</v>
      </c>
      <c r="AB896" s="23" t="s">
        <v>204</v>
      </c>
      <c r="AC896" s="23" t="s">
        <v>275</v>
      </c>
      <c r="AD896" s="23" t="s">
        <v>375</v>
      </c>
      <c r="AF896" s="23" t="s">
        <v>3518</v>
      </c>
      <c r="AP896" s="73"/>
      <c r="AQ896" s="75"/>
      <c r="AR896" s="76"/>
      <c r="AS896" s="77"/>
      <c r="AV896" s="75"/>
      <c r="AW896" s="83"/>
      <c r="AX896" s="84"/>
      <c r="AY896" s="80"/>
      <c r="BB896" s="81"/>
    </row>
    <row r="897" spans="1:59" ht="15" customHeight="1">
      <c r="A897" s="23" t="s">
        <v>3497</v>
      </c>
      <c r="B897" s="23" t="s">
        <v>3519</v>
      </c>
      <c r="C897" s="23" t="s">
        <v>3632</v>
      </c>
      <c r="D897" s="24">
        <v>270</v>
      </c>
      <c r="E897" s="23">
        <v>2</v>
      </c>
      <c r="G897" s="23" t="s">
        <v>673</v>
      </c>
      <c r="J897" s="23" t="s">
        <v>27</v>
      </c>
      <c r="K897" s="23" t="s">
        <v>200</v>
      </c>
      <c r="L897" s="23">
        <v>2</v>
      </c>
      <c r="N897" s="62">
        <v>1</v>
      </c>
      <c r="S897" s="113">
        <v>1</v>
      </c>
      <c r="AB897" s="23" t="s">
        <v>208</v>
      </c>
      <c r="AD897" s="23" t="s">
        <v>674</v>
      </c>
      <c r="AF897" s="23" t="s">
        <v>3520</v>
      </c>
      <c r="AP897" s="73"/>
      <c r="AQ897" s="75"/>
      <c r="AR897" s="76"/>
      <c r="AS897" s="77"/>
      <c r="AV897" s="75"/>
      <c r="AW897" s="83"/>
      <c r="AX897" s="84"/>
      <c r="AY897" s="80"/>
      <c r="BB897" s="81"/>
    </row>
    <row r="898" spans="1:59" ht="15" customHeight="1">
      <c r="A898" s="23" t="s">
        <v>3497</v>
      </c>
      <c r="B898" s="23" t="s">
        <v>3521</v>
      </c>
      <c r="C898" s="23" t="s">
        <v>3632</v>
      </c>
      <c r="D898" s="24">
        <v>271</v>
      </c>
      <c r="E898" s="23">
        <v>2</v>
      </c>
      <c r="G898" s="23" t="s">
        <v>669</v>
      </c>
      <c r="J898" s="23" t="s">
        <v>257</v>
      </c>
      <c r="K898" s="23" t="s">
        <v>200</v>
      </c>
      <c r="L898" s="23">
        <v>3</v>
      </c>
      <c r="N898" s="62">
        <v>0</v>
      </c>
      <c r="O898" s="63">
        <v>1</v>
      </c>
      <c r="Q898" s="65">
        <v>1</v>
      </c>
      <c r="T898" s="68">
        <v>1</v>
      </c>
      <c r="U898" s="63">
        <v>3</v>
      </c>
      <c r="AB898" s="23" t="s">
        <v>2179</v>
      </c>
      <c r="AC898" s="23" t="s">
        <v>25</v>
      </c>
      <c r="AD898" s="23" t="s">
        <v>670</v>
      </c>
      <c r="AF898" s="23" t="s">
        <v>3522</v>
      </c>
      <c r="AP898" s="73"/>
      <c r="AQ898" s="75"/>
      <c r="AR898" s="76"/>
      <c r="AS898" s="77"/>
      <c r="AV898" s="75"/>
      <c r="AW898" s="83"/>
      <c r="AX898" s="84"/>
      <c r="AY898" s="80"/>
      <c r="BB898" s="81"/>
    </row>
    <row r="899" spans="1:59" ht="15" customHeight="1">
      <c r="A899" s="23" t="s">
        <v>3497</v>
      </c>
      <c r="B899" s="23" t="s">
        <v>3523</v>
      </c>
      <c r="C899" s="23" t="s">
        <v>3632</v>
      </c>
      <c r="D899" s="24">
        <v>272</v>
      </c>
      <c r="E899" s="23">
        <v>2</v>
      </c>
      <c r="G899" s="23" t="s">
        <v>3524</v>
      </c>
      <c r="J899" s="23" t="s">
        <v>312</v>
      </c>
      <c r="K899" s="23" t="s">
        <v>202</v>
      </c>
      <c r="L899" s="23">
        <v>0</v>
      </c>
      <c r="O899" s="63">
        <v>1</v>
      </c>
      <c r="Q899" s="65">
        <v>1</v>
      </c>
      <c r="R899" s="66">
        <v>1</v>
      </c>
      <c r="AB899" s="23" t="s">
        <v>3396</v>
      </c>
      <c r="AD899" s="23" t="s">
        <v>412</v>
      </c>
      <c r="AF899" s="23" t="s">
        <v>3525</v>
      </c>
      <c r="AP899" s="73"/>
      <c r="AQ899" s="75"/>
      <c r="AR899" s="76"/>
      <c r="AS899" s="77"/>
      <c r="AV899" s="75"/>
      <c r="AW899" s="83"/>
      <c r="AX899" s="84"/>
      <c r="AY899" s="80"/>
      <c r="BB899" s="81"/>
    </row>
    <row r="900" spans="1:59" ht="15" customHeight="1">
      <c r="A900" s="23" t="s">
        <v>3497</v>
      </c>
      <c r="B900" s="23" t="s">
        <v>3526</v>
      </c>
      <c r="C900" s="23" t="s">
        <v>3632</v>
      </c>
      <c r="D900" s="24">
        <v>273</v>
      </c>
      <c r="E900" s="23">
        <v>2</v>
      </c>
      <c r="G900" s="23" t="s">
        <v>3527</v>
      </c>
      <c r="J900" s="23" t="s">
        <v>27</v>
      </c>
      <c r="K900" s="23" t="s">
        <v>202</v>
      </c>
      <c r="L900" s="23">
        <v>3</v>
      </c>
      <c r="N900" s="62">
        <v>3</v>
      </c>
      <c r="AD900" s="23" t="s">
        <v>1805</v>
      </c>
      <c r="AF900" s="23" t="s">
        <v>3528</v>
      </c>
      <c r="AP900" s="73"/>
      <c r="AQ900" s="75"/>
      <c r="AR900" s="76"/>
      <c r="AS900" s="77"/>
      <c r="AV900" s="75"/>
      <c r="AW900" s="83"/>
      <c r="AX900" s="84"/>
      <c r="AY900" s="80"/>
      <c r="BB900" s="81"/>
    </row>
    <row r="901" spans="1:59" ht="15" customHeight="1">
      <c r="A901" s="23" t="s">
        <v>3497</v>
      </c>
      <c r="B901" s="23" t="s">
        <v>3529</v>
      </c>
      <c r="C901" s="23" t="s">
        <v>3632</v>
      </c>
      <c r="D901" s="24">
        <v>274</v>
      </c>
      <c r="E901" s="23">
        <v>1</v>
      </c>
      <c r="F901" s="23" t="s">
        <v>2787</v>
      </c>
      <c r="G901" s="23" t="s">
        <v>2787</v>
      </c>
      <c r="J901" s="23" t="s">
        <v>618</v>
      </c>
      <c r="K901" s="23" t="s">
        <v>2426</v>
      </c>
      <c r="AF901" s="23" t="s">
        <v>3530</v>
      </c>
      <c r="AI901" s="23" t="s">
        <v>2787</v>
      </c>
      <c r="AL901" s="23" t="s">
        <v>618</v>
      </c>
      <c r="AM901" s="23" t="s">
        <v>2426</v>
      </c>
      <c r="AP901" s="73"/>
      <c r="AQ901" s="75"/>
      <c r="AR901" s="76"/>
      <c r="AS901" s="77"/>
      <c r="AV901" s="75"/>
      <c r="AW901" s="83"/>
      <c r="AX901" s="84"/>
      <c r="AY901" s="80"/>
      <c r="BB901" s="81"/>
      <c r="BG901" s="23" t="s">
        <v>3531</v>
      </c>
    </row>
    <row r="902" spans="1:59" ht="15" customHeight="1">
      <c r="A902" s="23" t="s">
        <v>3497</v>
      </c>
      <c r="B902" s="23" t="s">
        <v>3532</v>
      </c>
      <c r="C902" s="23" t="s">
        <v>3632</v>
      </c>
      <c r="D902" s="24">
        <v>275</v>
      </c>
      <c r="E902" s="23">
        <v>1</v>
      </c>
      <c r="F902" s="23" t="s">
        <v>2787</v>
      </c>
      <c r="G902" s="23" t="s">
        <v>3533</v>
      </c>
      <c r="J902" s="23" t="s">
        <v>619</v>
      </c>
      <c r="K902" s="23" t="s">
        <v>2426</v>
      </c>
      <c r="L902" s="23">
        <v>1</v>
      </c>
      <c r="Z902" s="68">
        <v>5</v>
      </c>
      <c r="AF902" s="23" t="s">
        <v>3534</v>
      </c>
      <c r="AI902" s="23" t="s">
        <v>3535</v>
      </c>
      <c r="AL902" s="23" t="s">
        <v>619</v>
      </c>
      <c r="AM902" s="23" t="s">
        <v>2426</v>
      </c>
      <c r="AN902" s="23">
        <v>1</v>
      </c>
      <c r="AP902" s="73"/>
      <c r="AQ902" s="75"/>
      <c r="AR902" s="76"/>
      <c r="AS902" s="77"/>
      <c r="AV902" s="75"/>
      <c r="AW902" s="83"/>
      <c r="AX902" s="84"/>
      <c r="AY902" s="80"/>
      <c r="BB902" s="81"/>
      <c r="BG902" s="23" t="s">
        <v>3536</v>
      </c>
    </row>
    <row r="903" spans="1:59" ht="15" customHeight="1">
      <c r="A903" s="23" t="s">
        <v>3497</v>
      </c>
      <c r="B903" s="23" t="s">
        <v>3537</v>
      </c>
      <c r="C903" s="23" t="s">
        <v>3632</v>
      </c>
      <c r="D903" s="24">
        <v>276</v>
      </c>
      <c r="E903" s="23">
        <v>1</v>
      </c>
      <c r="F903" s="23" t="s">
        <v>3538</v>
      </c>
      <c r="G903" s="23" t="s">
        <v>3539</v>
      </c>
      <c r="J903" s="23" t="s">
        <v>619</v>
      </c>
      <c r="K903" s="23" t="s">
        <v>2426</v>
      </c>
      <c r="L903" s="23">
        <v>2</v>
      </c>
      <c r="Z903" s="68">
        <v>6</v>
      </c>
      <c r="AF903" s="23" t="s">
        <v>3540</v>
      </c>
      <c r="AI903" s="23" t="s">
        <v>3541</v>
      </c>
      <c r="AL903" s="23" t="s">
        <v>619</v>
      </c>
      <c r="AM903" s="23" t="s">
        <v>2426</v>
      </c>
      <c r="AN903" s="23">
        <v>2</v>
      </c>
      <c r="AP903" s="73"/>
      <c r="AQ903" s="75"/>
      <c r="AR903" s="76"/>
      <c r="AS903" s="77"/>
      <c r="AV903" s="75"/>
      <c r="AW903" s="83"/>
      <c r="AX903" s="84"/>
      <c r="AY903" s="80"/>
      <c r="BB903" s="81"/>
      <c r="BG903" s="23" t="s">
        <v>3542</v>
      </c>
    </row>
    <row r="904" spans="1:59" ht="15" customHeight="1">
      <c r="A904" s="23" t="s">
        <v>3497</v>
      </c>
      <c r="B904" s="23" t="s">
        <v>3543</v>
      </c>
      <c r="C904" s="23" t="s">
        <v>3632</v>
      </c>
      <c r="D904" s="24">
        <v>276</v>
      </c>
      <c r="E904" s="23">
        <v>1</v>
      </c>
      <c r="F904" s="23" t="s">
        <v>3544</v>
      </c>
      <c r="G904" s="23" t="s">
        <v>3539</v>
      </c>
      <c r="J904" s="23" t="s">
        <v>619</v>
      </c>
      <c r="K904" s="23" t="s">
        <v>2426</v>
      </c>
      <c r="L904" s="23">
        <v>2</v>
      </c>
      <c r="Z904" s="68">
        <v>6</v>
      </c>
      <c r="AF904" s="23" t="s">
        <v>3540</v>
      </c>
      <c r="AI904" s="23" t="s">
        <v>2938</v>
      </c>
      <c r="AL904" s="23" t="s">
        <v>619</v>
      </c>
      <c r="AM904" s="23" t="s">
        <v>2426</v>
      </c>
      <c r="AN904" s="23">
        <v>2</v>
      </c>
      <c r="AP904" s="73"/>
      <c r="AQ904" s="75"/>
      <c r="AR904" s="76"/>
      <c r="AS904" s="77"/>
      <c r="AV904" s="75"/>
      <c r="AW904" s="83"/>
      <c r="AX904" s="84"/>
      <c r="AY904" s="80"/>
      <c r="BB904" s="81"/>
      <c r="BG904" s="23" t="s">
        <v>3545</v>
      </c>
    </row>
    <row r="905" spans="1:59" ht="15" customHeight="1">
      <c r="A905" s="23" t="s">
        <v>3497</v>
      </c>
      <c r="B905" s="23" t="s">
        <v>3546</v>
      </c>
      <c r="C905" s="23" t="s">
        <v>3632</v>
      </c>
      <c r="D905" s="24">
        <v>277</v>
      </c>
      <c r="E905" s="23">
        <v>1</v>
      </c>
      <c r="F905" s="23" t="s">
        <v>2787</v>
      </c>
      <c r="G905" s="23" t="s">
        <v>3547</v>
      </c>
      <c r="J905" s="23" t="s">
        <v>619</v>
      </c>
      <c r="K905" s="23" t="s">
        <v>2426</v>
      </c>
      <c r="L905" s="23">
        <v>3</v>
      </c>
      <c r="Z905" s="68">
        <v>8</v>
      </c>
      <c r="AF905" s="23" t="s">
        <v>3548</v>
      </c>
      <c r="AI905" s="23" t="s">
        <v>3549</v>
      </c>
      <c r="AL905" s="23" t="s">
        <v>619</v>
      </c>
      <c r="AM905" s="23" t="s">
        <v>2426</v>
      </c>
      <c r="AN905" s="23">
        <v>3</v>
      </c>
      <c r="AP905" s="73"/>
      <c r="AQ905" s="75"/>
      <c r="AR905" s="76"/>
      <c r="AS905" s="77"/>
      <c r="AV905" s="75"/>
      <c r="AW905" s="83"/>
      <c r="AX905" s="84"/>
      <c r="AY905" s="80"/>
      <c r="BB905" s="81"/>
      <c r="BG905" s="23" t="s">
        <v>1487</v>
      </c>
    </row>
    <row r="906" spans="1:59" ht="15" customHeight="1">
      <c r="A906" s="23" t="s">
        <v>3497</v>
      </c>
      <c r="B906" s="23" t="s">
        <v>3550</v>
      </c>
      <c r="C906" s="23" t="s">
        <v>3632</v>
      </c>
      <c r="D906" s="24">
        <v>278</v>
      </c>
      <c r="E906" s="23">
        <v>1</v>
      </c>
      <c r="F906" s="23" t="s">
        <v>2787</v>
      </c>
      <c r="G906" s="23" t="s">
        <v>788</v>
      </c>
      <c r="J906" s="23" t="s">
        <v>619</v>
      </c>
      <c r="K906" s="23" t="s">
        <v>2426</v>
      </c>
      <c r="L906" s="23">
        <v>1</v>
      </c>
      <c r="Z906" s="68">
        <v>5</v>
      </c>
      <c r="AF906" s="23" t="s">
        <v>3551</v>
      </c>
      <c r="AI906" s="23" t="s">
        <v>3552</v>
      </c>
      <c r="AL906" s="23" t="s">
        <v>619</v>
      </c>
      <c r="AM906" s="23" t="s">
        <v>2426</v>
      </c>
      <c r="AN906" s="23">
        <v>1</v>
      </c>
      <c r="AP906" s="73"/>
      <c r="AQ906" s="75"/>
      <c r="AR906" s="76"/>
      <c r="AS906" s="77"/>
      <c r="AV906" s="75"/>
      <c r="AW906" s="83"/>
      <c r="AX906" s="84"/>
      <c r="AY906" s="80"/>
      <c r="BB906" s="81"/>
      <c r="BG906" s="23" t="s">
        <v>3553</v>
      </c>
    </row>
    <row r="907" spans="1:59" ht="15" customHeight="1">
      <c r="A907" s="23" t="s">
        <v>3497</v>
      </c>
      <c r="B907" s="23" t="s">
        <v>3554</v>
      </c>
      <c r="C907" s="23" t="s">
        <v>3632</v>
      </c>
      <c r="D907" s="24">
        <v>279</v>
      </c>
      <c r="E907" s="23">
        <v>1</v>
      </c>
      <c r="F907" s="23" t="s">
        <v>3544</v>
      </c>
      <c r="G907" s="23" t="s">
        <v>3555</v>
      </c>
      <c r="J907" s="23" t="s">
        <v>619</v>
      </c>
      <c r="K907" s="23" t="s">
        <v>2426</v>
      </c>
      <c r="L907" s="23">
        <v>2</v>
      </c>
      <c r="Z907" s="68">
        <v>6</v>
      </c>
      <c r="AF907" s="23" t="s">
        <v>3556</v>
      </c>
      <c r="AI907" s="23" t="s">
        <v>3541</v>
      </c>
      <c r="AL907" s="23" t="s">
        <v>619</v>
      </c>
      <c r="AM907" s="23" t="s">
        <v>2426</v>
      </c>
      <c r="AN907" s="23">
        <v>2</v>
      </c>
      <c r="AP907" s="73"/>
      <c r="AQ907" s="75"/>
      <c r="AR907" s="76"/>
      <c r="AS907" s="77"/>
      <c r="AV907" s="75"/>
      <c r="AW907" s="83"/>
      <c r="AX907" s="84"/>
      <c r="AY907" s="80"/>
      <c r="BB907" s="81"/>
      <c r="BG907" s="23" t="s">
        <v>3557</v>
      </c>
    </row>
    <row r="908" spans="1:59" ht="15" customHeight="1">
      <c r="A908" s="23" t="s">
        <v>3497</v>
      </c>
      <c r="B908" s="23" t="s">
        <v>3558</v>
      </c>
      <c r="C908" s="23" t="s">
        <v>3632</v>
      </c>
      <c r="D908" s="24">
        <v>279</v>
      </c>
      <c r="E908" s="23">
        <v>1</v>
      </c>
      <c r="F908" s="23" t="s">
        <v>3538</v>
      </c>
      <c r="G908" s="23" t="s">
        <v>3555</v>
      </c>
      <c r="J908" s="23" t="s">
        <v>619</v>
      </c>
      <c r="K908" s="23" t="s">
        <v>2426</v>
      </c>
      <c r="L908" s="23">
        <v>2</v>
      </c>
      <c r="Z908" s="68">
        <v>6</v>
      </c>
      <c r="AF908" s="23" t="s">
        <v>3556</v>
      </c>
      <c r="AI908" s="23" t="s">
        <v>2938</v>
      </c>
      <c r="AL908" s="23" t="s">
        <v>619</v>
      </c>
      <c r="AM908" s="23" t="s">
        <v>2426</v>
      </c>
      <c r="AN908" s="23">
        <v>2</v>
      </c>
      <c r="AP908" s="73"/>
      <c r="AQ908" s="75"/>
      <c r="AR908" s="76"/>
      <c r="AS908" s="77"/>
      <c r="AV908" s="75"/>
      <c r="AW908" s="83"/>
      <c r="AX908" s="84"/>
      <c r="AY908" s="80"/>
      <c r="BB908" s="81"/>
      <c r="BG908" s="23" t="s">
        <v>3559</v>
      </c>
    </row>
    <row r="909" spans="1:59" ht="15" customHeight="1">
      <c r="A909" s="23" t="s">
        <v>3497</v>
      </c>
      <c r="B909" s="23" t="s">
        <v>3560</v>
      </c>
      <c r="C909" s="23" t="s">
        <v>3632</v>
      </c>
      <c r="D909" s="24">
        <v>280</v>
      </c>
      <c r="E909" s="23">
        <v>1</v>
      </c>
      <c r="F909" s="23" t="s">
        <v>2787</v>
      </c>
      <c r="G909" s="23" t="s">
        <v>3561</v>
      </c>
      <c r="J909" s="23" t="s">
        <v>619</v>
      </c>
      <c r="K909" s="23" t="s">
        <v>2426</v>
      </c>
      <c r="L909" s="23">
        <v>3</v>
      </c>
      <c r="Z909" s="68">
        <v>8</v>
      </c>
      <c r="AF909" s="23" t="s">
        <v>3562</v>
      </c>
      <c r="AI909" s="23" t="s">
        <v>3549</v>
      </c>
      <c r="AL909" s="23" t="s">
        <v>619</v>
      </c>
      <c r="AM909" s="23" t="s">
        <v>2426</v>
      </c>
      <c r="AN909" s="23">
        <v>3</v>
      </c>
      <c r="AP909" s="73"/>
      <c r="AQ909" s="75"/>
      <c r="AR909" s="76"/>
      <c r="AS909" s="77"/>
      <c r="AV909" s="75"/>
      <c r="AW909" s="83"/>
      <c r="AX909" s="84"/>
      <c r="AY909" s="80"/>
      <c r="BB909" s="81"/>
      <c r="BG909" s="23" t="s">
        <v>1487</v>
      </c>
    </row>
    <row r="910" spans="1:59" ht="15" customHeight="1">
      <c r="A910" s="23" t="s">
        <v>3497</v>
      </c>
      <c r="B910" s="23" t="s">
        <v>3563</v>
      </c>
      <c r="C910" s="23" t="s">
        <v>3632</v>
      </c>
      <c r="D910" s="24">
        <v>281</v>
      </c>
      <c r="E910" s="23">
        <v>1</v>
      </c>
      <c r="F910" s="23" t="s">
        <v>2787</v>
      </c>
      <c r="G910" s="23" t="s">
        <v>3564</v>
      </c>
      <c r="J910" s="23" t="s">
        <v>621</v>
      </c>
      <c r="K910" s="23" t="s">
        <v>2426</v>
      </c>
      <c r="L910" s="23">
        <v>3</v>
      </c>
      <c r="Y910" s="66" t="s">
        <v>38</v>
      </c>
      <c r="AF910" s="23" t="s">
        <v>3565</v>
      </c>
      <c r="AI910" s="23" t="s">
        <v>3566</v>
      </c>
      <c r="AL910" s="23" t="s">
        <v>621</v>
      </c>
      <c r="AM910" s="23" t="s">
        <v>2426</v>
      </c>
      <c r="AN910" s="23">
        <v>3</v>
      </c>
      <c r="AP910" s="73"/>
      <c r="AQ910" s="75"/>
      <c r="AR910" s="76"/>
      <c r="AS910" s="77"/>
      <c r="AV910" s="75"/>
      <c r="AW910" s="83"/>
      <c r="AX910" s="84"/>
      <c r="AY910" s="80"/>
      <c r="BB910" s="81"/>
      <c r="BG910" s="23" t="s">
        <v>1886</v>
      </c>
    </row>
    <row r="911" spans="1:59" ht="15" customHeight="1">
      <c r="A911" s="23" t="s">
        <v>3497</v>
      </c>
      <c r="B911" s="23" t="s">
        <v>3567</v>
      </c>
      <c r="C911" s="23" t="s">
        <v>3632</v>
      </c>
      <c r="D911" s="24">
        <v>282</v>
      </c>
      <c r="E911" s="23">
        <v>1</v>
      </c>
      <c r="F911" s="23" t="s">
        <v>2787</v>
      </c>
      <c r="G911" s="23" t="s">
        <v>3568</v>
      </c>
      <c r="J911" s="23" t="s">
        <v>621</v>
      </c>
      <c r="K911" s="23" t="s">
        <v>2426</v>
      </c>
      <c r="L911" s="23">
        <v>3</v>
      </c>
      <c r="Y911" s="66" t="s">
        <v>38</v>
      </c>
      <c r="AF911" s="23" t="s">
        <v>3569</v>
      </c>
      <c r="AI911" s="23" t="s">
        <v>3566</v>
      </c>
      <c r="AL911" s="23" t="s">
        <v>621</v>
      </c>
      <c r="AM911" s="23" t="s">
        <v>2426</v>
      </c>
      <c r="AN911" s="23">
        <v>3</v>
      </c>
      <c r="AP911" s="73"/>
      <c r="AQ911" s="75"/>
      <c r="AR911" s="76"/>
      <c r="AS911" s="77"/>
      <c r="AV911" s="75"/>
      <c r="AW911" s="83"/>
      <c r="AX911" s="84"/>
      <c r="AY911" s="80"/>
      <c r="BB911" s="81"/>
      <c r="BG911" s="23" t="s">
        <v>2212</v>
      </c>
    </row>
    <row r="912" spans="1:59" ht="15" customHeight="1">
      <c r="A912" s="23" t="s">
        <v>3497</v>
      </c>
      <c r="B912" s="23" t="s">
        <v>3570</v>
      </c>
      <c r="C912" s="23" t="s">
        <v>3632</v>
      </c>
      <c r="D912" s="24">
        <v>283</v>
      </c>
      <c r="E912" s="23">
        <v>1</v>
      </c>
      <c r="F912" s="23" t="s">
        <v>2787</v>
      </c>
      <c r="G912" s="23" t="s">
        <v>3571</v>
      </c>
      <c r="J912" s="23" t="s">
        <v>31</v>
      </c>
      <c r="K912" s="23" t="s">
        <v>2426</v>
      </c>
      <c r="AI912" s="23" t="s">
        <v>3571</v>
      </c>
      <c r="AL912" s="23" t="s">
        <v>31</v>
      </c>
      <c r="AM912" s="23" t="s">
        <v>2426</v>
      </c>
      <c r="AP912" s="73"/>
      <c r="AQ912" s="75"/>
      <c r="AR912" s="76"/>
      <c r="AS912" s="77"/>
      <c r="AV912" s="75"/>
      <c r="AW912" s="83"/>
      <c r="AX912" s="84"/>
      <c r="AY912" s="80">
        <v>3</v>
      </c>
      <c r="AZ912" s="66" t="s">
        <v>1073</v>
      </c>
      <c r="BB912" s="81"/>
      <c r="BG912" s="23" t="s">
        <v>3572</v>
      </c>
    </row>
    <row r="913" spans="1:59" ht="15" customHeight="1">
      <c r="A913" s="23" t="s">
        <v>3497</v>
      </c>
      <c r="B913" s="23" t="s">
        <v>3573</v>
      </c>
      <c r="C913" s="23" t="s">
        <v>3632</v>
      </c>
      <c r="D913" s="24">
        <v>284</v>
      </c>
      <c r="E913" s="23">
        <v>1</v>
      </c>
      <c r="F913" s="23" t="s">
        <v>2787</v>
      </c>
      <c r="G913" s="23" t="s">
        <v>3574</v>
      </c>
      <c r="J913" s="23" t="s">
        <v>31</v>
      </c>
      <c r="K913" s="23" t="s">
        <v>2426</v>
      </c>
      <c r="AI913" s="23" t="s">
        <v>3574</v>
      </c>
      <c r="AL913" s="23" t="s">
        <v>31</v>
      </c>
      <c r="AM913" s="23" t="s">
        <v>2426</v>
      </c>
      <c r="AP913" s="73"/>
      <c r="AQ913" s="75"/>
      <c r="AR913" s="76"/>
      <c r="AS913" s="77"/>
      <c r="AV913" s="75"/>
      <c r="AW913" s="83"/>
      <c r="AX913" s="84"/>
      <c r="AY913" s="80">
        <v>1</v>
      </c>
      <c r="AZ913" s="66" t="s">
        <v>1073</v>
      </c>
      <c r="BB913" s="81"/>
      <c r="BG913" s="23" t="s">
        <v>3575</v>
      </c>
    </row>
    <row r="914" spans="1:59" ht="15" customHeight="1">
      <c r="A914" s="23" t="s">
        <v>3497</v>
      </c>
      <c r="B914" s="23" t="s">
        <v>3576</v>
      </c>
      <c r="C914" s="23" t="s">
        <v>3632</v>
      </c>
      <c r="D914" s="24">
        <v>285</v>
      </c>
      <c r="E914" s="23">
        <v>1</v>
      </c>
      <c r="F914" s="23" t="s">
        <v>2787</v>
      </c>
      <c r="G914" s="23" t="s">
        <v>3577</v>
      </c>
      <c r="J914" s="23" t="s">
        <v>31</v>
      </c>
      <c r="K914" s="23" t="s">
        <v>2426</v>
      </c>
      <c r="AI914" s="23" t="s">
        <v>3577</v>
      </c>
      <c r="AL914" s="23" t="s">
        <v>31</v>
      </c>
      <c r="AM914" s="23" t="s">
        <v>2426</v>
      </c>
      <c r="AP914" s="73"/>
      <c r="AQ914" s="75"/>
      <c r="AR914" s="76"/>
      <c r="AS914" s="77"/>
      <c r="AV914" s="75"/>
      <c r="AW914" s="83"/>
      <c r="AX914" s="84"/>
      <c r="AY914" s="80">
        <v>2</v>
      </c>
      <c r="AZ914" s="66" t="s">
        <v>1111</v>
      </c>
      <c r="BB914" s="81">
        <v>1</v>
      </c>
      <c r="BG914" s="23" t="s">
        <v>3578</v>
      </c>
    </row>
    <row r="915" spans="1:59" ht="15" customHeight="1">
      <c r="A915" s="23" t="s">
        <v>3497</v>
      </c>
      <c r="B915" s="23" t="s">
        <v>3579</v>
      </c>
      <c r="C915" s="23" t="s">
        <v>3632</v>
      </c>
      <c r="D915" s="24">
        <v>286</v>
      </c>
      <c r="E915" s="23">
        <v>1</v>
      </c>
      <c r="F915" s="23" t="s">
        <v>2787</v>
      </c>
      <c r="G915" s="23" t="s">
        <v>3577</v>
      </c>
      <c r="J915" s="23" t="s">
        <v>31</v>
      </c>
      <c r="K915" s="23" t="s">
        <v>2426</v>
      </c>
      <c r="AI915" s="23" t="s">
        <v>3577</v>
      </c>
      <c r="AL915" s="23" t="s">
        <v>31</v>
      </c>
      <c r="AM915" s="23" t="s">
        <v>2426</v>
      </c>
      <c r="AP915" s="73"/>
      <c r="AQ915" s="75"/>
      <c r="AR915" s="76"/>
      <c r="AS915" s="77"/>
      <c r="AV915" s="75"/>
      <c r="AW915" s="83"/>
      <c r="AX915" s="84"/>
      <c r="AY915" s="80">
        <v>4</v>
      </c>
      <c r="AZ915" s="66" t="s">
        <v>1073</v>
      </c>
      <c r="BB915" s="81">
        <v>1</v>
      </c>
      <c r="BG915" s="23" t="s">
        <v>3580</v>
      </c>
    </row>
    <row r="916" spans="1:59" ht="15" customHeight="1">
      <c r="A916" s="23" t="s">
        <v>3497</v>
      </c>
      <c r="B916" s="23" t="s">
        <v>3581</v>
      </c>
      <c r="C916" s="23" t="s">
        <v>3632</v>
      </c>
      <c r="D916" s="24">
        <v>287</v>
      </c>
      <c r="E916" s="23">
        <v>1</v>
      </c>
      <c r="F916" s="23" t="s">
        <v>2787</v>
      </c>
      <c r="G916" s="23" t="s">
        <v>3582</v>
      </c>
      <c r="J916" s="23" t="s">
        <v>31</v>
      </c>
      <c r="K916" s="23" t="s">
        <v>2426</v>
      </c>
      <c r="AI916" s="23" t="s">
        <v>3582</v>
      </c>
      <c r="AL916" s="23" t="s">
        <v>31</v>
      </c>
      <c r="AM916" s="23" t="s">
        <v>2426</v>
      </c>
      <c r="AP916" s="73"/>
      <c r="AQ916" s="75"/>
      <c r="AR916" s="76"/>
      <c r="AS916" s="77"/>
      <c r="AV916" s="75"/>
      <c r="AW916" s="83"/>
      <c r="AX916" s="84"/>
      <c r="AY916" s="80">
        <v>2</v>
      </c>
      <c r="AZ916" s="66" t="s">
        <v>1111</v>
      </c>
      <c r="BB916" s="81">
        <v>1</v>
      </c>
      <c r="BG916" s="23" t="s">
        <v>3583</v>
      </c>
    </row>
    <row r="917" spans="1:59" ht="15" customHeight="1">
      <c r="A917" s="23" t="s">
        <v>3497</v>
      </c>
      <c r="B917" s="23" t="s">
        <v>3584</v>
      </c>
      <c r="C917" s="23" t="s">
        <v>3632</v>
      </c>
      <c r="D917" s="24">
        <v>288</v>
      </c>
      <c r="E917" s="23">
        <v>1</v>
      </c>
      <c r="F917" s="23" t="s">
        <v>2787</v>
      </c>
      <c r="G917" s="23" t="s">
        <v>3582</v>
      </c>
      <c r="J917" s="23" t="s">
        <v>31</v>
      </c>
      <c r="K917" s="23" t="s">
        <v>2426</v>
      </c>
      <c r="AI917" s="23" t="s">
        <v>3582</v>
      </c>
      <c r="AL917" s="23" t="s">
        <v>31</v>
      </c>
      <c r="AM917" s="23" t="s">
        <v>2426</v>
      </c>
      <c r="AP917" s="73"/>
      <c r="AQ917" s="75"/>
      <c r="AR917" s="76"/>
      <c r="AS917" s="77"/>
      <c r="AV917" s="75"/>
      <c r="AW917" s="83"/>
      <c r="AX917" s="84"/>
      <c r="AY917" s="80">
        <v>4</v>
      </c>
      <c r="AZ917" s="66" t="s">
        <v>1073</v>
      </c>
      <c r="BB917" s="81">
        <v>1</v>
      </c>
      <c r="BG917" s="23" t="s">
        <v>3585</v>
      </c>
    </row>
    <row r="918" spans="1:59" ht="15" customHeight="1">
      <c r="A918" s="23" t="s">
        <v>3497</v>
      </c>
      <c r="B918" s="23" t="s">
        <v>3586</v>
      </c>
      <c r="C918" s="23" t="s">
        <v>3632</v>
      </c>
      <c r="D918" s="24">
        <v>289</v>
      </c>
      <c r="E918" s="23">
        <v>1</v>
      </c>
      <c r="F918" s="23" t="s">
        <v>2787</v>
      </c>
      <c r="G918" s="23" t="s">
        <v>3587</v>
      </c>
      <c r="J918" s="23" t="s">
        <v>31</v>
      </c>
      <c r="K918" s="23" t="s">
        <v>2426</v>
      </c>
      <c r="AI918" s="23" t="s">
        <v>3587</v>
      </c>
      <c r="AL918" s="23" t="s">
        <v>31</v>
      </c>
      <c r="AM918" s="23" t="s">
        <v>2426</v>
      </c>
      <c r="AP918" s="73"/>
      <c r="AQ918" s="75"/>
      <c r="AR918" s="76"/>
      <c r="AS918" s="77"/>
      <c r="AV918" s="75"/>
      <c r="AW918" s="83"/>
      <c r="AX918" s="84"/>
      <c r="AY918" s="80">
        <v>4</v>
      </c>
      <c r="AZ918" s="66">
        <v>0</v>
      </c>
      <c r="BB918" s="81"/>
      <c r="BG918" s="23" t="s">
        <v>3588</v>
      </c>
    </row>
    <row r="919" spans="1:59" ht="15" customHeight="1">
      <c r="A919" s="23" t="s">
        <v>3497</v>
      </c>
      <c r="B919" s="23" t="s">
        <v>3589</v>
      </c>
      <c r="C919" s="23" t="s">
        <v>3632</v>
      </c>
      <c r="D919" s="24">
        <v>290</v>
      </c>
      <c r="E919" s="23">
        <v>1</v>
      </c>
      <c r="F919" s="23" t="s">
        <v>2787</v>
      </c>
      <c r="G919" s="23" t="s">
        <v>3587</v>
      </c>
      <c r="J919" s="23" t="s">
        <v>31</v>
      </c>
      <c r="K919" s="23" t="s">
        <v>2426</v>
      </c>
      <c r="AI919" s="23" t="s">
        <v>3587</v>
      </c>
      <c r="AL919" s="23" t="s">
        <v>31</v>
      </c>
      <c r="AM919" s="23" t="s">
        <v>2426</v>
      </c>
      <c r="AP919" s="73"/>
      <c r="AQ919" s="75"/>
      <c r="AR919" s="76"/>
      <c r="AS919" s="77"/>
      <c r="AV919" s="75"/>
      <c r="AW919" s="83"/>
      <c r="AX919" s="84"/>
      <c r="AY919" s="80">
        <v>3</v>
      </c>
      <c r="AZ919" s="66">
        <v>0</v>
      </c>
      <c r="BB919" s="81"/>
      <c r="BG919" s="23" t="s">
        <v>3590</v>
      </c>
    </row>
    <row r="920" spans="1:59" ht="15" customHeight="1">
      <c r="A920" s="23" t="s">
        <v>3497</v>
      </c>
      <c r="B920" s="23" t="s">
        <v>3591</v>
      </c>
      <c r="C920" s="23" t="s">
        <v>3632</v>
      </c>
      <c r="D920" s="24">
        <v>291</v>
      </c>
      <c r="E920" s="23">
        <v>1</v>
      </c>
      <c r="F920" s="23" t="s">
        <v>2787</v>
      </c>
      <c r="G920" s="23" t="s">
        <v>3592</v>
      </c>
      <c r="J920" s="23" t="s">
        <v>31</v>
      </c>
      <c r="K920" s="23" t="s">
        <v>2426</v>
      </c>
      <c r="AF920" s="23" t="s">
        <v>3593</v>
      </c>
      <c r="AI920" s="23" t="s">
        <v>3592</v>
      </c>
      <c r="AL920" s="23" t="s">
        <v>31</v>
      </c>
      <c r="AM920" s="23" t="s">
        <v>2426</v>
      </c>
      <c r="AP920" s="73"/>
      <c r="AQ920" s="75"/>
      <c r="AR920" s="76"/>
      <c r="AS920" s="77"/>
      <c r="AV920" s="75"/>
      <c r="AW920" s="83"/>
      <c r="AX920" s="84"/>
      <c r="AY920" s="80">
        <v>3</v>
      </c>
      <c r="AZ920" s="66" t="s">
        <v>1073</v>
      </c>
      <c r="BB920" s="81">
        <v>1</v>
      </c>
      <c r="BG920" s="23" t="s">
        <v>3594</v>
      </c>
    </row>
    <row r="921" spans="1:59" ht="15" customHeight="1">
      <c r="A921" s="23" t="s">
        <v>3497</v>
      </c>
      <c r="B921" s="23" t="s">
        <v>3595</v>
      </c>
      <c r="C921" s="23" t="s">
        <v>3632</v>
      </c>
      <c r="D921" s="24">
        <v>292</v>
      </c>
      <c r="E921" s="23">
        <v>1</v>
      </c>
      <c r="F921" s="23" t="s">
        <v>2787</v>
      </c>
      <c r="G921" s="23" t="s">
        <v>3596</v>
      </c>
      <c r="J921" s="23" t="s">
        <v>31</v>
      </c>
      <c r="K921" s="23" t="s">
        <v>2426</v>
      </c>
      <c r="AI921" s="23" t="s">
        <v>3596</v>
      </c>
      <c r="AL921" s="23" t="s">
        <v>31</v>
      </c>
      <c r="AM921" s="23" t="s">
        <v>2426</v>
      </c>
      <c r="AP921" s="73"/>
      <c r="AQ921" s="75"/>
      <c r="AR921" s="76"/>
      <c r="AS921" s="77"/>
      <c r="AV921" s="75"/>
      <c r="AW921" s="83"/>
      <c r="AX921" s="84"/>
      <c r="AY921" s="80">
        <v>3</v>
      </c>
      <c r="AZ921" s="66" t="s">
        <v>1073</v>
      </c>
      <c r="BB921" s="81"/>
      <c r="BG921" s="23" t="s">
        <v>3597</v>
      </c>
    </row>
    <row r="922" spans="1:59" ht="15" customHeight="1">
      <c r="A922" s="23" t="s">
        <v>3497</v>
      </c>
      <c r="B922" s="23" t="s">
        <v>3598</v>
      </c>
      <c r="C922" s="23" t="s">
        <v>3632</v>
      </c>
      <c r="D922" s="24">
        <v>293</v>
      </c>
      <c r="E922" s="23">
        <v>1</v>
      </c>
      <c r="F922" s="23" t="s">
        <v>2787</v>
      </c>
      <c r="G922" s="23" t="s">
        <v>3596</v>
      </c>
      <c r="J922" s="23" t="s">
        <v>31</v>
      </c>
      <c r="K922" s="23" t="s">
        <v>2426</v>
      </c>
      <c r="AI922" s="23" t="s">
        <v>3596</v>
      </c>
      <c r="AL922" s="23" t="s">
        <v>31</v>
      </c>
      <c r="AM922" s="23" t="s">
        <v>2426</v>
      </c>
      <c r="AP922" s="73"/>
      <c r="AQ922" s="75"/>
      <c r="AR922" s="76"/>
      <c r="AS922" s="77"/>
      <c r="AV922" s="75"/>
      <c r="AW922" s="83"/>
      <c r="AX922" s="84"/>
      <c r="AY922" s="80">
        <v>3</v>
      </c>
      <c r="AZ922" s="66" t="s">
        <v>1073</v>
      </c>
      <c r="BB922" s="81"/>
      <c r="BG922" s="23" t="s">
        <v>3599</v>
      </c>
    </row>
    <row r="923" spans="1:59" ht="15" customHeight="1">
      <c r="A923" s="23" t="s">
        <v>3497</v>
      </c>
      <c r="B923" s="23" t="s">
        <v>3600</v>
      </c>
      <c r="C923" s="23" t="s">
        <v>3632</v>
      </c>
      <c r="D923" s="24">
        <v>294</v>
      </c>
      <c r="E923" s="23">
        <v>1</v>
      </c>
      <c r="F923" s="23" t="s">
        <v>2787</v>
      </c>
      <c r="G923" s="23" t="s">
        <v>3601</v>
      </c>
      <c r="J923" s="23" t="s">
        <v>31</v>
      </c>
      <c r="K923" s="23" t="s">
        <v>2426</v>
      </c>
      <c r="AI923" s="23" t="s">
        <v>3601</v>
      </c>
      <c r="AL923" s="23" t="s">
        <v>31</v>
      </c>
      <c r="AM923" s="23" t="s">
        <v>2426</v>
      </c>
      <c r="AP923" s="73"/>
      <c r="AQ923" s="75"/>
      <c r="AR923" s="76"/>
      <c r="AS923" s="77"/>
      <c r="AV923" s="75"/>
      <c r="AW923" s="83"/>
      <c r="AX923" s="84"/>
      <c r="AY923" s="80">
        <v>2</v>
      </c>
      <c r="AZ923" s="66" t="s">
        <v>1073</v>
      </c>
      <c r="BB923" s="81"/>
      <c r="BG923" s="23" t="s">
        <v>3602</v>
      </c>
    </row>
    <row r="924" spans="1:59" ht="15" customHeight="1">
      <c r="A924" s="23" t="s">
        <v>3497</v>
      </c>
      <c r="B924" s="23" t="s">
        <v>3603</v>
      </c>
      <c r="C924" s="23" t="s">
        <v>3632</v>
      </c>
      <c r="D924" s="24">
        <v>295</v>
      </c>
      <c r="E924" s="23">
        <v>1</v>
      </c>
      <c r="F924" s="23" t="s">
        <v>2787</v>
      </c>
      <c r="G924" s="23" t="s">
        <v>3604</v>
      </c>
      <c r="J924" s="23" t="s">
        <v>31</v>
      </c>
      <c r="K924" s="23" t="s">
        <v>2426</v>
      </c>
      <c r="AI924" s="23" t="s">
        <v>3604</v>
      </c>
      <c r="AL924" s="23" t="s">
        <v>31</v>
      </c>
      <c r="AM924" s="23" t="s">
        <v>2426</v>
      </c>
      <c r="AP924" s="73"/>
      <c r="AQ924" s="75"/>
      <c r="AR924" s="76"/>
      <c r="AS924" s="77"/>
      <c r="AV924" s="75"/>
      <c r="AW924" s="83"/>
      <c r="AX924" s="84"/>
      <c r="AY924" s="80">
        <v>2</v>
      </c>
      <c r="AZ924" s="66" t="s">
        <v>1073</v>
      </c>
      <c r="BB924" s="81"/>
      <c r="BG924" s="23" t="s">
        <v>3605</v>
      </c>
    </row>
    <row r="925" spans="1:59" ht="15" customHeight="1">
      <c r="A925" s="23" t="s">
        <v>3497</v>
      </c>
      <c r="B925" s="23" t="s">
        <v>3606</v>
      </c>
      <c r="C925" s="23" t="s">
        <v>3632</v>
      </c>
      <c r="D925" s="24">
        <v>296</v>
      </c>
      <c r="E925" s="23">
        <v>1</v>
      </c>
      <c r="F925" s="23" t="s">
        <v>3544</v>
      </c>
      <c r="G925" s="23" t="s">
        <v>3607</v>
      </c>
      <c r="J925" s="23" t="s">
        <v>31</v>
      </c>
      <c r="K925" s="23" t="s">
        <v>2426</v>
      </c>
      <c r="AF925" s="23" t="s">
        <v>3608</v>
      </c>
      <c r="AI925" s="23" t="s">
        <v>3607</v>
      </c>
      <c r="AJ925" s="23" t="s">
        <v>3609</v>
      </c>
      <c r="AL925" s="23" t="s">
        <v>31</v>
      </c>
      <c r="AM925" s="23" t="s">
        <v>2426</v>
      </c>
      <c r="AP925" s="73"/>
      <c r="AQ925" s="75"/>
      <c r="AR925" s="76"/>
      <c r="AS925" s="77"/>
      <c r="AV925" s="75"/>
      <c r="AW925" s="83"/>
      <c r="AX925" s="84"/>
      <c r="AY925" s="80">
        <v>3</v>
      </c>
      <c r="AZ925" s="66" t="s">
        <v>1111</v>
      </c>
      <c r="BB925" s="81"/>
      <c r="BG925" s="23" t="s">
        <v>3610</v>
      </c>
    </row>
    <row r="926" spans="1:59" ht="15" customHeight="1">
      <c r="A926" s="23" t="s">
        <v>3497</v>
      </c>
      <c r="B926" s="23" t="s">
        <v>3611</v>
      </c>
      <c r="C926" s="23" t="s">
        <v>3632</v>
      </c>
      <c r="D926" s="24">
        <v>297</v>
      </c>
      <c r="E926" s="23">
        <v>1</v>
      </c>
      <c r="F926" s="23" t="s">
        <v>3538</v>
      </c>
      <c r="G926" s="23" t="s">
        <v>3607</v>
      </c>
      <c r="J926" s="23" t="s">
        <v>31</v>
      </c>
      <c r="K926" s="23" t="s">
        <v>2426</v>
      </c>
      <c r="AF926" s="23" t="s">
        <v>3608</v>
      </c>
      <c r="AI926" s="23" t="s">
        <v>3607</v>
      </c>
      <c r="AJ926" s="23" t="s">
        <v>3612</v>
      </c>
      <c r="AL926" s="23" t="s">
        <v>31</v>
      </c>
      <c r="AM926" s="23" t="s">
        <v>2426</v>
      </c>
      <c r="AP926" s="73"/>
      <c r="AQ926" s="75"/>
      <c r="AR926" s="76"/>
      <c r="AS926" s="77"/>
      <c r="AV926" s="75"/>
      <c r="AW926" s="83"/>
      <c r="AX926" s="84"/>
      <c r="AY926" s="80">
        <v>2</v>
      </c>
      <c r="AZ926" s="66" t="s">
        <v>1112</v>
      </c>
      <c r="BB926" s="81">
        <v>2</v>
      </c>
    </row>
    <row r="927" spans="1:59" ht="15" customHeight="1">
      <c r="A927" s="23" t="s">
        <v>3497</v>
      </c>
      <c r="B927" s="23" t="s">
        <v>3613</v>
      </c>
      <c r="C927" s="23" t="s">
        <v>3632</v>
      </c>
      <c r="D927" s="24">
        <v>298</v>
      </c>
      <c r="E927" s="23">
        <v>1</v>
      </c>
      <c r="F927" s="23" t="s">
        <v>3538</v>
      </c>
      <c r="G927" s="23" t="s">
        <v>3614</v>
      </c>
      <c r="J927" s="23" t="s">
        <v>31</v>
      </c>
      <c r="K927" s="23" t="s">
        <v>2426</v>
      </c>
      <c r="AF927" s="23" t="s">
        <v>3615</v>
      </c>
      <c r="AI927" s="23" t="s">
        <v>3614</v>
      </c>
      <c r="AJ927" s="23" t="s">
        <v>3609</v>
      </c>
      <c r="AL927" s="23" t="s">
        <v>31</v>
      </c>
      <c r="AM927" s="23" t="s">
        <v>2426</v>
      </c>
      <c r="AP927" s="73"/>
      <c r="AQ927" s="75"/>
      <c r="AR927" s="76"/>
      <c r="AS927" s="77"/>
      <c r="AV927" s="75"/>
      <c r="AW927" s="83"/>
      <c r="AX927" s="84"/>
      <c r="AY927" s="80">
        <v>3</v>
      </c>
      <c r="AZ927" s="66" t="s">
        <v>1111</v>
      </c>
      <c r="BB927" s="81"/>
      <c r="BG927" s="23" t="s">
        <v>3616</v>
      </c>
    </row>
    <row r="928" spans="1:59" ht="15" customHeight="1">
      <c r="A928" s="23" t="s">
        <v>3497</v>
      </c>
      <c r="B928" s="23" t="s">
        <v>3617</v>
      </c>
      <c r="C928" s="23" t="s">
        <v>3632</v>
      </c>
      <c r="D928" s="24">
        <v>299</v>
      </c>
      <c r="E928" s="23">
        <v>1</v>
      </c>
      <c r="F928" s="23" t="s">
        <v>3544</v>
      </c>
      <c r="G928" s="23" t="s">
        <v>3614</v>
      </c>
      <c r="J928" s="23" t="s">
        <v>31</v>
      </c>
      <c r="K928" s="23" t="s">
        <v>2426</v>
      </c>
      <c r="AF928" s="23" t="s">
        <v>3615</v>
      </c>
      <c r="AI928" s="23" t="s">
        <v>3614</v>
      </c>
      <c r="AJ928" s="23" t="s">
        <v>3618</v>
      </c>
      <c r="AL928" s="23" t="s">
        <v>31</v>
      </c>
      <c r="AM928" s="23" t="s">
        <v>2426</v>
      </c>
      <c r="AP928" s="73"/>
      <c r="AQ928" s="75"/>
      <c r="AR928" s="76"/>
      <c r="AS928" s="77"/>
      <c r="AV928" s="75"/>
      <c r="AW928" s="83"/>
      <c r="AX928" s="84"/>
      <c r="AY928" s="80">
        <v>2</v>
      </c>
      <c r="AZ928" s="66" t="s">
        <v>1112</v>
      </c>
      <c r="BB928" s="81">
        <v>2</v>
      </c>
    </row>
    <row r="929" spans="1:58" ht="15" customHeight="1">
      <c r="A929" s="23" t="s">
        <v>3497</v>
      </c>
      <c r="B929" s="23" t="s">
        <v>3619</v>
      </c>
      <c r="C929" s="23" t="s">
        <v>3632</v>
      </c>
      <c r="D929" s="24">
        <v>300</v>
      </c>
      <c r="E929" s="23">
        <v>2</v>
      </c>
      <c r="F929" s="23" t="s">
        <v>2787</v>
      </c>
      <c r="G929" s="23" t="s">
        <v>3620</v>
      </c>
      <c r="J929" s="23" t="s">
        <v>29</v>
      </c>
      <c r="K929" s="23" t="s">
        <v>2426</v>
      </c>
      <c r="Q929" s="65">
        <v>4</v>
      </c>
      <c r="R929" s="66">
        <v>2</v>
      </c>
      <c r="T929" s="68">
        <v>4</v>
      </c>
      <c r="V929" s="69">
        <v>1</v>
      </c>
      <c r="W929" s="70">
        <v>2</v>
      </c>
      <c r="AD929" s="23" t="s">
        <v>2784</v>
      </c>
      <c r="AF929" s="23" t="s">
        <v>3621</v>
      </c>
      <c r="AP929" s="73"/>
      <c r="AQ929" s="75"/>
      <c r="AR929" s="76"/>
      <c r="AS929" s="77"/>
      <c r="AV929" s="75"/>
      <c r="AW929" s="83"/>
      <c r="AX929" s="84"/>
      <c r="AY929" s="80"/>
      <c r="BB929" s="81"/>
    </row>
    <row r="930" spans="1:58" ht="15" customHeight="1">
      <c r="A930" s="23" t="s">
        <v>3497</v>
      </c>
      <c r="B930" s="23" t="s">
        <v>3622</v>
      </c>
      <c r="C930" s="23" t="s">
        <v>3632</v>
      </c>
      <c r="D930" s="24">
        <v>301</v>
      </c>
      <c r="E930" s="23">
        <v>2</v>
      </c>
      <c r="F930" s="23" t="s">
        <v>2787</v>
      </c>
      <c r="G930" s="23" t="s">
        <v>3623</v>
      </c>
      <c r="J930" s="23" t="s">
        <v>29</v>
      </c>
      <c r="K930" s="23" t="s">
        <v>2426</v>
      </c>
      <c r="Q930" s="65">
        <v>3</v>
      </c>
      <c r="R930" s="66">
        <v>4</v>
      </c>
      <c r="T930" s="68">
        <v>3</v>
      </c>
      <c r="V930" s="69">
        <v>1</v>
      </c>
      <c r="W930" s="70">
        <v>1</v>
      </c>
      <c r="AD930" s="23" t="s">
        <v>3624</v>
      </c>
      <c r="AF930" s="23" t="s">
        <v>3625</v>
      </c>
      <c r="AP930" s="73"/>
      <c r="AQ930" s="75"/>
      <c r="AR930" s="76"/>
      <c r="AS930" s="77"/>
      <c r="AV930" s="75"/>
      <c r="AW930" s="83"/>
      <c r="AX930" s="84"/>
      <c r="AY930" s="80"/>
      <c r="BB930" s="81"/>
    </row>
    <row r="931" spans="1:58" ht="15" customHeight="1">
      <c r="A931" s="23" t="s">
        <v>3497</v>
      </c>
      <c r="B931" s="23" t="s">
        <v>3626</v>
      </c>
      <c r="C931" s="23" t="s">
        <v>3632</v>
      </c>
      <c r="D931" s="24">
        <v>302</v>
      </c>
      <c r="E931" s="23">
        <v>3</v>
      </c>
      <c r="F931" s="23" t="s">
        <v>2787</v>
      </c>
      <c r="G931" s="23" t="s">
        <v>3627</v>
      </c>
      <c r="J931" s="23" t="s">
        <v>28</v>
      </c>
      <c r="K931" s="23" t="s">
        <v>2426</v>
      </c>
      <c r="AD931" s="23" t="s">
        <v>492</v>
      </c>
      <c r="AF931" s="23" t="s">
        <v>3628</v>
      </c>
      <c r="AP931" s="73"/>
      <c r="AQ931" s="75"/>
      <c r="AR931" s="76"/>
      <c r="AS931" s="77"/>
      <c r="AV931" s="75"/>
      <c r="AW931" s="83"/>
      <c r="AX931" s="84"/>
      <c r="AY931" s="80"/>
      <c r="BB931" s="81"/>
    </row>
    <row r="932" spans="1:58" ht="15" customHeight="1">
      <c r="A932" s="23" t="s">
        <v>3497</v>
      </c>
      <c r="B932" s="23" t="s">
        <v>3629</v>
      </c>
      <c r="C932" s="23" t="s">
        <v>3632</v>
      </c>
      <c r="D932" s="24">
        <v>303</v>
      </c>
      <c r="E932" s="23">
        <v>3</v>
      </c>
      <c r="F932" s="23" t="s">
        <v>2787</v>
      </c>
      <c r="G932" s="23" t="s">
        <v>3630</v>
      </c>
      <c r="J932" s="23" t="s">
        <v>28</v>
      </c>
      <c r="K932" s="23" t="s">
        <v>2426</v>
      </c>
      <c r="AD932" s="23" t="s">
        <v>492</v>
      </c>
      <c r="AF932" s="23" t="s">
        <v>3631</v>
      </c>
      <c r="AP932" s="73"/>
      <c r="AQ932" s="75"/>
      <c r="AR932" s="76"/>
      <c r="AS932" s="77"/>
      <c r="AV932" s="75"/>
      <c r="AW932" s="83"/>
      <c r="AX932" s="84"/>
      <c r="AY932" s="80"/>
      <c r="BB932" s="81"/>
    </row>
    <row r="933" spans="1:58" ht="15" customHeight="1">
      <c r="A933" s="28" t="s">
        <v>3634</v>
      </c>
      <c r="B933" s="28" t="s">
        <v>3635</v>
      </c>
      <c r="C933" s="28" t="s">
        <v>3636</v>
      </c>
      <c r="D933" s="31">
        <v>304</v>
      </c>
      <c r="E933" s="28">
        <v>2</v>
      </c>
      <c r="F933" s="28"/>
      <c r="G933" s="28" t="s">
        <v>3637</v>
      </c>
      <c r="H933" s="28"/>
      <c r="J933" s="23" t="s">
        <v>27</v>
      </c>
      <c r="K933" s="23" t="s">
        <v>198</v>
      </c>
      <c r="L933" s="23">
        <v>2</v>
      </c>
      <c r="N933" s="24">
        <v>0</v>
      </c>
      <c r="O933" s="118"/>
      <c r="P933" s="119"/>
      <c r="Q933" s="120">
        <v>1</v>
      </c>
      <c r="R933" s="29">
        <v>1</v>
      </c>
      <c r="S933" s="121"/>
      <c r="T933" s="122"/>
      <c r="U933" s="118"/>
      <c r="V933" s="123"/>
      <c r="W933" s="124"/>
      <c r="X933" s="125"/>
      <c r="Y933" s="29"/>
      <c r="Z933" s="122"/>
      <c r="AA933" s="126"/>
      <c r="AB933" s="16" t="s">
        <v>2181</v>
      </c>
      <c r="AD933" s="23" t="s">
        <v>307</v>
      </c>
      <c r="AF933" s="23" t="s">
        <v>3638</v>
      </c>
      <c r="AI933" s="28"/>
      <c r="AJ933" s="28"/>
      <c r="AO933" s="24"/>
      <c r="AP933" s="24"/>
      <c r="AQ933" s="118"/>
      <c r="AR933" s="119"/>
      <c r="AS933" s="120"/>
      <c r="AT933" s="29"/>
      <c r="AU933" s="122"/>
      <c r="AV933" s="118"/>
      <c r="AW933" s="123"/>
      <c r="AX933" s="124"/>
      <c r="AY933" s="125"/>
      <c r="AZ933" s="29"/>
      <c r="BA933" s="122"/>
      <c r="BB933" s="126"/>
      <c r="BE933" s="24"/>
      <c r="BF933" s="23"/>
    </row>
    <row r="934" spans="1:58" ht="15" customHeight="1">
      <c r="A934" s="28" t="s">
        <v>3634</v>
      </c>
      <c r="B934" s="23" t="s">
        <v>3639</v>
      </c>
      <c r="C934" s="23" t="s">
        <v>3636</v>
      </c>
      <c r="D934" s="31">
        <v>305</v>
      </c>
      <c r="E934" s="23">
        <v>2</v>
      </c>
      <c r="G934" s="23" t="s">
        <v>3640</v>
      </c>
      <c r="J934" s="23" t="s">
        <v>257</v>
      </c>
      <c r="K934" s="23" t="s">
        <v>198</v>
      </c>
      <c r="L934" s="23">
        <v>5</v>
      </c>
      <c r="N934" s="24">
        <v>4</v>
      </c>
      <c r="O934" s="118">
        <v>2</v>
      </c>
      <c r="P934" s="119"/>
      <c r="Q934" s="120">
        <v>2</v>
      </c>
      <c r="R934" s="29"/>
      <c r="S934" s="121"/>
      <c r="T934" s="122">
        <v>4</v>
      </c>
      <c r="U934" s="118"/>
      <c r="V934" s="123"/>
      <c r="W934" s="124"/>
      <c r="X934" s="125"/>
      <c r="Y934" s="29"/>
      <c r="Z934" s="122"/>
      <c r="AA934" s="126"/>
      <c r="AB934" s="16" t="s">
        <v>3641</v>
      </c>
      <c r="AC934" s="23" t="s">
        <v>393</v>
      </c>
      <c r="AD934" s="23" t="s">
        <v>3642</v>
      </c>
      <c r="AF934" s="23" t="s">
        <v>3643</v>
      </c>
      <c r="AO934" s="24"/>
      <c r="AP934" s="24"/>
      <c r="AQ934" s="118"/>
      <c r="AR934" s="119"/>
      <c r="AS934" s="120"/>
      <c r="AT934" s="29"/>
      <c r="AU934" s="122"/>
      <c r="AV934" s="118"/>
      <c r="AW934" s="123"/>
      <c r="AX934" s="124"/>
      <c r="AY934" s="125"/>
      <c r="AZ934" s="29"/>
      <c r="BA934" s="122"/>
      <c r="BB934" s="126"/>
      <c r="BE934" s="24"/>
      <c r="BF934" s="23"/>
    </row>
    <row r="935" spans="1:58" ht="15" customHeight="1">
      <c r="A935" s="28" t="s">
        <v>3634</v>
      </c>
      <c r="B935" s="23" t="s">
        <v>3644</v>
      </c>
      <c r="C935" s="23" t="s">
        <v>3636</v>
      </c>
      <c r="D935" s="31">
        <v>306</v>
      </c>
      <c r="E935" s="23">
        <v>2</v>
      </c>
      <c r="G935" s="23" t="s">
        <v>3645</v>
      </c>
      <c r="J935" s="23" t="s">
        <v>27</v>
      </c>
      <c r="K935" s="23" t="s">
        <v>199</v>
      </c>
      <c r="L935" s="23">
        <v>3</v>
      </c>
      <c r="N935" s="24" t="s">
        <v>38</v>
      </c>
      <c r="O935" s="118"/>
      <c r="P935" s="119">
        <v>1</v>
      </c>
      <c r="Q935" s="120"/>
      <c r="R935" s="29">
        <v>1</v>
      </c>
      <c r="S935" s="121"/>
      <c r="T935" s="122"/>
      <c r="U935" s="118"/>
      <c r="V935" s="123"/>
      <c r="W935" s="124"/>
      <c r="X935" s="125"/>
      <c r="Y935" s="29"/>
      <c r="Z935" s="122"/>
      <c r="AA935" s="126"/>
      <c r="AB935" s="16" t="s">
        <v>2315</v>
      </c>
      <c r="AD935" s="23" t="s">
        <v>1805</v>
      </c>
      <c r="AF935" s="23" t="s">
        <v>3646</v>
      </c>
      <c r="AO935" s="24"/>
      <c r="AP935" s="24"/>
      <c r="AQ935" s="118"/>
      <c r="AR935" s="119"/>
      <c r="AS935" s="120"/>
      <c r="AT935" s="29"/>
      <c r="AU935" s="122"/>
      <c r="AV935" s="118"/>
      <c r="AW935" s="123"/>
      <c r="AX935" s="124"/>
      <c r="AY935" s="125"/>
      <c r="AZ935" s="29"/>
      <c r="BA935" s="122"/>
      <c r="BB935" s="126"/>
      <c r="BE935" s="24"/>
      <c r="BF935" s="23"/>
    </row>
    <row r="936" spans="1:58" ht="15" customHeight="1">
      <c r="A936" s="28" t="s">
        <v>3634</v>
      </c>
      <c r="B936" s="23" t="s">
        <v>3647</v>
      </c>
      <c r="C936" s="23" t="s">
        <v>3636</v>
      </c>
      <c r="D936" s="31">
        <v>307</v>
      </c>
      <c r="E936" s="23">
        <v>2</v>
      </c>
      <c r="G936" s="23" t="s">
        <v>2594</v>
      </c>
      <c r="J936" s="23" t="s">
        <v>27</v>
      </c>
      <c r="K936" s="23" t="s">
        <v>199</v>
      </c>
      <c r="L936" s="23">
        <v>5</v>
      </c>
      <c r="N936" s="24">
        <v>2</v>
      </c>
      <c r="O936" s="118"/>
      <c r="P936" s="119">
        <v>1</v>
      </c>
      <c r="Q936" s="120"/>
      <c r="R936" s="29"/>
      <c r="S936" s="121">
        <v>1</v>
      </c>
      <c r="T936" s="122"/>
      <c r="U936" s="118"/>
      <c r="V936" s="123"/>
      <c r="W936" s="124"/>
      <c r="X936" s="125"/>
      <c r="Y936" s="29"/>
      <c r="Z936" s="122"/>
      <c r="AA936" s="126"/>
      <c r="AB936" s="16" t="s">
        <v>3648</v>
      </c>
      <c r="AD936" s="23" t="s">
        <v>340</v>
      </c>
      <c r="AF936" s="23" t="s">
        <v>3649</v>
      </c>
      <c r="AO936" s="24"/>
      <c r="AP936" s="24"/>
      <c r="AQ936" s="118"/>
      <c r="AR936" s="119"/>
      <c r="AS936" s="120"/>
      <c r="AT936" s="29"/>
      <c r="AU936" s="122"/>
      <c r="AV936" s="118"/>
      <c r="AW936" s="123"/>
      <c r="AX936" s="124"/>
      <c r="AY936" s="125"/>
      <c r="AZ936" s="29"/>
      <c r="BA936" s="122"/>
      <c r="BB936" s="126"/>
      <c r="BE936" s="24"/>
      <c r="BF936" s="23"/>
    </row>
    <row r="937" spans="1:58" ht="15" customHeight="1">
      <c r="A937" s="28" t="s">
        <v>3634</v>
      </c>
      <c r="B937" s="23" t="s">
        <v>3650</v>
      </c>
      <c r="C937" s="23" t="s">
        <v>3636</v>
      </c>
      <c r="D937" s="31">
        <v>308</v>
      </c>
      <c r="E937" s="23">
        <v>2</v>
      </c>
      <c r="G937" s="23" t="s">
        <v>3651</v>
      </c>
      <c r="H937" s="23" t="s">
        <v>3652</v>
      </c>
      <c r="I937" s="23" t="s">
        <v>223</v>
      </c>
      <c r="J937" s="23" t="s">
        <v>257</v>
      </c>
      <c r="K937" s="23" t="s">
        <v>201</v>
      </c>
      <c r="L937" s="23">
        <v>1</v>
      </c>
      <c r="N937" s="23" t="s">
        <v>38</v>
      </c>
      <c r="O937" s="118"/>
      <c r="P937" s="119"/>
      <c r="Q937" s="120"/>
      <c r="R937" s="29"/>
      <c r="S937" s="121"/>
      <c r="T937" s="122"/>
      <c r="U937" s="118"/>
      <c r="V937" s="123"/>
      <c r="W937" s="124"/>
      <c r="X937" s="125"/>
      <c r="Y937" s="29"/>
      <c r="Z937" s="122"/>
      <c r="AA937" s="126"/>
      <c r="AB937" s="16"/>
      <c r="AD937" s="23" t="s">
        <v>276</v>
      </c>
      <c r="AE937" s="23" t="s">
        <v>3653</v>
      </c>
      <c r="AF937" s="23" t="s">
        <v>3654</v>
      </c>
      <c r="AO937" s="24"/>
      <c r="AP937" s="23"/>
      <c r="AQ937" s="118"/>
      <c r="AR937" s="119"/>
      <c r="AS937" s="120"/>
      <c r="AT937" s="29"/>
      <c r="AU937" s="122"/>
      <c r="AV937" s="118"/>
      <c r="AW937" s="123"/>
      <c r="AX937" s="124"/>
      <c r="AY937" s="125"/>
      <c r="AZ937" s="29"/>
      <c r="BA937" s="122"/>
      <c r="BB937" s="126"/>
      <c r="BE937" s="24"/>
      <c r="BF937" s="23"/>
    </row>
    <row r="938" spans="1:58" ht="15" customHeight="1">
      <c r="A938" s="28" t="s">
        <v>3634</v>
      </c>
      <c r="B938" s="23" t="s">
        <v>3655</v>
      </c>
      <c r="C938" s="23" t="s">
        <v>3636</v>
      </c>
      <c r="D938" s="31">
        <v>309</v>
      </c>
      <c r="E938" s="23">
        <v>2</v>
      </c>
      <c r="G938" s="23" t="s">
        <v>3656</v>
      </c>
      <c r="J938" s="23" t="s">
        <v>257</v>
      </c>
      <c r="K938" s="23" t="s">
        <v>201</v>
      </c>
      <c r="L938" s="23">
        <v>3</v>
      </c>
      <c r="N938" s="23">
        <v>3</v>
      </c>
      <c r="O938" s="118"/>
      <c r="P938" s="119"/>
      <c r="Q938" s="120">
        <v>1</v>
      </c>
      <c r="R938" s="29"/>
      <c r="S938" s="121"/>
      <c r="T938" s="122"/>
      <c r="U938" s="118"/>
      <c r="V938" s="123"/>
      <c r="W938" s="124"/>
      <c r="X938" s="125"/>
      <c r="Y938" s="29"/>
      <c r="Z938" s="122"/>
      <c r="AA938" s="126"/>
      <c r="AB938" s="127" t="s">
        <v>206</v>
      </c>
      <c r="AC938" s="23" t="s">
        <v>258</v>
      </c>
      <c r="AD938" s="23" t="s">
        <v>923</v>
      </c>
      <c r="AE938" s="23" t="s">
        <v>3657</v>
      </c>
      <c r="AF938" s="23" t="s">
        <v>3658</v>
      </c>
      <c r="AO938" s="24"/>
      <c r="AP938" s="23"/>
      <c r="AQ938" s="118"/>
      <c r="AR938" s="119"/>
      <c r="AS938" s="120"/>
      <c r="AT938" s="29"/>
      <c r="AU938" s="122"/>
      <c r="AV938" s="118"/>
      <c r="AW938" s="123"/>
      <c r="AX938" s="124"/>
      <c r="AY938" s="125"/>
      <c r="AZ938" s="29"/>
      <c r="BA938" s="122"/>
      <c r="BB938" s="126"/>
      <c r="BE938" s="24"/>
      <c r="BF938" s="23"/>
    </row>
    <row r="939" spans="1:58" ht="15" customHeight="1">
      <c r="A939" s="28" t="s">
        <v>3634</v>
      </c>
      <c r="B939" s="23" t="s">
        <v>3659</v>
      </c>
      <c r="C939" s="23" t="s">
        <v>3636</v>
      </c>
      <c r="D939" s="31">
        <v>310</v>
      </c>
      <c r="E939" s="23">
        <v>2</v>
      </c>
      <c r="G939" s="23" t="s">
        <v>3660</v>
      </c>
      <c r="J939" s="23" t="s">
        <v>27</v>
      </c>
      <c r="K939" s="23" t="s">
        <v>201</v>
      </c>
      <c r="L939" s="23">
        <v>5</v>
      </c>
      <c r="N939" s="23">
        <v>1</v>
      </c>
      <c r="O939" s="118"/>
      <c r="P939" s="119"/>
      <c r="Q939" s="120"/>
      <c r="R939" s="29"/>
      <c r="S939" s="121">
        <v>1</v>
      </c>
      <c r="T939" s="122"/>
      <c r="U939" s="118"/>
      <c r="V939" s="123"/>
      <c r="W939" s="124"/>
      <c r="X939" s="125"/>
      <c r="Y939" s="29"/>
      <c r="Z939" s="122"/>
      <c r="AA939" s="126"/>
      <c r="AB939" s="16" t="s">
        <v>208</v>
      </c>
      <c r="AD939" s="23" t="s">
        <v>3661</v>
      </c>
      <c r="AE939" s="23"/>
      <c r="AF939" s="23" t="s">
        <v>3662</v>
      </c>
      <c r="AO939" s="24"/>
      <c r="AP939" s="23"/>
      <c r="AQ939" s="118"/>
      <c r="AR939" s="119"/>
      <c r="AS939" s="120"/>
      <c r="AT939" s="29"/>
      <c r="AU939" s="122"/>
      <c r="AV939" s="118"/>
      <c r="AW939" s="123"/>
      <c r="AX939" s="124"/>
      <c r="AY939" s="125"/>
      <c r="AZ939" s="29"/>
      <c r="BA939" s="122"/>
      <c r="BB939" s="126"/>
      <c r="BE939" s="24"/>
      <c r="BF939" s="23"/>
    </row>
    <row r="940" spans="1:58" ht="15" customHeight="1">
      <c r="A940" s="28" t="s">
        <v>3634</v>
      </c>
      <c r="B940" s="23" t="s">
        <v>3663</v>
      </c>
      <c r="C940" s="23" t="s">
        <v>3636</v>
      </c>
      <c r="D940" s="31">
        <v>311</v>
      </c>
      <c r="E940" s="23">
        <v>2</v>
      </c>
      <c r="G940" s="23" t="s">
        <v>3664</v>
      </c>
      <c r="J940" s="23" t="s">
        <v>27</v>
      </c>
      <c r="K940" s="23" t="s">
        <v>200</v>
      </c>
      <c r="L940" s="23">
        <v>2</v>
      </c>
      <c r="N940" s="23">
        <v>1</v>
      </c>
      <c r="O940" s="118"/>
      <c r="P940" s="119"/>
      <c r="Q940" s="120"/>
      <c r="R940" s="29"/>
      <c r="S940" s="121"/>
      <c r="T940" s="122"/>
      <c r="U940" s="118"/>
      <c r="V940" s="123"/>
      <c r="W940" s="124"/>
      <c r="X940" s="125"/>
      <c r="Y940" s="29"/>
      <c r="Z940" s="122"/>
      <c r="AA940" s="126"/>
      <c r="AB940" s="127"/>
      <c r="AD940" s="23" t="s">
        <v>3665</v>
      </c>
      <c r="AE940" s="23"/>
      <c r="AF940" s="23" t="s">
        <v>3666</v>
      </c>
      <c r="AO940" s="24"/>
      <c r="AP940" s="23"/>
      <c r="AQ940" s="118"/>
      <c r="AR940" s="119"/>
      <c r="AS940" s="120"/>
      <c r="AT940" s="29"/>
      <c r="AU940" s="122"/>
      <c r="AV940" s="118"/>
      <c r="AW940" s="123"/>
      <c r="AX940" s="124"/>
      <c r="AY940" s="125"/>
      <c r="AZ940" s="29"/>
      <c r="BA940" s="122"/>
      <c r="BB940" s="126"/>
      <c r="BE940" s="24"/>
      <c r="BF940" s="23"/>
    </row>
    <row r="941" spans="1:58" ht="15" customHeight="1">
      <c r="A941" s="28" t="s">
        <v>3634</v>
      </c>
      <c r="B941" s="23" t="s">
        <v>3667</v>
      </c>
      <c r="C941" s="23" t="s">
        <v>3636</v>
      </c>
      <c r="D941" s="31">
        <v>312</v>
      </c>
      <c r="E941" s="23">
        <v>2</v>
      </c>
      <c r="G941" s="23" t="s">
        <v>3668</v>
      </c>
      <c r="J941" s="23" t="s">
        <v>312</v>
      </c>
      <c r="K941" s="23" t="s">
        <v>200</v>
      </c>
      <c r="L941" s="23">
        <v>5</v>
      </c>
      <c r="N941" s="128"/>
      <c r="O941" s="118"/>
      <c r="P941" s="119"/>
      <c r="Q941" s="120"/>
      <c r="R941" s="29"/>
      <c r="S941" s="121">
        <v>1</v>
      </c>
      <c r="T941" s="122"/>
      <c r="U941" s="118"/>
      <c r="V941" s="123"/>
      <c r="W941" s="124"/>
      <c r="X941" s="125"/>
      <c r="Y941" s="29"/>
      <c r="Z941" s="122"/>
      <c r="AA941" s="126"/>
      <c r="AB941" s="16" t="s">
        <v>208</v>
      </c>
      <c r="AD941" s="23" t="s">
        <v>3669</v>
      </c>
      <c r="AE941" s="23"/>
      <c r="AF941" s="23" t="s">
        <v>3670</v>
      </c>
      <c r="AO941" s="24"/>
      <c r="AP941" s="23"/>
      <c r="AQ941" s="118"/>
      <c r="AR941" s="119"/>
      <c r="AS941" s="120"/>
      <c r="AT941" s="29"/>
      <c r="AU941" s="122"/>
      <c r="AV941" s="118"/>
      <c r="AW941" s="123"/>
      <c r="AX941" s="124"/>
      <c r="AY941" s="125"/>
      <c r="AZ941" s="29"/>
      <c r="BA941" s="122"/>
      <c r="BB941" s="126"/>
      <c r="BE941" s="24"/>
      <c r="BF941" s="23"/>
    </row>
    <row r="942" spans="1:58" ht="15" customHeight="1">
      <c r="A942" s="28" t="s">
        <v>3634</v>
      </c>
      <c r="B942" s="23" t="s">
        <v>3671</v>
      </c>
      <c r="C942" s="23" t="s">
        <v>3636</v>
      </c>
      <c r="D942" s="31">
        <v>313</v>
      </c>
      <c r="E942" s="23">
        <v>2</v>
      </c>
      <c r="G942" s="23" t="s">
        <v>1817</v>
      </c>
      <c r="J942" s="23" t="s">
        <v>257</v>
      </c>
      <c r="K942" s="23" t="s">
        <v>202</v>
      </c>
      <c r="L942" s="23">
        <v>2</v>
      </c>
      <c r="N942" s="23">
        <v>1</v>
      </c>
      <c r="O942" s="118"/>
      <c r="P942" s="119">
        <v>2</v>
      </c>
      <c r="Q942" s="120"/>
      <c r="R942" s="29"/>
      <c r="S942" s="121"/>
      <c r="T942" s="122"/>
      <c r="U942" s="118"/>
      <c r="V942" s="123"/>
      <c r="W942" s="124"/>
      <c r="X942" s="125"/>
      <c r="Y942" s="29"/>
      <c r="Z942" s="122"/>
      <c r="AA942" s="126"/>
      <c r="AB942" s="127" t="s">
        <v>1084</v>
      </c>
      <c r="AC942" s="23" t="s">
        <v>258</v>
      </c>
      <c r="AD942" s="23" t="s">
        <v>265</v>
      </c>
      <c r="AE942" s="23"/>
      <c r="AF942" s="23" t="s">
        <v>3672</v>
      </c>
      <c r="AO942" s="24"/>
      <c r="AP942" s="23"/>
      <c r="AQ942" s="118"/>
      <c r="AR942" s="119"/>
      <c r="AS942" s="120"/>
      <c r="AT942" s="29"/>
      <c r="AU942" s="122"/>
      <c r="AV942" s="118"/>
      <c r="AW942" s="123"/>
      <c r="AX942" s="124"/>
      <c r="AY942" s="125"/>
      <c r="AZ942" s="29"/>
      <c r="BA942" s="122"/>
      <c r="BB942" s="126"/>
      <c r="BE942" s="24"/>
      <c r="BF942" s="23"/>
    </row>
    <row r="943" spans="1:58" ht="15" customHeight="1">
      <c r="A943" s="28" t="s">
        <v>3634</v>
      </c>
      <c r="B943" s="23" t="s">
        <v>3673</v>
      </c>
      <c r="C943" s="23" t="s">
        <v>3636</v>
      </c>
      <c r="D943" s="31">
        <v>314</v>
      </c>
      <c r="E943" s="23">
        <v>2</v>
      </c>
      <c r="G943" s="23" t="s">
        <v>3674</v>
      </c>
      <c r="J943" s="23" t="s">
        <v>27</v>
      </c>
      <c r="K943" s="23" t="s">
        <v>202</v>
      </c>
      <c r="L943" s="23">
        <v>3</v>
      </c>
      <c r="N943" s="23">
        <v>1</v>
      </c>
      <c r="O943" s="118"/>
      <c r="P943" s="119">
        <v>2</v>
      </c>
      <c r="Q943" s="120"/>
      <c r="R943" s="29">
        <v>2</v>
      </c>
      <c r="S943" s="121"/>
      <c r="T943" s="122"/>
      <c r="U943" s="118"/>
      <c r="V943" s="123"/>
      <c r="W943" s="124"/>
      <c r="X943" s="125"/>
      <c r="Y943" s="29"/>
      <c r="Z943" s="122"/>
      <c r="AA943" s="126"/>
      <c r="AB943" s="16" t="s">
        <v>3675</v>
      </c>
      <c r="AD943" s="23" t="s">
        <v>1412</v>
      </c>
      <c r="AE943" s="23"/>
      <c r="AF943" s="23" t="s">
        <v>3676</v>
      </c>
      <c r="AO943" s="24"/>
      <c r="AP943" s="23"/>
      <c r="AQ943" s="118"/>
      <c r="AR943" s="119"/>
      <c r="AS943" s="120"/>
      <c r="AT943" s="29"/>
      <c r="AU943" s="122"/>
      <c r="AV943" s="118"/>
      <c r="AW943" s="123"/>
      <c r="AX943" s="124"/>
      <c r="AY943" s="125"/>
      <c r="AZ943" s="29"/>
      <c r="BA943" s="122"/>
      <c r="BB943" s="126"/>
      <c r="BE943" s="24"/>
      <c r="BF943" s="23"/>
    </row>
    <row r="944" spans="1:58" ht="15" customHeight="1">
      <c r="A944" s="28" t="s">
        <v>3634</v>
      </c>
      <c r="B944" s="23" t="s">
        <v>3677</v>
      </c>
      <c r="C944" s="23" t="s">
        <v>3636</v>
      </c>
      <c r="D944" s="24">
        <v>315</v>
      </c>
      <c r="E944" s="23">
        <v>2</v>
      </c>
      <c r="G944" s="23" t="s">
        <v>3678</v>
      </c>
      <c r="H944" s="23" t="s">
        <v>3679</v>
      </c>
      <c r="I944" s="23" t="s">
        <v>223</v>
      </c>
      <c r="J944" s="23" t="s">
        <v>257</v>
      </c>
      <c r="K944" s="23" t="s">
        <v>26</v>
      </c>
      <c r="L944" s="23">
        <v>5</v>
      </c>
      <c r="N944" s="23">
        <v>3</v>
      </c>
      <c r="O944" s="118">
        <v>1</v>
      </c>
      <c r="P944" s="119"/>
      <c r="Q944" s="120"/>
      <c r="R944" s="29"/>
      <c r="S944" s="121">
        <v>1</v>
      </c>
      <c r="T944" s="122"/>
      <c r="U944" s="118">
        <v>4</v>
      </c>
      <c r="V944" s="123"/>
      <c r="W944" s="124"/>
      <c r="X944" s="125"/>
      <c r="Y944" s="29"/>
      <c r="Z944" s="122"/>
      <c r="AA944" s="126"/>
      <c r="AB944" s="127" t="s">
        <v>3680</v>
      </c>
      <c r="AC944" s="23" t="s">
        <v>275</v>
      </c>
      <c r="AD944" s="23" t="s">
        <v>276</v>
      </c>
      <c r="AE944" s="23"/>
      <c r="AF944" s="23" t="s">
        <v>3681</v>
      </c>
      <c r="AO944" s="24"/>
      <c r="AP944" s="23"/>
      <c r="AQ944" s="118"/>
      <c r="AR944" s="119"/>
      <c r="AS944" s="120"/>
      <c r="AT944" s="29"/>
      <c r="AU944" s="122"/>
      <c r="AV944" s="118"/>
      <c r="AW944" s="123"/>
      <c r="AX944" s="124"/>
      <c r="AY944" s="125"/>
      <c r="AZ944" s="29"/>
      <c r="BA944" s="122"/>
      <c r="BB944" s="126"/>
      <c r="BE944" s="24"/>
      <c r="BF944" s="23"/>
    </row>
    <row r="945" spans="1:59" ht="15" customHeight="1">
      <c r="A945" s="28" t="s">
        <v>3634</v>
      </c>
      <c r="B945" s="23" t="s">
        <v>3682</v>
      </c>
      <c r="C945" s="23" t="s">
        <v>3636</v>
      </c>
      <c r="D945" s="31">
        <v>316</v>
      </c>
      <c r="E945" s="23">
        <v>1</v>
      </c>
      <c r="F945" s="23" t="s">
        <v>3683</v>
      </c>
      <c r="G945" s="23" t="s">
        <v>3683</v>
      </c>
      <c r="J945" s="23" t="s">
        <v>618</v>
      </c>
      <c r="K945" s="23" t="s">
        <v>2426</v>
      </c>
      <c r="N945" s="23"/>
      <c r="O945" s="118"/>
      <c r="P945" s="119"/>
      <c r="Q945" s="120"/>
      <c r="R945" s="29"/>
      <c r="S945" s="121"/>
      <c r="T945" s="122"/>
      <c r="U945" s="118"/>
      <c r="V945" s="123"/>
      <c r="W945" s="124"/>
      <c r="X945" s="125"/>
      <c r="Y945" s="29"/>
      <c r="Z945" s="122"/>
      <c r="AA945" s="126"/>
      <c r="AB945" s="16"/>
      <c r="AE945" s="23"/>
      <c r="AF945" s="23" t="s">
        <v>3684</v>
      </c>
      <c r="AI945" s="23" t="s">
        <v>3683</v>
      </c>
      <c r="AL945" s="23" t="s">
        <v>618</v>
      </c>
      <c r="AO945" s="24"/>
      <c r="AP945" s="23"/>
      <c r="AQ945" s="118"/>
      <c r="AR945" s="119"/>
      <c r="AS945" s="120"/>
      <c r="AT945" s="29"/>
      <c r="AU945" s="122"/>
      <c r="AV945" s="118"/>
      <c r="AW945" s="123"/>
      <c r="AX945" s="124"/>
      <c r="AY945" s="125"/>
      <c r="AZ945" s="29"/>
      <c r="BA945" s="122"/>
      <c r="BB945" s="126"/>
      <c r="BE945" s="24"/>
      <c r="BF945" s="23"/>
      <c r="BG945" s="23" t="s">
        <v>3685</v>
      </c>
    </row>
    <row r="946" spans="1:59" ht="15" customHeight="1">
      <c r="A946" s="28" t="s">
        <v>3634</v>
      </c>
      <c r="B946" s="23" t="s">
        <v>3686</v>
      </c>
      <c r="C946" s="23" t="s">
        <v>3636</v>
      </c>
      <c r="D946" s="24">
        <v>317</v>
      </c>
      <c r="E946" s="23">
        <v>1</v>
      </c>
      <c r="F946" s="23" t="s">
        <v>3683</v>
      </c>
      <c r="G946" s="23" t="s">
        <v>3687</v>
      </c>
      <c r="J946" s="23" t="s">
        <v>619</v>
      </c>
      <c r="K946" s="23" t="s">
        <v>2426</v>
      </c>
      <c r="L946" s="23">
        <v>1</v>
      </c>
      <c r="N946" s="23"/>
      <c r="O946" s="118"/>
      <c r="P946" s="119"/>
      <c r="Q946" s="120"/>
      <c r="R946" s="29"/>
      <c r="S946" s="121"/>
      <c r="T946" s="122"/>
      <c r="U946" s="118"/>
      <c r="V946" s="123"/>
      <c r="W946" s="124"/>
      <c r="X946" s="125"/>
      <c r="Y946" s="29"/>
      <c r="Z946" s="122">
        <v>7</v>
      </c>
      <c r="AA946" s="126"/>
      <c r="AB946" s="127"/>
      <c r="AE946" s="23"/>
      <c r="AF946" s="23" t="s">
        <v>3688</v>
      </c>
      <c r="AI946" s="23" t="s">
        <v>3689</v>
      </c>
      <c r="AL946" s="23" t="s">
        <v>619</v>
      </c>
      <c r="AN946" s="23">
        <v>1</v>
      </c>
      <c r="AO946" s="24"/>
      <c r="AP946" s="23"/>
      <c r="AQ946" s="118"/>
      <c r="AR946" s="119"/>
      <c r="AS946" s="120"/>
      <c r="AT946" s="29"/>
      <c r="AU946" s="122"/>
      <c r="AV946" s="118"/>
      <c r="AW946" s="123"/>
      <c r="AX946" s="124"/>
      <c r="AY946" s="125"/>
      <c r="AZ946" s="29"/>
      <c r="BA946" s="122"/>
      <c r="BB946" s="126"/>
      <c r="BE946" s="24"/>
      <c r="BF946" s="23"/>
      <c r="BG946" s="23" t="s">
        <v>3690</v>
      </c>
    </row>
    <row r="947" spans="1:59" ht="15" customHeight="1">
      <c r="A947" s="28" t="s">
        <v>3634</v>
      </c>
      <c r="B947" s="23" t="s">
        <v>3691</v>
      </c>
      <c r="C947" s="23" t="s">
        <v>3636</v>
      </c>
      <c r="D947" s="31">
        <v>318</v>
      </c>
      <c r="E947" s="23">
        <v>1</v>
      </c>
      <c r="F947" s="23" t="s">
        <v>3683</v>
      </c>
      <c r="G947" s="23" t="s">
        <v>3692</v>
      </c>
      <c r="J947" s="23" t="s">
        <v>619</v>
      </c>
      <c r="K947" s="23" t="s">
        <v>2426</v>
      </c>
      <c r="L947" s="23">
        <v>2</v>
      </c>
      <c r="N947" s="23"/>
      <c r="O947" s="118"/>
      <c r="P947" s="119"/>
      <c r="Q947" s="120"/>
      <c r="R947" s="29"/>
      <c r="S947" s="121"/>
      <c r="T947" s="122"/>
      <c r="U947" s="118"/>
      <c r="V947" s="123"/>
      <c r="W947" s="124"/>
      <c r="X947" s="125"/>
      <c r="Y947" s="29"/>
      <c r="Z947" s="122">
        <v>7</v>
      </c>
      <c r="AA947" s="126"/>
      <c r="AB947" s="127"/>
      <c r="AE947" s="23"/>
      <c r="AF947" s="23" t="s">
        <v>3693</v>
      </c>
      <c r="AI947" s="23" t="s">
        <v>3694</v>
      </c>
      <c r="AL947" s="23" t="s">
        <v>619</v>
      </c>
      <c r="AN947" s="23">
        <v>2</v>
      </c>
      <c r="AO947" s="24"/>
      <c r="AP947" s="23"/>
      <c r="AQ947" s="118"/>
      <c r="AR947" s="119"/>
      <c r="AS947" s="120"/>
      <c r="AT947" s="29"/>
      <c r="AU947" s="122"/>
      <c r="AV947" s="118"/>
      <c r="AW947" s="123"/>
      <c r="AX947" s="124"/>
      <c r="AY947" s="125"/>
      <c r="AZ947" s="29"/>
      <c r="BA947" s="122"/>
      <c r="BB947" s="126"/>
      <c r="BE947" s="24"/>
      <c r="BF947" s="23"/>
      <c r="BG947" s="23" t="s">
        <v>3695</v>
      </c>
    </row>
    <row r="948" spans="1:59" ht="15" customHeight="1">
      <c r="A948" s="28" t="s">
        <v>3634</v>
      </c>
      <c r="B948" s="23" t="s">
        <v>3696</v>
      </c>
      <c r="C948" s="23" t="s">
        <v>3636</v>
      </c>
      <c r="D948" s="24">
        <v>319</v>
      </c>
      <c r="E948" s="23">
        <v>1</v>
      </c>
      <c r="F948" s="23" t="s">
        <v>3683</v>
      </c>
      <c r="G948" s="23" t="s">
        <v>3697</v>
      </c>
      <c r="J948" s="23" t="s">
        <v>619</v>
      </c>
      <c r="K948" s="23" t="s">
        <v>2426</v>
      </c>
      <c r="L948" s="23">
        <v>3</v>
      </c>
      <c r="N948" s="23"/>
      <c r="O948" s="118"/>
      <c r="P948" s="119"/>
      <c r="Q948" s="120"/>
      <c r="R948" s="29"/>
      <c r="S948" s="121"/>
      <c r="T948" s="122"/>
      <c r="U948" s="118"/>
      <c r="V948" s="123"/>
      <c r="W948" s="124"/>
      <c r="X948" s="125"/>
      <c r="Y948" s="29"/>
      <c r="Z948" s="122">
        <v>9</v>
      </c>
      <c r="AA948" s="126"/>
      <c r="AB948" s="127"/>
      <c r="AE948" s="23"/>
      <c r="AF948" s="23" t="s">
        <v>3698</v>
      </c>
      <c r="AI948" s="23" t="s">
        <v>3699</v>
      </c>
      <c r="AL948" s="23" t="s">
        <v>619</v>
      </c>
      <c r="AN948" s="23">
        <v>3</v>
      </c>
      <c r="AO948" s="24"/>
      <c r="AP948" s="23"/>
      <c r="AQ948" s="118"/>
      <c r="AR948" s="119"/>
      <c r="AS948" s="120"/>
      <c r="AT948" s="29"/>
      <c r="AU948" s="122"/>
      <c r="AV948" s="118"/>
      <c r="AW948" s="123"/>
      <c r="AX948" s="124"/>
      <c r="AY948" s="125"/>
      <c r="AZ948" s="29"/>
      <c r="BA948" s="122"/>
      <c r="BB948" s="126"/>
      <c r="BE948" s="24"/>
      <c r="BF948" s="23"/>
      <c r="BG948" s="23" t="s">
        <v>3700</v>
      </c>
    </row>
    <row r="949" spans="1:59" ht="15" customHeight="1">
      <c r="A949" s="28" t="s">
        <v>3634</v>
      </c>
      <c r="B949" s="23" t="s">
        <v>3701</v>
      </c>
      <c r="C949" s="23" t="s">
        <v>3636</v>
      </c>
      <c r="D949" s="31">
        <v>320</v>
      </c>
      <c r="E949" s="23">
        <v>1</v>
      </c>
      <c r="F949" s="23" t="s">
        <v>3683</v>
      </c>
      <c r="G949" s="23" t="s">
        <v>3702</v>
      </c>
      <c r="J949" s="23" t="s">
        <v>621</v>
      </c>
      <c r="K949" s="23" t="s">
        <v>2426</v>
      </c>
      <c r="L949" s="23">
        <v>1</v>
      </c>
      <c r="N949" s="23"/>
      <c r="O949" s="118"/>
      <c r="P949" s="119"/>
      <c r="Q949" s="120"/>
      <c r="R949" s="29"/>
      <c r="S949" s="121"/>
      <c r="T949" s="122"/>
      <c r="U949" s="118"/>
      <c r="V949" s="123"/>
      <c r="W949" s="124"/>
      <c r="X949" s="125"/>
      <c r="Y949" s="29" t="s">
        <v>1697</v>
      </c>
      <c r="Z949" s="122"/>
      <c r="AA949" s="126"/>
      <c r="AB949" s="127"/>
      <c r="AE949" s="23"/>
      <c r="AF949" s="23" t="s">
        <v>3703</v>
      </c>
      <c r="AI949" s="23" t="s">
        <v>3704</v>
      </c>
      <c r="AL949" s="23" t="s">
        <v>621</v>
      </c>
      <c r="AN949" s="23">
        <v>1</v>
      </c>
      <c r="AO949" s="24"/>
      <c r="AP949" s="23"/>
      <c r="AQ949" s="118"/>
      <c r="AR949" s="119"/>
      <c r="AS949" s="120"/>
      <c r="AT949" s="29"/>
      <c r="AU949" s="122"/>
      <c r="AV949" s="118"/>
      <c r="AW949" s="123"/>
      <c r="AX949" s="124"/>
      <c r="AY949" s="125"/>
      <c r="AZ949" s="29"/>
      <c r="BA949" s="122"/>
      <c r="BB949" s="126"/>
      <c r="BE949" s="24"/>
      <c r="BF949" s="23"/>
      <c r="BG949" s="23" t="s">
        <v>3705</v>
      </c>
    </row>
    <row r="950" spans="1:59" ht="15" customHeight="1">
      <c r="A950" s="28" t="s">
        <v>3634</v>
      </c>
      <c r="B950" s="23" t="s">
        <v>3706</v>
      </c>
      <c r="C950" s="23" t="s">
        <v>3636</v>
      </c>
      <c r="D950" s="24">
        <v>321</v>
      </c>
      <c r="E950" s="23">
        <v>1</v>
      </c>
      <c r="F950" s="23" t="s">
        <v>3683</v>
      </c>
      <c r="G950" s="23" t="s">
        <v>3707</v>
      </c>
      <c r="J950" s="23" t="s">
        <v>621</v>
      </c>
      <c r="K950" s="23" t="s">
        <v>2426</v>
      </c>
      <c r="L950" s="23">
        <v>2</v>
      </c>
      <c r="N950" s="23"/>
      <c r="O950" s="118"/>
      <c r="P950" s="119"/>
      <c r="Q950" s="120"/>
      <c r="R950" s="29"/>
      <c r="S950" s="121"/>
      <c r="T950" s="122"/>
      <c r="U950" s="118"/>
      <c r="V950" s="123"/>
      <c r="W950" s="124"/>
      <c r="X950" s="125"/>
      <c r="Y950" s="29" t="s">
        <v>38</v>
      </c>
      <c r="Z950" s="122"/>
      <c r="AA950" s="126"/>
      <c r="AB950" s="127"/>
      <c r="AE950" s="23"/>
      <c r="AF950" s="23" t="s">
        <v>3708</v>
      </c>
      <c r="AI950" s="23" t="s">
        <v>3709</v>
      </c>
      <c r="AJ950" s="23" t="s">
        <v>3710</v>
      </c>
      <c r="AK950" s="23" t="s">
        <v>223</v>
      </c>
      <c r="AL950" s="23" t="s">
        <v>257</v>
      </c>
      <c r="AM950" s="23" t="s">
        <v>26</v>
      </c>
      <c r="AO950" s="24"/>
      <c r="AP950" s="23">
        <v>0</v>
      </c>
      <c r="AQ950" s="118"/>
      <c r="AR950" s="119"/>
      <c r="AS950" s="120"/>
      <c r="AT950" s="29"/>
      <c r="AU950" s="122"/>
      <c r="AV950" s="118"/>
      <c r="AW950" s="123"/>
      <c r="AX950" s="124"/>
      <c r="AY950" s="125"/>
      <c r="AZ950" s="29"/>
      <c r="BA950" s="122"/>
      <c r="BB950" s="126"/>
      <c r="BE950" s="24" t="s">
        <v>276</v>
      </c>
      <c r="BF950" s="23"/>
      <c r="BG950" s="23" t="s">
        <v>3711</v>
      </c>
    </row>
    <row r="951" spans="1:59" ht="15" customHeight="1">
      <c r="A951" s="28" t="s">
        <v>3634</v>
      </c>
      <c r="B951" s="23" t="s">
        <v>3712</v>
      </c>
      <c r="C951" s="23" t="s">
        <v>3636</v>
      </c>
      <c r="D951" s="31">
        <v>322</v>
      </c>
      <c r="E951" s="23">
        <v>1</v>
      </c>
      <c r="F951" s="23" t="s">
        <v>3683</v>
      </c>
      <c r="G951" s="23" t="s">
        <v>3713</v>
      </c>
      <c r="J951" s="23" t="s">
        <v>621</v>
      </c>
      <c r="K951" s="23" t="s">
        <v>2426</v>
      </c>
      <c r="L951" s="23">
        <v>2</v>
      </c>
      <c r="N951" s="23"/>
      <c r="O951" s="118"/>
      <c r="P951" s="119"/>
      <c r="Q951" s="120"/>
      <c r="R951" s="29"/>
      <c r="S951" s="121"/>
      <c r="T951" s="122"/>
      <c r="U951" s="118"/>
      <c r="V951" s="123"/>
      <c r="W951" s="124"/>
      <c r="X951" s="125"/>
      <c r="Y951" s="29" t="s">
        <v>38</v>
      </c>
      <c r="Z951" s="122"/>
      <c r="AA951" s="126"/>
      <c r="AB951" s="127"/>
      <c r="AE951" s="23"/>
      <c r="AF951" s="23" t="s">
        <v>3714</v>
      </c>
      <c r="AI951" s="23" t="s">
        <v>3715</v>
      </c>
      <c r="AL951" s="23" t="s">
        <v>621</v>
      </c>
      <c r="AN951" s="23">
        <v>2</v>
      </c>
      <c r="AO951" s="24"/>
      <c r="AP951" s="23"/>
      <c r="AQ951" s="118"/>
      <c r="AR951" s="119"/>
      <c r="AS951" s="120"/>
      <c r="AT951" s="29"/>
      <c r="AU951" s="122"/>
      <c r="AV951" s="118"/>
      <c r="AW951" s="123"/>
      <c r="AX951" s="124"/>
      <c r="AY951" s="125"/>
      <c r="AZ951" s="29"/>
      <c r="BA951" s="122"/>
      <c r="BB951" s="126"/>
      <c r="BE951" s="24"/>
      <c r="BF951" s="23"/>
      <c r="BG951" s="23" t="s">
        <v>3716</v>
      </c>
    </row>
    <row r="952" spans="1:59" ht="15" customHeight="1">
      <c r="A952" s="28" t="s">
        <v>3634</v>
      </c>
      <c r="B952" s="23" t="s">
        <v>3717</v>
      </c>
      <c r="C952" s="23" t="s">
        <v>3636</v>
      </c>
      <c r="D952" s="24">
        <v>323</v>
      </c>
      <c r="E952" s="23">
        <v>1</v>
      </c>
      <c r="F952" s="23" t="s">
        <v>3683</v>
      </c>
      <c r="G952" s="23" t="s">
        <v>3718</v>
      </c>
      <c r="J952" s="23" t="s">
        <v>621</v>
      </c>
      <c r="K952" s="23" t="s">
        <v>2426</v>
      </c>
      <c r="L952" s="23">
        <v>2</v>
      </c>
      <c r="N952" s="23"/>
      <c r="O952" s="118"/>
      <c r="P952" s="119"/>
      <c r="Q952" s="120"/>
      <c r="R952" s="29"/>
      <c r="S952" s="121"/>
      <c r="T952" s="122"/>
      <c r="U952" s="118"/>
      <c r="V952" s="123"/>
      <c r="W952" s="124"/>
      <c r="X952" s="125"/>
      <c r="Y952" s="29" t="s">
        <v>38</v>
      </c>
      <c r="Z952" s="122"/>
      <c r="AA952" s="126"/>
      <c r="AB952" s="127"/>
      <c r="AE952" s="23"/>
      <c r="AF952" s="23" t="s">
        <v>3719</v>
      </c>
      <c r="AI952" s="23" t="s">
        <v>3720</v>
      </c>
      <c r="AL952" s="23" t="s">
        <v>621</v>
      </c>
      <c r="AN952" s="23">
        <v>2</v>
      </c>
      <c r="AO952" s="24"/>
      <c r="AP952" s="23"/>
      <c r="AQ952" s="118"/>
      <c r="AR952" s="119"/>
      <c r="AS952" s="120"/>
      <c r="AT952" s="29"/>
      <c r="AU952" s="122"/>
      <c r="AV952" s="118"/>
      <c r="AW952" s="123"/>
      <c r="AX952" s="124"/>
      <c r="AY952" s="125"/>
      <c r="AZ952" s="29"/>
      <c r="BA952" s="122"/>
      <c r="BB952" s="126"/>
      <c r="BE952" s="24"/>
      <c r="BF952" s="23"/>
      <c r="BG952" s="23" t="s">
        <v>3721</v>
      </c>
    </row>
    <row r="953" spans="1:59" ht="15" customHeight="1">
      <c r="A953" s="28" t="s">
        <v>3634</v>
      </c>
      <c r="B953" s="23" t="s">
        <v>3722</v>
      </c>
      <c r="C953" s="23" t="s">
        <v>3636</v>
      </c>
      <c r="D953" s="31">
        <v>324</v>
      </c>
      <c r="E953" s="23">
        <v>1</v>
      </c>
      <c r="F953" s="23" t="s">
        <v>3683</v>
      </c>
      <c r="G953" s="23" t="s">
        <v>3723</v>
      </c>
      <c r="J953" s="23" t="s">
        <v>621</v>
      </c>
      <c r="K953" s="23" t="s">
        <v>2426</v>
      </c>
      <c r="L953" s="23">
        <v>3</v>
      </c>
      <c r="N953" s="23"/>
      <c r="O953" s="118"/>
      <c r="P953" s="119"/>
      <c r="Q953" s="120"/>
      <c r="R953" s="29"/>
      <c r="S953" s="121"/>
      <c r="T953" s="122"/>
      <c r="U953" s="118"/>
      <c r="V953" s="123"/>
      <c r="W953" s="124"/>
      <c r="X953" s="125"/>
      <c r="Y953" s="29" t="s">
        <v>38</v>
      </c>
      <c r="Z953" s="122"/>
      <c r="AA953" s="126"/>
      <c r="AB953" s="127"/>
      <c r="AE953" s="23"/>
      <c r="AF953" s="23" t="s">
        <v>3724</v>
      </c>
      <c r="AI953" s="23" t="s">
        <v>3725</v>
      </c>
      <c r="AL953" s="23" t="s">
        <v>621</v>
      </c>
      <c r="AN953" s="23">
        <v>3</v>
      </c>
      <c r="AO953" s="24"/>
      <c r="AP953" s="23"/>
      <c r="AQ953" s="118"/>
      <c r="AR953" s="119"/>
      <c r="AS953" s="120"/>
      <c r="AT953" s="29"/>
      <c r="AU953" s="122"/>
      <c r="AV953" s="118"/>
      <c r="AW953" s="123"/>
      <c r="AX953" s="124"/>
      <c r="AY953" s="125"/>
      <c r="AZ953" s="29"/>
      <c r="BA953" s="122"/>
      <c r="BB953" s="126"/>
      <c r="BE953" s="24"/>
      <c r="BF953" s="23"/>
      <c r="BG953" s="23" t="s">
        <v>3726</v>
      </c>
    </row>
    <row r="954" spans="1:59" ht="15" customHeight="1">
      <c r="A954" s="28" t="s">
        <v>3634</v>
      </c>
      <c r="B954" s="23" t="s">
        <v>3727</v>
      </c>
      <c r="C954" s="23" t="s">
        <v>3636</v>
      </c>
      <c r="D954" s="24">
        <v>325</v>
      </c>
      <c r="E954" s="23">
        <v>1</v>
      </c>
      <c r="F954" s="23" t="s">
        <v>3683</v>
      </c>
      <c r="G954" s="23" t="s">
        <v>3728</v>
      </c>
      <c r="J954" s="23" t="s">
        <v>31</v>
      </c>
      <c r="K954" s="23" t="s">
        <v>2426</v>
      </c>
      <c r="N954" s="23"/>
      <c r="O954" s="118"/>
      <c r="P954" s="119"/>
      <c r="Q954" s="120"/>
      <c r="R954" s="29"/>
      <c r="S954" s="121"/>
      <c r="T954" s="122"/>
      <c r="U954" s="118"/>
      <c r="V954" s="123"/>
      <c r="W954" s="124"/>
      <c r="X954" s="125">
        <v>3</v>
      </c>
      <c r="Y954" s="29" t="s">
        <v>1697</v>
      </c>
      <c r="Z954" s="122"/>
      <c r="AA954" s="126"/>
      <c r="AB954" s="127"/>
      <c r="AD954" s="23" t="s">
        <v>3729</v>
      </c>
      <c r="AE954" s="23"/>
      <c r="AI954" s="23" t="s">
        <v>3730</v>
      </c>
      <c r="AL954" s="23" t="s">
        <v>618</v>
      </c>
      <c r="AO954" s="24"/>
      <c r="AP954" s="23"/>
      <c r="AQ954" s="118"/>
      <c r="AR954" s="119"/>
      <c r="AS954" s="120"/>
      <c r="AT954" s="29"/>
      <c r="AU954" s="122"/>
      <c r="AV954" s="118"/>
      <c r="AW954" s="123"/>
      <c r="AX954" s="124"/>
      <c r="AY954" s="125"/>
      <c r="AZ954" s="29"/>
      <c r="BA954" s="122"/>
      <c r="BB954" s="126"/>
      <c r="BE954" s="24"/>
      <c r="BF954" s="23"/>
      <c r="BG954" s="23" t="s">
        <v>3731</v>
      </c>
    </row>
    <row r="955" spans="1:59" ht="15" customHeight="1">
      <c r="A955" s="28" t="s">
        <v>3634</v>
      </c>
      <c r="B955" s="23" t="s">
        <v>3732</v>
      </c>
      <c r="C955" s="23" t="s">
        <v>3636</v>
      </c>
      <c r="D955" s="24">
        <v>326</v>
      </c>
      <c r="E955" s="23">
        <v>1</v>
      </c>
      <c r="F955" s="23" t="s">
        <v>3683</v>
      </c>
      <c r="G955" s="23" t="s">
        <v>3733</v>
      </c>
      <c r="J955" s="23" t="s">
        <v>31</v>
      </c>
      <c r="K955" s="23" t="s">
        <v>2426</v>
      </c>
      <c r="N955" s="147"/>
      <c r="O955" s="118"/>
      <c r="P955" s="119"/>
      <c r="Q955" s="120"/>
      <c r="R955" s="29"/>
      <c r="S955" s="29"/>
      <c r="T955" s="122"/>
      <c r="U955" s="118"/>
      <c r="V955" s="123"/>
      <c r="W955" s="124"/>
      <c r="X955" s="125">
        <v>4</v>
      </c>
      <c r="Y955" s="29" t="s">
        <v>1071</v>
      </c>
      <c r="Z955" s="122"/>
      <c r="AA955" s="126"/>
      <c r="AB955" s="148"/>
      <c r="AD955" s="23" t="s">
        <v>3729</v>
      </c>
      <c r="AF955" s="23" t="s">
        <v>3734</v>
      </c>
      <c r="AI955" s="23" t="s">
        <v>3735</v>
      </c>
      <c r="AL955" s="23" t="s">
        <v>618</v>
      </c>
      <c r="AP955" s="24"/>
      <c r="AQ955" s="118"/>
      <c r="AR955" s="119"/>
      <c r="AS955" s="120"/>
      <c r="AT955" s="29"/>
      <c r="AU955" s="122"/>
      <c r="AV955" s="118"/>
      <c r="AW955" s="123"/>
      <c r="AX955" s="124"/>
      <c r="AY955" s="125"/>
      <c r="AZ955" s="29"/>
      <c r="BA955" s="122"/>
      <c r="BB955" s="126"/>
      <c r="BG955" s="23" t="s">
        <v>3736</v>
      </c>
    </row>
    <row r="956" spans="1:59" ht="15" customHeight="1">
      <c r="A956" s="28" t="s">
        <v>3634</v>
      </c>
      <c r="B956" s="23" t="s">
        <v>3737</v>
      </c>
      <c r="C956" s="23" t="s">
        <v>3636</v>
      </c>
      <c r="D956" s="24">
        <v>326</v>
      </c>
      <c r="E956" s="23">
        <v>1</v>
      </c>
      <c r="F956" s="23" t="s">
        <v>3683</v>
      </c>
      <c r="G956" s="23" t="s">
        <v>3733</v>
      </c>
      <c r="J956" s="23" t="s">
        <v>31</v>
      </c>
      <c r="K956" s="23" t="s">
        <v>2426</v>
      </c>
      <c r="N956" s="147"/>
      <c r="O956" s="118"/>
      <c r="P956" s="119"/>
      <c r="Q956" s="120"/>
      <c r="R956" s="29"/>
      <c r="S956" s="29"/>
      <c r="T956" s="122"/>
      <c r="U956" s="118"/>
      <c r="V956" s="123"/>
      <c r="W956" s="124"/>
      <c r="X956" s="125">
        <v>4</v>
      </c>
      <c r="Y956" s="29" t="s">
        <v>1071</v>
      </c>
      <c r="Z956" s="122"/>
      <c r="AA956" s="126"/>
      <c r="AB956" s="148"/>
      <c r="AD956" s="23" t="s">
        <v>3729</v>
      </c>
      <c r="AF956" s="23" t="s">
        <v>3734</v>
      </c>
      <c r="AI956" s="23" t="s">
        <v>3738</v>
      </c>
      <c r="AL956" s="23" t="s">
        <v>618</v>
      </c>
      <c r="AP956" s="24"/>
      <c r="AQ956" s="118"/>
      <c r="AR956" s="119"/>
      <c r="AS956" s="120"/>
      <c r="AT956" s="29"/>
      <c r="AU956" s="122"/>
      <c r="AV956" s="118"/>
      <c r="AW956" s="123"/>
      <c r="AX956" s="124"/>
      <c r="AY956" s="125"/>
      <c r="AZ956" s="29"/>
      <c r="BA956" s="122"/>
      <c r="BB956" s="126"/>
      <c r="BG956" s="23" t="s">
        <v>3739</v>
      </c>
    </row>
    <row r="957" spans="1:59" ht="15" customHeight="1">
      <c r="A957" s="28" t="s">
        <v>3634</v>
      </c>
      <c r="B957" s="23" t="s">
        <v>3740</v>
      </c>
      <c r="C957" s="23" t="s">
        <v>3636</v>
      </c>
      <c r="D957" s="24">
        <v>327</v>
      </c>
      <c r="E957" s="23">
        <v>1</v>
      </c>
      <c r="F957" s="23" t="s">
        <v>3683</v>
      </c>
      <c r="G957" s="23" t="s">
        <v>3741</v>
      </c>
      <c r="J957" s="23" t="s">
        <v>31</v>
      </c>
      <c r="K957" s="23" t="s">
        <v>2426</v>
      </c>
      <c r="N957" s="147"/>
      <c r="O957" s="118"/>
      <c r="P957" s="119"/>
      <c r="Q957" s="120"/>
      <c r="R957" s="29"/>
      <c r="S957" s="29"/>
      <c r="T957" s="122"/>
      <c r="U957" s="118"/>
      <c r="V957" s="123"/>
      <c r="W957" s="124"/>
      <c r="X957" s="125">
        <v>2</v>
      </c>
      <c r="Y957" s="29" t="s">
        <v>1071</v>
      </c>
      <c r="Z957" s="122"/>
      <c r="AA957" s="126"/>
      <c r="AB957" s="148"/>
      <c r="AD957" s="23" t="s">
        <v>3729</v>
      </c>
      <c r="AF957" s="23" t="s">
        <v>3742</v>
      </c>
      <c r="AI957" s="23" t="s">
        <v>3743</v>
      </c>
      <c r="AL957" s="23" t="s">
        <v>618</v>
      </c>
      <c r="AP957" s="24"/>
      <c r="AQ957" s="118"/>
      <c r="AR957" s="119"/>
      <c r="AS957" s="120"/>
      <c r="AT957" s="29"/>
      <c r="AU957" s="122"/>
      <c r="AV957" s="118"/>
      <c r="AW957" s="123"/>
      <c r="AX957" s="124"/>
      <c r="AY957" s="125"/>
      <c r="AZ957" s="29"/>
      <c r="BA957" s="122"/>
      <c r="BB957" s="126"/>
      <c r="BG957" s="23" t="s">
        <v>3744</v>
      </c>
    </row>
    <row r="958" spans="1:59" ht="15" customHeight="1">
      <c r="A958" s="28" t="s">
        <v>3634</v>
      </c>
      <c r="B958" s="23" t="s">
        <v>3745</v>
      </c>
      <c r="C958" s="23" t="s">
        <v>3636</v>
      </c>
      <c r="D958" s="24">
        <v>327</v>
      </c>
      <c r="E958" s="23">
        <v>1</v>
      </c>
      <c r="F958" s="23" t="s">
        <v>3683</v>
      </c>
      <c r="G958" s="23" t="s">
        <v>3741</v>
      </c>
      <c r="J958" s="23" t="s">
        <v>31</v>
      </c>
      <c r="K958" s="23" t="s">
        <v>2426</v>
      </c>
      <c r="N958" s="147"/>
      <c r="O958" s="118"/>
      <c r="P958" s="119"/>
      <c r="Q958" s="120"/>
      <c r="R958" s="29"/>
      <c r="S958" s="29"/>
      <c r="T958" s="122"/>
      <c r="U958" s="118"/>
      <c r="V958" s="123"/>
      <c r="W958" s="124"/>
      <c r="X958" s="125">
        <v>2</v>
      </c>
      <c r="Y958" s="29" t="s">
        <v>1071</v>
      </c>
      <c r="Z958" s="122"/>
      <c r="AA958" s="126"/>
      <c r="AB958" s="148"/>
      <c r="AD958" s="23" t="s">
        <v>3729</v>
      </c>
      <c r="AF958" s="23" t="s">
        <v>3742</v>
      </c>
      <c r="AI958" s="23" t="s">
        <v>3746</v>
      </c>
      <c r="AL958" s="23" t="s">
        <v>618</v>
      </c>
      <c r="AP958" s="24"/>
      <c r="AQ958" s="118"/>
      <c r="AR958" s="119"/>
      <c r="AS958" s="120"/>
      <c r="AT958" s="29"/>
      <c r="AU958" s="122"/>
      <c r="AV958" s="118"/>
      <c r="AW958" s="123"/>
      <c r="AX958" s="124"/>
      <c r="AY958" s="125"/>
      <c r="AZ958" s="29"/>
      <c r="BA958" s="122"/>
      <c r="BB958" s="126"/>
      <c r="BG958" s="23" t="s">
        <v>3747</v>
      </c>
    </row>
    <row r="959" spans="1:59" ht="15" customHeight="1">
      <c r="A959" s="28" t="s">
        <v>3634</v>
      </c>
      <c r="B959" s="23" t="s">
        <v>3748</v>
      </c>
      <c r="C959" s="23" t="s">
        <v>3636</v>
      </c>
      <c r="D959" s="24">
        <v>327</v>
      </c>
      <c r="E959" s="23">
        <v>1</v>
      </c>
      <c r="F959" s="23" t="s">
        <v>3683</v>
      </c>
      <c r="G959" s="23" t="s">
        <v>3741</v>
      </c>
      <c r="J959" s="23" t="s">
        <v>31</v>
      </c>
      <c r="K959" s="23" t="s">
        <v>2426</v>
      </c>
      <c r="N959" s="147"/>
      <c r="O959" s="118"/>
      <c r="P959" s="119"/>
      <c r="Q959" s="120"/>
      <c r="R959" s="29"/>
      <c r="S959" s="29"/>
      <c r="T959" s="122"/>
      <c r="U959" s="118"/>
      <c r="V959" s="123"/>
      <c r="W959" s="124"/>
      <c r="X959" s="125">
        <v>2</v>
      </c>
      <c r="Y959" s="29" t="s">
        <v>1071</v>
      </c>
      <c r="Z959" s="122"/>
      <c r="AA959" s="126"/>
      <c r="AB959" s="148"/>
      <c r="AD959" s="23" t="s">
        <v>3729</v>
      </c>
      <c r="AF959" s="23" t="s">
        <v>3742</v>
      </c>
      <c r="AI959" s="23" t="s">
        <v>3749</v>
      </c>
      <c r="AL959" s="23" t="s">
        <v>618</v>
      </c>
      <c r="AP959" s="24"/>
      <c r="AQ959" s="118"/>
      <c r="AR959" s="119"/>
      <c r="AS959" s="120"/>
      <c r="AT959" s="29"/>
      <c r="AU959" s="122"/>
      <c r="AV959" s="118"/>
      <c r="AW959" s="123"/>
      <c r="AX959" s="124"/>
      <c r="AY959" s="125"/>
      <c r="AZ959" s="29"/>
      <c r="BA959" s="122"/>
      <c r="BB959" s="126"/>
      <c r="BG959" s="23" t="s">
        <v>3750</v>
      </c>
    </row>
    <row r="960" spans="1:59" ht="15" customHeight="1">
      <c r="A960" s="28" t="s">
        <v>3634</v>
      </c>
      <c r="B960" s="23" t="s">
        <v>3751</v>
      </c>
      <c r="C960" s="23" t="s">
        <v>3636</v>
      </c>
      <c r="D960" s="24">
        <v>328</v>
      </c>
      <c r="E960" s="23">
        <v>1</v>
      </c>
      <c r="F960" s="23" t="s">
        <v>3683</v>
      </c>
      <c r="G960" s="23" t="s">
        <v>3752</v>
      </c>
      <c r="J960" s="23" t="s">
        <v>31</v>
      </c>
      <c r="K960" s="23" t="s">
        <v>2426</v>
      </c>
      <c r="N960" s="147"/>
      <c r="O960" s="118"/>
      <c r="P960" s="119"/>
      <c r="Q960" s="120"/>
      <c r="R960" s="29"/>
      <c r="S960" s="29"/>
      <c r="T960" s="122"/>
      <c r="U960" s="118"/>
      <c r="V960" s="123"/>
      <c r="W960" s="124"/>
      <c r="X960" s="125">
        <v>2</v>
      </c>
      <c r="Y960" s="29" t="s">
        <v>1071</v>
      </c>
      <c r="Z960" s="122"/>
      <c r="AA960" s="126"/>
      <c r="AB960" s="148"/>
      <c r="AD960" s="23" t="s">
        <v>3729</v>
      </c>
      <c r="AF960" s="23" t="s">
        <v>3753</v>
      </c>
      <c r="AI960" s="23" t="s">
        <v>3754</v>
      </c>
      <c r="AL960" s="23" t="s">
        <v>618</v>
      </c>
      <c r="AP960" s="24"/>
      <c r="AQ960" s="118"/>
      <c r="AR960" s="119"/>
      <c r="AS960" s="120"/>
      <c r="AT960" s="29"/>
      <c r="AU960" s="122"/>
      <c r="AV960" s="118"/>
      <c r="AW960" s="123"/>
      <c r="AX960" s="124"/>
      <c r="AY960" s="125"/>
      <c r="AZ960" s="29"/>
      <c r="BA960" s="122"/>
      <c r="BB960" s="126"/>
      <c r="BG960" s="23" t="s">
        <v>3755</v>
      </c>
    </row>
    <row r="961" spans="1:59" ht="15" customHeight="1">
      <c r="A961" s="28" t="s">
        <v>3634</v>
      </c>
      <c r="B961" s="23" t="s">
        <v>3756</v>
      </c>
      <c r="C961" s="23" t="s">
        <v>3636</v>
      </c>
      <c r="D961" s="24">
        <v>328</v>
      </c>
      <c r="E961" s="23">
        <v>1</v>
      </c>
      <c r="F961" s="23" t="s">
        <v>3683</v>
      </c>
      <c r="G961" s="23" t="s">
        <v>3752</v>
      </c>
      <c r="J961" s="23" t="s">
        <v>31</v>
      </c>
      <c r="K961" s="23" t="s">
        <v>2426</v>
      </c>
      <c r="N961" s="147"/>
      <c r="O961" s="118"/>
      <c r="P961" s="119"/>
      <c r="Q961" s="120"/>
      <c r="R961" s="29"/>
      <c r="S961" s="29"/>
      <c r="T961" s="122"/>
      <c r="U961" s="118"/>
      <c r="V961" s="123"/>
      <c r="W961" s="124"/>
      <c r="X961" s="125">
        <v>2</v>
      </c>
      <c r="Y961" s="29" t="s">
        <v>1071</v>
      </c>
      <c r="Z961" s="122"/>
      <c r="AA961" s="126"/>
      <c r="AB961" s="148"/>
      <c r="AD961" s="23" t="s">
        <v>3729</v>
      </c>
      <c r="AF961" s="23" t="s">
        <v>3753</v>
      </c>
      <c r="AI961" s="23" t="s">
        <v>3757</v>
      </c>
      <c r="AL961" s="23" t="s">
        <v>618</v>
      </c>
      <c r="AP961" s="24"/>
      <c r="AQ961" s="118"/>
      <c r="AR961" s="119"/>
      <c r="AS961" s="120"/>
      <c r="AT961" s="29"/>
      <c r="AU961" s="122"/>
      <c r="AV961" s="118"/>
      <c r="AW961" s="123"/>
      <c r="AX961" s="124"/>
      <c r="AY961" s="125"/>
      <c r="AZ961" s="29"/>
      <c r="BA961" s="122"/>
      <c r="BB961" s="126"/>
      <c r="BG961" s="23" t="s">
        <v>3758</v>
      </c>
    </row>
    <row r="962" spans="1:59" ht="15" customHeight="1">
      <c r="A962" s="28" t="s">
        <v>3634</v>
      </c>
      <c r="B962" s="23" t="s">
        <v>3759</v>
      </c>
      <c r="C962" s="23" t="s">
        <v>3636</v>
      </c>
      <c r="D962" s="24">
        <v>328</v>
      </c>
      <c r="E962" s="23">
        <v>1</v>
      </c>
      <c r="F962" s="23" t="s">
        <v>3683</v>
      </c>
      <c r="G962" s="23" t="s">
        <v>3752</v>
      </c>
      <c r="J962" s="23" t="s">
        <v>31</v>
      </c>
      <c r="K962" s="23" t="s">
        <v>2426</v>
      </c>
      <c r="N962" s="147"/>
      <c r="O962" s="118"/>
      <c r="P962" s="119"/>
      <c r="Q962" s="120"/>
      <c r="R962" s="29"/>
      <c r="S962" s="29"/>
      <c r="T962" s="122"/>
      <c r="U962" s="118"/>
      <c r="V962" s="123"/>
      <c r="W962" s="124"/>
      <c r="X962" s="125">
        <v>2</v>
      </c>
      <c r="Y962" s="29" t="s">
        <v>1071</v>
      </c>
      <c r="Z962" s="122"/>
      <c r="AA962" s="126"/>
      <c r="AB962" s="148"/>
      <c r="AD962" s="23" t="s">
        <v>3729</v>
      </c>
      <c r="AF962" s="23" t="s">
        <v>3753</v>
      </c>
      <c r="AI962" s="23" t="s">
        <v>3760</v>
      </c>
      <c r="AL962" s="23" t="s">
        <v>618</v>
      </c>
      <c r="AP962" s="24"/>
      <c r="AQ962" s="118"/>
      <c r="AR962" s="119"/>
      <c r="AS962" s="120"/>
      <c r="AT962" s="29"/>
      <c r="AU962" s="122"/>
      <c r="AV962" s="118"/>
      <c r="AW962" s="123"/>
      <c r="AX962" s="124"/>
      <c r="AY962" s="125"/>
      <c r="AZ962" s="29"/>
      <c r="BA962" s="122"/>
      <c r="BB962" s="126"/>
      <c r="BG962" s="23" t="s">
        <v>3761</v>
      </c>
    </row>
    <row r="963" spans="1:59" ht="15" customHeight="1">
      <c r="A963" s="28" t="s">
        <v>3634</v>
      </c>
      <c r="B963" s="23" t="s">
        <v>3762</v>
      </c>
      <c r="C963" s="23" t="s">
        <v>3636</v>
      </c>
      <c r="D963" s="24">
        <v>329</v>
      </c>
      <c r="E963" s="23">
        <v>1</v>
      </c>
      <c r="F963" s="23" t="s">
        <v>3683</v>
      </c>
      <c r="G963" s="23" t="s">
        <v>3763</v>
      </c>
      <c r="J963" s="23" t="s">
        <v>31</v>
      </c>
      <c r="K963" s="23" t="s">
        <v>2426</v>
      </c>
      <c r="N963" s="147"/>
      <c r="O963" s="118"/>
      <c r="P963" s="119"/>
      <c r="Q963" s="120"/>
      <c r="R963" s="29"/>
      <c r="S963" s="29"/>
      <c r="T963" s="122"/>
      <c r="U963" s="118"/>
      <c r="V963" s="123"/>
      <c r="W963" s="124"/>
      <c r="X963" s="125">
        <v>4</v>
      </c>
      <c r="Y963" s="29" t="s">
        <v>1071</v>
      </c>
      <c r="Z963" s="122"/>
      <c r="AA963" s="126"/>
      <c r="AB963" s="148"/>
      <c r="AD963" s="23" t="s">
        <v>3729</v>
      </c>
      <c r="AF963" s="23" t="s">
        <v>3764</v>
      </c>
      <c r="AI963" s="23" t="s">
        <v>3765</v>
      </c>
      <c r="AL963" s="23" t="s">
        <v>618</v>
      </c>
      <c r="AP963" s="24"/>
      <c r="AQ963" s="118"/>
      <c r="AR963" s="119"/>
      <c r="AS963" s="120"/>
      <c r="AT963" s="29"/>
      <c r="AU963" s="122"/>
      <c r="AV963" s="118"/>
      <c r="AW963" s="123"/>
      <c r="AX963" s="124"/>
      <c r="AY963" s="125"/>
      <c r="AZ963" s="29"/>
      <c r="BA963" s="122"/>
      <c r="BB963" s="126"/>
      <c r="BG963" s="23" t="s">
        <v>3766</v>
      </c>
    </row>
    <row r="964" spans="1:59" ht="15" customHeight="1">
      <c r="A964" s="28" t="s">
        <v>3634</v>
      </c>
      <c r="B964" s="23" t="s">
        <v>3767</v>
      </c>
      <c r="C964" s="23" t="s">
        <v>3636</v>
      </c>
      <c r="D964" s="24">
        <v>329</v>
      </c>
      <c r="E964" s="23">
        <v>1</v>
      </c>
      <c r="F964" s="23" t="s">
        <v>3683</v>
      </c>
      <c r="G964" s="23" t="s">
        <v>3763</v>
      </c>
      <c r="J964" s="23" t="s">
        <v>31</v>
      </c>
      <c r="K964" s="23" t="s">
        <v>2426</v>
      </c>
      <c r="N964" s="147"/>
      <c r="O964" s="118"/>
      <c r="P964" s="119"/>
      <c r="Q964" s="120"/>
      <c r="R964" s="29"/>
      <c r="S964" s="29"/>
      <c r="T964" s="122"/>
      <c r="U964" s="118"/>
      <c r="V964" s="123"/>
      <c r="W964" s="124"/>
      <c r="X964" s="125">
        <v>4</v>
      </c>
      <c r="Y964" s="29" t="s">
        <v>1071</v>
      </c>
      <c r="Z964" s="122"/>
      <c r="AA964" s="126"/>
      <c r="AB964" s="148"/>
      <c r="AD964" s="23" t="s">
        <v>3729</v>
      </c>
      <c r="AF964" s="23" t="s">
        <v>3764</v>
      </c>
      <c r="AI964" s="23" t="s">
        <v>3768</v>
      </c>
      <c r="AL964" s="23" t="s">
        <v>618</v>
      </c>
      <c r="AP964" s="24"/>
      <c r="AQ964" s="118"/>
      <c r="AR964" s="119"/>
      <c r="AS964" s="120"/>
      <c r="AT964" s="29"/>
      <c r="AU964" s="122"/>
      <c r="AV964" s="118"/>
      <c r="AW964" s="123"/>
      <c r="AX964" s="124"/>
      <c r="AY964" s="125"/>
      <c r="AZ964" s="29"/>
      <c r="BA964" s="122"/>
      <c r="BB964" s="126"/>
      <c r="BG964" s="23" t="s">
        <v>3731</v>
      </c>
    </row>
    <row r="965" spans="1:59" ht="15" customHeight="1">
      <c r="A965" s="28" t="s">
        <v>3634</v>
      </c>
      <c r="B965" s="23" t="s">
        <v>3769</v>
      </c>
      <c r="C965" s="23" t="s">
        <v>3636</v>
      </c>
      <c r="D965" s="24">
        <v>330</v>
      </c>
      <c r="E965" s="23">
        <v>1</v>
      </c>
      <c r="F965" s="23" t="s">
        <v>3683</v>
      </c>
      <c r="G965" s="23" t="s">
        <v>3770</v>
      </c>
      <c r="J965" s="23" t="s">
        <v>31</v>
      </c>
      <c r="K965" s="23" t="s">
        <v>2426</v>
      </c>
      <c r="N965" s="147"/>
      <c r="O965" s="118"/>
      <c r="P965" s="119"/>
      <c r="Q965" s="120"/>
      <c r="R965" s="29"/>
      <c r="S965" s="29"/>
      <c r="T965" s="122"/>
      <c r="U965" s="118"/>
      <c r="V965" s="123"/>
      <c r="W965" s="124"/>
      <c r="X965" s="125">
        <v>3</v>
      </c>
      <c r="Y965" s="29" t="s">
        <v>1697</v>
      </c>
      <c r="Z965" s="122"/>
      <c r="AA965" s="126"/>
      <c r="AB965" s="148"/>
      <c r="AD965" s="23" t="s">
        <v>3729</v>
      </c>
      <c r="AI965" s="23" t="s">
        <v>3771</v>
      </c>
      <c r="AL965" s="23" t="s">
        <v>618</v>
      </c>
      <c r="AP965" s="24"/>
      <c r="AQ965" s="118"/>
      <c r="AR965" s="119"/>
      <c r="AS965" s="120"/>
      <c r="AT965" s="29"/>
      <c r="AU965" s="122"/>
      <c r="AV965" s="118"/>
      <c r="AW965" s="123"/>
      <c r="AX965" s="124"/>
      <c r="AY965" s="125"/>
      <c r="AZ965" s="29"/>
      <c r="BA965" s="122"/>
      <c r="BB965" s="126"/>
      <c r="BG965" s="23" t="s">
        <v>3772</v>
      </c>
    </row>
    <row r="966" spans="1:59" ht="15" customHeight="1">
      <c r="A966" s="28" t="s">
        <v>3634</v>
      </c>
      <c r="B966" s="23" t="s">
        <v>3773</v>
      </c>
      <c r="C966" s="23" t="s">
        <v>3636</v>
      </c>
      <c r="D966" s="24">
        <v>331</v>
      </c>
      <c r="E966" s="23">
        <v>1</v>
      </c>
      <c r="F966" s="23" t="s">
        <v>3683</v>
      </c>
      <c r="G966" s="23" t="s">
        <v>3774</v>
      </c>
      <c r="J966" s="23" t="s">
        <v>31</v>
      </c>
      <c r="K966" s="23" t="s">
        <v>2426</v>
      </c>
      <c r="N966" s="147"/>
      <c r="O966" s="118"/>
      <c r="P966" s="119"/>
      <c r="Q966" s="120"/>
      <c r="R966" s="29"/>
      <c r="S966" s="29"/>
      <c r="T966" s="122"/>
      <c r="U966" s="118"/>
      <c r="V966" s="123"/>
      <c r="W966" s="124"/>
      <c r="X966" s="125">
        <v>2</v>
      </c>
      <c r="Y966" s="29" t="s">
        <v>1696</v>
      </c>
      <c r="Z966" s="122"/>
      <c r="AA966" s="126"/>
      <c r="AB966" s="148"/>
      <c r="AD966" s="23" t="s">
        <v>3729</v>
      </c>
      <c r="AF966" s="23" t="s">
        <v>3775</v>
      </c>
      <c r="AI966" s="23" t="s">
        <v>3776</v>
      </c>
      <c r="AL966" s="23" t="s">
        <v>618</v>
      </c>
      <c r="AP966" s="24"/>
      <c r="AQ966" s="118"/>
      <c r="AR966" s="119"/>
      <c r="AS966" s="120"/>
      <c r="AT966" s="29"/>
      <c r="AU966" s="122"/>
      <c r="AV966" s="118"/>
      <c r="AW966" s="123"/>
      <c r="AX966" s="124"/>
      <c r="AY966" s="125"/>
      <c r="AZ966" s="29"/>
      <c r="BA966" s="122"/>
      <c r="BB966" s="126"/>
      <c r="BG966" s="23" t="s">
        <v>3777</v>
      </c>
    </row>
    <row r="967" spans="1:59" ht="15" customHeight="1">
      <c r="A967" s="28" t="s">
        <v>3634</v>
      </c>
      <c r="B967" s="23" t="s">
        <v>3778</v>
      </c>
      <c r="C967" s="23" t="s">
        <v>3636</v>
      </c>
      <c r="D967" s="24">
        <v>332</v>
      </c>
      <c r="E967" s="23">
        <v>1</v>
      </c>
      <c r="F967" s="23" t="s">
        <v>3683</v>
      </c>
      <c r="G967" s="23" t="s">
        <v>3779</v>
      </c>
      <c r="H967" s="23" t="s">
        <v>2555</v>
      </c>
      <c r="I967" s="23" t="s">
        <v>223</v>
      </c>
      <c r="J967" s="23" t="s">
        <v>29</v>
      </c>
      <c r="K967" s="23" t="s">
        <v>2426</v>
      </c>
      <c r="N967" s="147"/>
      <c r="O967" s="118"/>
      <c r="P967" s="119"/>
      <c r="Q967" s="120">
        <v>4</v>
      </c>
      <c r="R967" s="29">
        <v>2</v>
      </c>
      <c r="S967" s="29"/>
      <c r="T967" s="122" t="s">
        <v>3780</v>
      </c>
      <c r="U967" s="118"/>
      <c r="V967" s="123"/>
      <c r="W967" s="124">
        <v>2</v>
      </c>
      <c r="X967" s="125"/>
      <c r="Y967" s="29"/>
      <c r="Z967" s="122"/>
      <c r="AA967" s="126"/>
      <c r="AB967" s="148"/>
      <c r="AD967" s="23" t="s">
        <v>822</v>
      </c>
      <c r="AF967" s="23" t="s">
        <v>3781</v>
      </c>
      <c r="AP967" s="24"/>
      <c r="AQ967" s="118"/>
      <c r="AR967" s="119"/>
      <c r="AS967" s="120"/>
      <c r="AT967" s="29"/>
      <c r="AU967" s="122"/>
      <c r="AV967" s="118"/>
      <c r="AW967" s="123"/>
      <c r="AX967" s="124"/>
      <c r="AY967" s="125"/>
      <c r="AZ967" s="29"/>
      <c r="BA967" s="122"/>
      <c r="BB967" s="126"/>
    </row>
    <row r="968" spans="1:59" ht="15" customHeight="1">
      <c r="A968" s="28" t="s">
        <v>3634</v>
      </c>
      <c r="B968" s="23" t="s">
        <v>3782</v>
      </c>
      <c r="C968" s="23" t="s">
        <v>3636</v>
      </c>
      <c r="D968" s="24">
        <v>333</v>
      </c>
      <c r="E968" s="23">
        <v>1</v>
      </c>
      <c r="F968" s="23" t="s">
        <v>3683</v>
      </c>
      <c r="G968" s="23" t="s">
        <v>3779</v>
      </c>
      <c r="H968" s="23" t="s">
        <v>3783</v>
      </c>
      <c r="I968" s="23" t="s">
        <v>223</v>
      </c>
      <c r="J968" s="23" t="s">
        <v>29</v>
      </c>
      <c r="K968" s="23" t="s">
        <v>2426</v>
      </c>
      <c r="N968" s="147"/>
      <c r="O968" s="118"/>
      <c r="P968" s="119"/>
      <c r="Q968" s="120">
        <v>3</v>
      </c>
      <c r="R968" s="29">
        <v>3</v>
      </c>
      <c r="S968" s="29"/>
      <c r="T968" s="122" t="s">
        <v>3784</v>
      </c>
      <c r="U968" s="118"/>
      <c r="V968" s="123"/>
      <c r="W968" s="124">
        <v>2</v>
      </c>
      <c r="X968" s="125"/>
      <c r="Y968" s="29"/>
      <c r="Z968" s="122"/>
      <c r="AA968" s="126"/>
      <c r="AB968" s="148"/>
      <c r="AD968" s="23" t="s">
        <v>822</v>
      </c>
      <c r="AE968" s="24" t="s">
        <v>3785</v>
      </c>
      <c r="AF968" s="23" t="s">
        <v>3786</v>
      </c>
      <c r="AP968" s="24"/>
      <c r="AQ968" s="118"/>
      <c r="AR968" s="119"/>
      <c r="AS968" s="120"/>
      <c r="AT968" s="29"/>
      <c r="AU968" s="122"/>
      <c r="AV968" s="118"/>
      <c r="AW968" s="123"/>
      <c r="AX968" s="124"/>
      <c r="AY968" s="125"/>
      <c r="AZ968" s="29"/>
      <c r="BA968" s="122"/>
      <c r="BB968" s="126"/>
    </row>
    <row r="969" spans="1:59" ht="15" customHeight="1">
      <c r="A969" s="28" t="s">
        <v>3634</v>
      </c>
      <c r="B969" s="23" t="s">
        <v>3787</v>
      </c>
      <c r="C969" s="23" t="s">
        <v>3636</v>
      </c>
      <c r="D969" s="24">
        <v>334</v>
      </c>
      <c r="E969" s="23">
        <v>1</v>
      </c>
      <c r="F969" s="23" t="s">
        <v>3683</v>
      </c>
      <c r="G969" s="23" t="s">
        <v>3779</v>
      </c>
      <c r="H969" s="23" t="s">
        <v>3788</v>
      </c>
      <c r="I969" s="23" t="s">
        <v>223</v>
      </c>
      <c r="J969" s="23" t="s">
        <v>29</v>
      </c>
      <c r="K969" s="23" t="s">
        <v>2426</v>
      </c>
      <c r="N969" s="147"/>
      <c r="O969" s="118"/>
      <c r="P969" s="119"/>
      <c r="Q969" s="120">
        <v>3</v>
      </c>
      <c r="R969" s="29">
        <v>2</v>
      </c>
      <c r="S969" s="29"/>
      <c r="T969" s="122" t="s">
        <v>3789</v>
      </c>
      <c r="U969" s="118"/>
      <c r="V969" s="123"/>
      <c r="W969" s="124">
        <v>4</v>
      </c>
      <c r="X969" s="125"/>
      <c r="Y969" s="29"/>
      <c r="Z969" s="122"/>
      <c r="AA969" s="126"/>
      <c r="AB969" s="148"/>
      <c r="AD969" s="23" t="s">
        <v>822</v>
      </c>
      <c r="AE969" s="24" t="s">
        <v>3790</v>
      </c>
      <c r="AF969" s="23" t="s">
        <v>3786</v>
      </c>
      <c r="AP969" s="24"/>
      <c r="AQ969" s="118"/>
      <c r="AR969" s="119"/>
      <c r="AS969" s="120"/>
      <c r="AT969" s="29"/>
      <c r="AU969" s="122"/>
      <c r="AV969" s="118"/>
      <c r="AW969" s="123"/>
      <c r="AX969" s="124"/>
      <c r="AY969" s="125"/>
      <c r="AZ969" s="29"/>
      <c r="BA969" s="122"/>
      <c r="BB969" s="126"/>
    </row>
    <row r="970" spans="1:59" ht="15" customHeight="1">
      <c r="A970" s="28" t="s">
        <v>3634</v>
      </c>
      <c r="B970" s="23" t="s">
        <v>3791</v>
      </c>
      <c r="C970" s="23" t="s">
        <v>3636</v>
      </c>
      <c r="D970" s="24">
        <v>335</v>
      </c>
      <c r="E970" s="23">
        <v>1</v>
      </c>
      <c r="F970" s="23" t="s">
        <v>3683</v>
      </c>
      <c r="G970" s="23" t="s">
        <v>3792</v>
      </c>
      <c r="J970" s="23" t="s">
        <v>29</v>
      </c>
      <c r="K970" s="23" t="s">
        <v>2426</v>
      </c>
      <c r="N970" s="147"/>
      <c r="O970" s="118"/>
      <c r="P970" s="119"/>
      <c r="Q970" s="120">
        <v>5</v>
      </c>
      <c r="R970" s="29">
        <v>2</v>
      </c>
      <c r="S970" s="29"/>
      <c r="T970" s="122">
        <v>4</v>
      </c>
      <c r="U970" s="118"/>
      <c r="V970" s="123">
        <v>1</v>
      </c>
      <c r="W970" s="124">
        <v>1</v>
      </c>
      <c r="X970" s="125"/>
      <c r="Y970" s="29"/>
      <c r="Z970" s="122"/>
      <c r="AA970" s="126"/>
      <c r="AB970" s="148"/>
      <c r="AD970" s="23" t="s">
        <v>2784</v>
      </c>
      <c r="AE970" s="23" t="s">
        <v>3793</v>
      </c>
      <c r="AF970" s="23" t="s">
        <v>3794</v>
      </c>
      <c r="AP970" s="24"/>
      <c r="AQ970" s="118"/>
      <c r="AR970" s="119"/>
      <c r="AS970" s="120"/>
      <c r="AT970" s="29"/>
      <c r="AU970" s="122"/>
      <c r="AV970" s="118"/>
      <c r="AW970" s="123"/>
      <c r="AX970" s="124"/>
      <c r="AY970" s="125"/>
      <c r="AZ970" s="29"/>
      <c r="BA970" s="122"/>
      <c r="BB970" s="126"/>
    </row>
    <row r="971" spans="1:59" ht="15" customHeight="1">
      <c r="A971" s="28" t="s">
        <v>3634</v>
      </c>
      <c r="B971" s="23" t="s">
        <v>3795</v>
      </c>
      <c r="C971" s="23" t="s">
        <v>3636</v>
      </c>
      <c r="D971" s="24">
        <v>336</v>
      </c>
      <c r="E971" s="23">
        <v>1</v>
      </c>
      <c r="F971" s="23" t="s">
        <v>3683</v>
      </c>
      <c r="G971" s="23" t="s">
        <v>3796</v>
      </c>
      <c r="J971" s="23" t="s">
        <v>29</v>
      </c>
      <c r="K971" s="23" t="s">
        <v>2426</v>
      </c>
      <c r="N971" s="147"/>
      <c r="O971" s="118"/>
      <c r="P971" s="119"/>
      <c r="Q971" s="120">
        <v>3</v>
      </c>
      <c r="R971" s="29">
        <v>4</v>
      </c>
      <c r="S971" s="29"/>
      <c r="T971" s="122">
        <v>3</v>
      </c>
      <c r="U971" s="118"/>
      <c r="V971" s="123">
        <v>3</v>
      </c>
      <c r="W971" s="124">
        <v>1</v>
      </c>
      <c r="X971" s="125"/>
      <c r="Y971" s="29"/>
      <c r="Z971" s="122"/>
      <c r="AA971" s="126"/>
      <c r="AB971" s="148"/>
      <c r="AD971" s="23" t="s">
        <v>836</v>
      </c>
      <c r="AE971" s="24" t="s">
        <v>3797</v>
      </c>
      <c r="AF971" s="23" t="s">
        <v>3798</v>
      </c>
      <c r="AP971" s="24"/>
      <c r="AQ971" s="118"/>
      <c r="AR971" s="119"/>
      <c r="AS971" s="120"/>
      <c r="AT971" s="29"/>
      <c r="AU971" s="122"/>
      <c r="AV971" s="118"/>
      <c r="AW971" s="123"/>
      <c r="AX971" s="124"/>
      <c r="AY971" s="125"/>
      <c r="AZ971" s="29"/>
      <c r="BA971" s="122"/>
      <c r="BB971" s="126"/>
    </row>
    <row r="972" spans="1:59" ht="15" customHeight="1">
      <c r="A972" s="28" t="s">
        <v>3634</v>
      </c>
      <c r="B972" s="23" t="s">
        <v>3799</v>
      </c>
      <c r="C972" s="23" t="s">
        <v>3636</v>
      </c>
      <c r="D972" s="24">
        <v>337</v>
      </c>
      <c r="E972" s="23">
        <v>3</v>
      </c>
      <c r="F972" s="23" t="s">
        <v>3683</v>
      </c>
      <c r="G972" s="23" t="s">
        <v>3800</v>
      </c>
      <c r="J972" s="23" t="s">
        <v>28</v>
      </c>
      <c r="K972" s="23" t="s">
        <v>2426</v>
      </c>
      <c r="N972" s="147"/>
      <c r="O972" s="118"/>
      <c r="P972" s="119"/>
      <c r="Q972" s="120"/>
      <c r="R972" s="29"/>
      <c r="S972" s="29"/>
      <c r="T972" s="122"/>
      <c r="U972" s="118"/>
      <c r="V972" s="123"/>
      <c r="W972" s="124"/>
      <c r="X972" s="125"/>
      <c r="Y972" s="29"/>
      <c r="Z972" s="122"/>
      <c r="AA972" s="126"/>
      <c r="AB972" s="148"/>
      <c r="AD972" s="23" t="s">
        <v>3801</v>
      </c>
      <c r="AF972" s="23" t="s">
        <v>3802</v>
      </c>
      <c r="AP972" s="24"/>
      <c r="AQ972" s="118"/>
      <c r="AR972" s="119"/>
      <c r="AS972" s="120"/>
      <c r="AT972" s="29"/>
      <c r="AU972" s="122"/>
      <c r="AV972" s="118"/>
      <c r="AW972" s="123"/>
      <c r="AX972" s="124"/>
      <c r="AY972" s="125"/>
      <c r="AZ972" s="29"/>
      <c r="BA972" s="122"/>
      <c r="BB972" s="126"/>
    </row>
    <row r="973" spans="1:59" ht="15" customHeight="1">
      <c r="A973" s="28" t="s">
        <v>3634</v>
      </c>
      <c r="B973" s="23" t="s">
        <v>3803</v>
      </c>
      <c r="C973" s="23" t="s">
        <v>3636</v>
      </c>
      <c r="D973" s="24">
        <v>338</v>
      </c>
      <c r="E973" s="23">
        <v>2</v>
      </c>
      <c r="F973" s="23" t="s">
        <v>3683</v>
      </c>
      <c r="G973" s="23" t="s">
        <v>3804</v>
      </c>
      <c r="J973" s="23" t="s">
        <v>28</v>
      </c>
      <c r="K973" s="23" t="s">
        <v>2426</v>
      </c>
      <c r="N973" s="147"/>
      <c r="O973" s="118"/>
      <c r="P973" s="119"/>
      <c r="Q973" s="120"/>
      <c r="R973" s="29"/>
      <c r="S973" s="29"/>
      <c r="T973" s="122"/>
      <c r="U973" s="118"/>
      <c r="V973" s="123"/>
      <c r="W973" s="124"/>
      <c r="X973" s="125"/>
      <c r="Y973" s="29"/>
      <c r="Z973" s="122"/>
      <c r="AA973" s="126"/>
      <c r="AB973" s="148"/>
      <c r="AD973" s="23" t="s">
        <v>481</v>
      </c>
      <c r="AF973" s="23" t="s">
        <v>3805</v>
      </c>
      <c r="AP973" s="24"/>
      <c r="AQ973" s="118"/>
      <c r="AR973" s="119"/>
      <c r="AS973" s="120"/>
      <c r="AT973" s="29"/>
      <c r="AU973" s="122"/>
      <c r="AV973" s="118"/>
      <c r="AW973" s="123"/>
      <c r="AX973" s="124"/>
      <c r="AY973" s="125"/>
      <c r="AZ973" s="29"/>
      <c r="BA973" s="122"/>
      <c r="BB973" s="126"/>
    </row>
    <row r="974" spans="1:59" ht="15" customHeight="1">
      <c r="A974" s="28" t="s">
        <v>3634</v>
      </c>
      <c r="B974" s="23" t="s">
        <v>3806</v>
      </c>
      <c r="C974" s="23" t="s">
        <v>3636</v>
      </c>
      <c r="D974" s="24">
        <v>339</v>
      </c>
      <c r="E974" s="23">
        <v>1</v>
      </c>
      <c r="F974" s="23" t="s">
        <v>3683</v>
      </c>
      <c r="G974" s="23" t="s">
        <v>3807</v>
      </c>
      <c r="J974" s="23" t="s">
        <v>28</v>
      </c>
      <c r="K974" s="23" t="s">
        <v>2426</v>
      </c>
      <c r="N974" s="147"/>
      <c r="O974" s="118"/>
      <c r="P974" s="119"/>
      <c r="Q974" s="120"/>
      <c r="R974" s="29"/>
      <c r="S974" s="29"/>
      <c r="T974" s="122"/>
      <c r="U974" s="118"/>
      <c r="V974" s="123"/>
      <c r="W974" s="124"/>
      <c r="X974" s="125"/>
      <c r="Y974" s="29"/>
      <c r="Z974" s="122"/>
      <c r="AA974" s="126"/>
      <c r="AB974" s="148"/>
      <c r="AD974" s="23" t="s">
        <v>481</v>
      </c>
      <c r="AE974" s="24" t="s">
        <v>34</v>
      </c>
      <c r="AF974" s="23" t="s">
        <v>3808</v>
      </c>
      <c r="AP974" s="24"/>
      <c r="AQ974" s="118"/>
      <c r="AR974" s="119"/>
      <c r="AS974" s="120"/>
      <c r="AT974" s="29"/>
      <c r="AU974" s="122"/>
      <c r="AV974" s="118"/>
      <c r="AW974" s="123"/>
      <c r="AX974" s="124"/>
      <c r="AY974" s="125"/>
      <c r="AZ974" s="29"/>
      <c r="BA974" s="122"/>
      <c r="BB974" s="126"/>
    </row>
    <row r="975" spans="1:59" ht="15" customHeight="1">
      <c r="A975" s="28" t="s">
        <v>3634</v>
      </c>
      <c r="B975" s="23" t="s">
        <v>3809</v>
      </c>
      <c r="C975" s="23" t="s">
        <v>3636</v>
      </c>
      <c r="D975" s="24">
        <v>340</v>
      </c>
      <c r="E975" s="23">
        <v>1</v>
      </c>
      <c r="F975" s="23" t="s">
        <v>3683</v>
      </c>
      <c r="G975" s="23" t="s">
        <v>3810</v>
      </c>
      <c r="J975" s="23" t="s">
        <v>28</v>
      </c>
      <c r="K975" s="23" t="s">
        <v>2426</v>
      </c>
      <c r="N975" s="147"/>
      <c r="O975" s="118"/>
      <c r="P975" s="119"/>
      <c r="Q975" s="120"/>
      <c r="R975" s="29"/>
      <c r="S975" s="29"/>
      <c r="T975" s="122"/>
      <c r="U975" s="118"/>
      <c r="V975" s="123"/>
      <c r="W975" s="124"/>
      <c r="X975" s="125"/>
      <c r="Y975" s="29"/>
      <c r="Z975" s="122"/>
      <c r="AA975" s="126"/>
      <c r="AB975" s="148"/>
      <c r="AD975" s="23" t="s">
        <v>1682</v>
      </c>
      <c r="AE975" s="24" t="s">
        <v>3811</v>
      </c>
      <c r="AF975" s="23" t="s">
        <v>3812</v>
      </c>
      <c r="AP975" s="24"/>
      <c r="AQ975" s="118"/>
      <c r="AR975" s="119"/>
      <c r="AS975" s="120"/>
      <c r="AT975" s="29"/>
      <c r="AU975" s="122"/>
      <c r="AV975" s="118"/>
      <c r="AW975" s="123"/>
      <c r="AX975" s="124"/>
      <c r="AY975" s="125"/>
      <c r="AZ975" s="29"/>
      <c r="BA975" s="122"/>
      <c r="BB975" s="126"/>
    </row>
    <row r="976" spans="1:59" ht="15" customHeight="1">
      <c r="A976" s="28" t="s">
        <v>3634</v>
      </c>
      <c r="B976" s="23" t="s">
        <v>3813</v>
      </c>
      <c r="C976" s="23" t="s">
        <v>3636</v>
      </c>
      <c r="D976" s="24">
        <v>341</v>
      </c>
      <c r="E976" s="23">
        <v>1</v>
      </c>
      <c r="F976" s="23" t="s">
        <v>3683</v>
      </c>
      <c r="G976" s="23" t="s">
        <v>3814</v>
      </c>
      <c r="J976" s="23" t="s">
        <v>28</v>
      </c>
      <c r="K976" s="23" t="s">
        <v>2426</v>
      </c>
      <c r="N976" s="147"/>
      <c r="O976" s="118"/>
      <c r="P976" s="119"/>
      <c r="Q976" s="120"/>
      <c r="R976" s="29"/>
      <c r="S976" s="29"/>
      <c r="T976" s="122"/>
      <c r="U976" s="118"/>
      <c r="V976" s="123"/>
      <c r="W976" s="124"/>
      <c r="X976" s="125"/>
      <c r="Y976" s="29"/>
      <c r="Z976" s="122"/>
      <c r="AA976" s="126"/>
      <c r="AB976" s="148"/>
      <c r="AD976" s="23" t="s">
        <v>1682</v>
      </c>
      <c r="AE976" s="24" t="s">
        <v>3811</v>
      </c>
      <c r="AF976" s="23" t="s">
        <v>3815</v>
      </c>
      <c r="AP976" s="24"/>
      <c r="AQ976" s="118"/>
      <c r="AR976" s="119"/>
      <c r="AS976" s="120"/>
      <c r="AT976" s="29"/>
      <c r="AU976" s="122"/>
      <c r="AV976" s="118"/>
      <c r="AW976" s="123"/>
      <c r="AX976" s="124"/>
      <c r="AY976" s="125"/>
      <c r="AZ976" s="29"/>
      <c r="BA976" s="122"/>
      <c r="BB976" s="126"/>
    </row>
    <row r="977" spans="1:59" ht="15" customHeight="1">
      <c r="A977" s="28" t="s">
        <v>3634</v>
      </c>
      <c r="B977" s="23" t="s">
        <v>3816</v>
      </c>
      <c r="C977" s="23" t="s">
        <v>3636</v>
      </c>
      <c r="D977" s="24">
        <v>342</v>
      </c>
      <c r="E977" s="23">
        <v>1</v>
      </c>
      <c r="F977" s="23" t="s">
        <v>3683</v>
      </c>
      <c r="G977" s="23" t="s">
        <v>3817</v>
      </c>
      <c r="J977" s="23" t="s">
        <v>28</v>
      </c>
      <c r="K977" s="23" t="s">
        <v>2426</v>
      </c>
      <c r="N977" s="147"/>
      <c r="O977" s="118"/>
      <c r="P977" s="119"/>
      <c r="Q977" s="120"/>
      <c r="R977" s="29"/>
      <c r="S977" s="29"/>
      <c r="T977" s="122"/>
      <c r="U977" s="118"/>
      <c r="V977" s="123"/>
      <c r="W977" s="124"/>
      <c r="X977" s="125"/>
      <c r="Y977" s="29"/>
      <c r="Z977" s="122"/>
      <c r="AA977" s="126"/>
      <c r="AB977" s="148"/>
      <c r="AD977" s="23" t="s">
        <v>1682</v>
      </c>
      <c r="AE977" s="24" t="s">
        <v>3811</v>
      </c>
      <c r="AF977" s="23" t="s">
        <v>3818</v>
      </c>
      <c r="AP977" s="24"/>
      <c r="AQ977" s="118"/>
      <c r="AR977" s="119"/>
      <c r="AS977" s="120"/>
      <c r="AT977" s="29"/>
      <c r="AU977" s="122"/>
      <c r="AV977" s="118"/>
      <c r="AW977" s="123"/>
      <c r="AX977" s="124"/>
      <c r="AY977" s="125"/>
      <c r="AZ977" s="29"/>
      <c r="BA977" s="122"/>
      <c r="BB977" s="126"/>
    </row>
    <row r="978" spans="1:59" s="171" customFormat="1" ht="15" customHeight="1">
      <c r="A978" s="168" t="s">
        <v>3819</v>
      </c>
      <c r="B978" s="28" t="s">
        <v>3820</v>
      </c>
      <c r="C978" s="28" t="s">
        <v>3821</v>
      </c>
      <c r="D978" s="170">
        <v>1</v>
      </c>
      <c r="E978" s="171">
        <v>1</v>
      </c>
      <c r="G978" s="171" t="s">
        <v>3822</v>
      </c>
      <c r="H978" s="171" t="s">
        <v>3823</v>
      </c>
      <c r="I978" s="171" t="s">
        <v>223</v>
      </c>
      <c r="J978" s="171" t="s">
        <v>203</v>
      </c>
      <c r="K978" s="171" t="s">
        <v>198</v>
      </c>
      <c r="N978" s="170"/>
      <c r="O978" s="156">
        <v>4</v>
      </c>
      <c r="P978" s="157">
        <v>3</v>
      </c>
      <c r="Q978" s="158">
        <v>4</v>
      </c>
      <c r="R978" s="159">
        <v>1</v>
      </c>
      <c r="S978" s="160"/>
      <c r="T978" s="161">
        <v>8</v>
      </c>
      <c r="U978" s="156">
        <v>6</v>
      </c>
      <c r="V978" s="162"/>
      <c r="W978" s="163"/>
      <c r="X978" s="164"/>
      <c r="Y978" s="159"/>
      <c r="Z978" s="161"/>
      <c r="AA978" s="165"/>
      <c r="AD978" s="171" t="s">
        <v>3824</v>
      </c>
      <c r="AE978" s="170"/>
      <c r="AF978" s="171" t="s">
        <v>4407</v>
      </c>
      <c r="AI978" s="171" t="s">
        <v>3822</v>
      </c>
      <c r="AJ978" s="171" t="s">
        <v>3823</v>
      </c>
      <c r="AK978" s="171" t="s">
        <v>223</v>
      </c>
      <c r="AL978" s="171" t="s">
        <v>203</v>
      </c>
      <c r="AM978" s="171" t="s">
        <v>198</v>
      </c>
      <c r="AQ978" s="156"/>
      <c r="AR978" s="157"/>
      <c r="AS978" s="158"/>
      <c r="AT978" s="159"/>
      <c r="AU978" s="161"/>
      <c r="AV978" s="156"/>
      <c r="AW978" s="162"/>
      <c r="AX978" s="163"/>
      <c r="AY978" s="164"/>
      <c r="AZ978" s="159"/>
      <c r="BA978" s="161"/>
      <c r="BB978" s="165"/>
      <c r="BE978" s="171" t="s">
        <v>3824</v>
      </c>
      <c r="BF978" s="170"/>
      <c r="BG978" s="171" t="s">
        <v>4408</v>
      </c>
    </row>
    <row r="979" spans="1:59" s="154" customFormat="1" ht="15" customHeight="1">
      <c r="A979" s="168" t="s">
        <v>3819</v>
      </c>
      <c r="B979" s="23" t="s">
        <v>3825</v>
      </c>
      <c r="C979" s="28" t="s">
        <v>3821</v>
      </c>
      <c r="D979" s="170">
        <v>2</v>
      </c>
      <c r="E979" s="154">
        <v>1</v>
      </c>
      <c r="G979" s="154" t="s">
        <v>3826</v>
      </c>
      <c r="H979" s="154" t="s">
        <v>3827</v>
      </c>
      <c r="I979" s="154" t="s">
        <v>223</v>
      </c>
      <c r="J979" s="171" t="s">
        <v>203</v>
      </c>
      <c r="K979" s="154" t="s">
        <v>199</v>
      </c>
      <c r="N979" s="155"/>
      <c r="O979" s="156">
        <v>3</v>
      </c>
      <c r="P979" s="157">
        <v>4</v>
      </c>
      <c r="Q979" s="158">
        <v>1</v>
      </c>
      <c r="R979" s="159">
        <v>4</v>
      </c>
      <c r="S979" s="160"/>
      <c r="T979" s="161">
        <v>7</v>
      </c>
      <c r="U979" s="156">
        <v>7</v>
      </c>
      <c r="V979" s="162"/>
      <c r="W979" s="163"/>
      <c r="X979" s="164"/>
      <c r="Y979" s="159"/>
      <c r="Z979" s="161"/>
      <c r="AA979" s="165"/>
      <c r="AD979" s="154" t="s">
        <v>3828</v>
      </c>
      <c r="AE979" s="155"/>
      <c r="AF979" s="154" t="s">
        <v>4409</v>
      </c>
      <c r="AI979" s="154" t="s">
        <v>3826</v>
      </c>
      <c r="AJ979" s="154" t="s">
        <v>3827</v>
      </c>
      <c r="AK979" s="154" t="s">
        <v>223</v>
      </c>
      <c r="AL979" s="171" t="s">
        <v>203</v>
      </c>
      <c r="AM979" s="154" t="s">
        <v>199</v>
      </c>
      <c r="AO979" s="155"/>
      <c r="AP979" s="155"/>
      <c r="AQ979" s="156"/>
      <c r="AR979" s="157"/>
      <c r="AS979" s="158"/>
      <c r="AT979" s="159"/>
      <c r="AU979" s="161"/>
      <c r="AV979" s="156"/>
      <c r="AW979" s="162"/>
      <c r="AX979" s="163"/>
      <c r="AY979" s="164"/>
      <c r="AZ979" s="159"/>
      <c r="BA979" s="161"/>
      <c r="BB979" s="165"/>
      <c r="BE979" s="155" t="s">
        <v>3828</v>
      </c>
      <c r="BG979" s="154" t="s">
        <v>4410</v>
      </c>
    </row>
    <row r="980" spans="1:59" s="154" customFormat="1" ht="15" customHeight="1">
      <c r="A980" s="168" t="s">
        <v>3819</v>
      </c>
      <c r="B980" s="23" t="s">
        <v>3829</v>
      </c>
      <c r="C980" s="28" t="s">
        <v>3821</v>
      </c>
      <c r="D980" s="170">
        <v>3</v>
      </c>
      <c r="E980" s="154">
        <v>1</v>
      </c>
      <c r="G980" s="154" t="s">
        <v>3830</v>
      </c>
      <c r="H980" s="154" t="s">
        <v>3831</v>
      </c>
      <c r="I980" s="154" t="s">
        <v>223</v>
      </c>
      <c r="J980" s="171" t="s">
        <v>203</v>
      </c>
      <c r="K980" s="154" t="s">
        <v>201</v>
      </c>
      <c r="N980" s="155"/>
      <c r="O980" s="156">
        <v>1</v>
      </c>
      <c r="P980" s="157">
        <v>4</v>
      </c>
      <c r="Q980" s="158">
        <v>3</v>
      </c>
      <c r="R980" s="159">
        <v>4</v>
      </c>
      <c r="S980" s="160"/>
      <c r="T980" s="161">
        <v>7</v>
      </c>
      <c r="U980" s="156">
        <v>7</v>
      </c>
      <c r="V980" s="162"/>
      <c r="W980" s="163"/>
      <c r="X980" s="164"/>
      <c r="Y980" s="159"/>
      <c r="Z980" s="161"/>
      <c r="AA980" s="165"/>
      <c r="AD980" s="154" t="s">
        <v>246</v>
      </c>
      <c r="AE980" s="155"/>
      <c r="AF980" s="154" t="s">
        <v>4411</v>
      </c>
      <c r="AI980" s="154" t="s">
        <v>3830</v>
      </c>
      <c r="AJ980" s="154" t="s">
        <v>3831</v>
      </c>
      <c r="AK980" s="154" t="s">
        <v>223</v>
      </c>
      <c r="AL980" s="171" t="s">
        <v>203</v>
      </c>
      <c r="AM980" s="154" t="s">
        <v>201</v>
      </c>
      <c r="AO980" s="155"/>
      <c r="AP980" s="155"/>
      <c r="AQ980" s="156"/>
      <c r="AR980" s="157"/>
      <c r="AS980" s="158"/>
      <c r="AT980" s="159"/>
      <c r="AU980" s="161"/>
      <c r="AV980" s="156"/>
      <c r="AW980" s="162"/>
      <c r="AX980" s="163"/>
      <c r="AY980" s="164"/>
      <c r="AZ980" s="159"/>
      <c r="BA980" s="161"/>
      <c r="BB980" s="165"/>
      <c r="BE980" s="155" t="s">
        <v>246</v>
      </c>
      <c r="BG980" s="154" t="s">
        <v>4412</v>
      </c>
    </row>
    <row r="981" spans="1:59" s="154" customFormat="1" ht="15" customHeight="1">
      <c r="A981" s="168" t="s">
        <v>3819</v>
      </c>
      <c r="B981" s="23" t="s">
        <v>3832</v>
      </c>
      <c r="C981" s="28" t="s">
        <v>3821</v>
      </c>
      <c r="D981" s="170">
        <v>4</v>
      </c>
      <c r="E981" s="154">
        <v>1</v>
      </c>
      <c r="G981" s="154" t="s">
        <v>3833</v>
      </c>
      <c r="H981" s="154" t="s">
        <v>3834</v>
      </c>
      <c r="I981" s="154" t="s">
        <v>223</v>
      </c>
      <c r="J981" s="171" t="s">
        <v>203</v>
      </c>
      <c r="K981" s="154" t="s">
        <v>200</v>
      </c>
      <c r="N981" s="155"/>
      <c r="O981" s="156">
        <v>4</v>
      </c>
      <c r="P981" s="157">
        <v>3</v>
      </c>
      <c r="Q981" s="158">
        <v>2</v>
      </c>
      <c r="R981" s="159">
        <v>3</v>
      </c>
      <c r="S981" s="160"/>
      <c r="T981" s="161">
        <v>6</v>
      </c>
      <c r="U981" s="156">
        <v>8</v>
      </c>
      <c r="V981" s="162"/>
      <c r="W981" s="163"/>
      <c r="X981" s="164"/>
      <c r="Y981" s="159"/>
      <c r="Z981" s="161"/>
      <c r="AA981" s="165"/>
      <c r="AD981" s="154" t="s">
        <v>3835</v>
      </c>
      <c r="AE981" s="155"/>
      <c r="AF981" s="154" t="s">
        <v>4413</v>
      </c>
      <c r="AI981" s="154" t="s">
        <v>3833</v>
      </c>
      <c r="AJ981" s="154" t="s">
        <v>3834</v>
      </c>
      <c r="AK981" s="154" t="s">
        <v>223</v>
      </c>
      <c r="AL981" s="171" t="s">
        <v>203</v>
      </c>
      <c r="AM981" s="154" t="s">
        <v>200</v>
      </c>
      <c r="AO981" s="155"/>
      <c r="AP981" s="155"/>
      <c r="AQ981" s="156"/>
      <c r="AR981" s="157"/>
      <c r="AS981" s="158"/>
      <c r="AT981" s="159"/>
      <c r="AU981" s="161"/>
      <c r="AV981" s="156"/>
      <c r="AW981" s="162"/>
      <c r="AX981" s="163"/>
      <c r="AY981" s="164"/>
      <c r="AZ981" s="159"/>
      <c r="BA981" s="161"/>
      <c r="BB981" s="165"/>
      <c r="BE981" s="155" t="s">
        <v>3835</v>
      </c>
      <c r="BG981" s="154" t="s">
        <v>4414</v>
      </c>
    </row>
    <row r="982" spans="1:59" s="154" customFormat="1" ht="15" customHeight="1">
      <c r="A982" s="168" t="s">
        <v>3819</v>
      </c>
      <c r="B982" s="23" t="s">
        <v>3836</v>
      </c>
      <c r="C982" s="28" t="s">
        <v>3821</v>
      </c>
      <c r="D982" s="170">
        <v>5</v>
      </c>
      <c r="E982" s="154">
        <v>1</v>
      </c>
      <c r="G982" s="154" t="s">
        <v>3837</v>
      </c>
      <c r="H982" s="154" t="s">
        <v>3838</v>
      </c>
      <c r="I982" s="154" t="s">
        <v>223</v>
      </c>
      <c r="J982" s="154" t="s">
        <v>203</v>
      </c>
      <c r="K982" s="154" t="s">
        <v>202</v>
      </c>
      <c r="O982" s="156">
        <v>0</v>
      </c>
      <c r="P982" s="157">
        <v>0</v>
      </c>
      <c r="Q982" s="158">
        <v>0</v>
      </c>
      <c r="R982" s="159">
        <v>0</v>
      </c>
      <c r="S982" s="160"/>
      <c r="T982" s="161">
        <v>6</v>
      </c>
      <c r="U982" s="156">
        <v>6</v>
      </c>
      <c r="V982" s="162"/>
      <c r="W982" s="163"/>
      <c r="X982" s="164"/>
      <c r="Y982" s="159"/>
      <c r="Z982" s="161"/>
      <c r="AA982" s="165"/>
      <c r="AD982" s="154" t="s">
        <v>3839</v>
      </c>
      <c r="AF982" s="154" t="s">
        <v>4415</v>
      </c>
      <c r="AI982" s="154" t="s">
        <v>3837</v>
      </c>
      <c r="AJ982" s="154" t="s">
        <v>3838</v>
      </c>
      <c r="AK982" s="154" t="s">
        <v>223</v>
      </c>
      <c r="AL982" s="154" t="s">
        <v>203</v>
      </c>
      <c r="AM982" s="154" t="s">
        <v>202</v>
      </c>
      <c r="AO982" s="155"/>
      <c r="AQ982" s="156"/>
      <c r="AR982" s="157"/>
      <c r="AS982" s="158"/>
      <c r="AT982" s="159"/>
      <c r="AU982" s="161"/>
      <c r="AV982" s="156"/>
      <c r="AW982" s="162"/>
      <c r="AX982" s="163"/>
      <c r="AY982" s="164"/>
      <c r="AZ982" s="159"/>
      <c r="BA982" s="161"/>
      <c r="BB982" s="165"/>
      <c r="BE982" s="155" t="s">
        <v>3839</v>
      </c>
      <c r="BG982" s="154" t="s">
        <v>4416</v>
      </c>
    </row>
    <row r="983" spans="1:59" s="154" customFormat="1" ht="15" customHeight="1">
      <c r="A983" s="168" t="s">
        <v>3819</v>
      </c>
      <c r="B983" s="23" t="s">
        <v>3840</v>
      </c>
      <c r="C983" s="28" t="s">
        <v>3821</v>
      </c>
      <c r="D983" s="170">
        <v>6</v>
      </c>
      <c r="E983" s="154">
        <v>1</v>
      </c>
      <c r="G983" s="154" t="s">
        <v>4417</v>
      </c>
      <c r="H983" s="154" t="s">
        <v>3841</v>
      </c>
      <c r="I983" s="154" t="s">
        <v>223</v>
      </c>
      <c r="J983" s="154" t="s">
        <v>257</v>
      </c>
      <c r="K983" s="154" t="s">
        <v>26</v>
      </c>
      <c r="N983" s="154">
        <v>3</v>
      </c>
      <c r="O983" s="156"/>
      <c r="P983" s="157"/>
      <c r="Q983" s="158"/>
      <c r="R983" s="159"/>
      <c r="S983" s="160">
        <v>2</v>
      </c>
      <c r="T983" s="161">
        <v>2</v>
      </c>
      <c r="U983" s="156">
        <v>2</v>
      </c>
      <c r="V983" s="162"/>
      <c r="W983" s="163"/>
      <c r="X983" s="164"/>
      <c r="Y983" s="159"/>
      <c r="Z983" s="161"/>
      <c r="AA983" s="165"/>
      <c r="AB983" s="154" t="s">
        <v>1082</v>
      </c>
      <c r="AC983" s="154" t="s">
        <v>25</v>
      </c>
      <c r="AD983" s="154" t="s">
        <v>3842</v>
      </c>
      <c r="AF983" s="154" t="s">
        <v>4418</v>
      </c>
      <c r="AO983" s="155"/>
      <c r="AQ983" s="156"/>
      <c r="AR983" s="157"/>
      <c r="AS983" s="158"/>
      <c r="AT983" s="159"/>
      <c r="AU983" s="161"/>
      <c r="AV983" s="156"/>
      <c r="AW983" s="162"/>
      <c r="AX983" s="163"/>
      <c r="AY983" s="164"/>
      <c r="AZ983" s="159"/>
      <c r="BA983" s="161"/>
      <c r="BB983" s="165"/>
      <c r="BE983" s="155"/>
    </row>
    <row r="984" spans="1:59" s="154" customFormat="1" ht="15" customHeight="1">
      <c r="A984" s="168" t="s">
        <v>3819</v>
      </c>
      <c r="B984" s="23" t="s">
        <v>3843</v>
      </c>
      <c r="C984" s="28" t="s">
        <v>3821</v>
      </c>
      <c r="D984" s="170">
        <v>7</v>
      </c>
      <c r="E984" s="154">
        <v>1</v>
      </c>
      <c r="G984" s="154" t="s">
        <v>3844</v>
      </c>
      <c r="J984" s="154" t="s">
        <v>28</v>
      </c>
      <c r="K984" s="154" t="s">
        <v>26</v>
      </c>
      <c r="M984" s="154" t="s">
        <v>648</v>
      </c>
      <c r="O984" s="156"/>
      <c r="P984" s="157"/>
      <c r="Q984" s="158"/>
      <c r="R984" s="159"/>
      <c r="S984" s="160"/>
      <c r="T984" s="161"/>
      <c r="U984" s="156"/>
      <c r="V984" s="162"/>
      <c r="W984" s="163"/>
      <c r="X984" s="164"/>
      <c r="Y984" s="159"/>
      <c r="Z984" s="161"/>
      <c r="AA984" s="165"/>
      <c r="AD984" s="154" t="s">
        <v>1449</v>
      </c>
      <c r="AF984" s="154" t="s">
        <v>4419</v>
      </c>
      <c r="AO984" s="155"/>
      <c r="AQ984" s="156"/>
      <c r="AR984" s="157"/>
      <c r="AS984" s="158"/>
      <c r="AT984" s="159"/>
      <c r="AU984" s="161"/>
      <c r="AV984" s="156"/>
      <c r="AW984" s="162"/>
      <c r="AX984" s="163"/>
      <c r="AY984" s="164"/>
      <c r="AZ984" s="159"/>
      <c r="BA984" s="161"/>
      <c r="BB984" s="165"/>
      <c r="BE984" s="155"/>
    </row>
    <row r="985" spans="1:59" s="154" customFormat="1" ht="15" customHeight="1">
      <c r="A985" s="168" t="s">
        <v>3819</v>
      </c>
      <c r="B985" s="23" t="s">
        <v>3845</v>
      </c>
      <c r="C985" s="28" t="s">
        <v>3821</v>
      </c>
      <c r="D985" s="170">
        <v>8</v>
      </c>
      <c r="E985" s="154">
        <v>1</v>
      </c>
      <c r="G985" s="154" t="s">
        <v>3846</v>
      </c>
      <c r="H985" s="154" t="s">
        <v>3847</v>
      </c>
      <c r="I985" s="154" t="s">
        <v>223</v>
      </c>
      <c r="J985" s="154" t="s">
        <v>257</v>
      </c>
      <c r="K985" s="154" t="s">
        <v>26</v>
      </c>
      <c r="N985" s="154">
        <v>3</v>
      </c>
      <c r="O985" s="156"/>
      <c r="P985" s="157">
        <v>1</v>
      </c>
      <c r="Q985" s="158"/>
      <c r="R985" s="159"/>
      <c r="S985" s="160">
        <v>1</v>
      </c>
      <c r="T985" s="161">
        <v>3</v>
      </c>
      <c r="U985" s="156">
        <v>2</v>
      </c>
      <c r="V985" s="162"/>
      <c r="W985" s="163"/>
      <c r="X985" s="164"/>
      <c r="Y985" s="159"/>
      <c r="Z985" s="161"/>
      <c r="AA985" s="165"/>
      <c r="AB985" s="154" t="s">
        <v>1178</v>
      </c>
      <c r="AC985" s="154" t="s">
        <v>25</v>
      </c>
      <c r="AD985" s="154" t="s">
        <v>3842</v>
      </c>
      <c r="AF985" s="154" t="s">
        <v>4420</v>
      </c>
      <c r="AO985" s="155"/>
      <c r="AQ985" s="156"/>
      <c r="AR985" s="157"/>
      <c r="AS985" s="158"/>
      <c r="AT985" s="159"/>
      <c r="AU985" s="161"/>
      <c r="AV985" s="156"/>
      <c r="AW985" s="162"/>
      <c r="AX985" s="163"/>
      <c r="AY985" s="164"/>
      <c r="AZ985" s="159"/>
      <c r="BA985" s="161"/>
      <c r="BB985" s="165"/>
      <c r="BE985" s="155"/>
    </row>
    <row r="986" spans="1:59" s="154" customFormat="1" ht="15" customHeight="1">
      <c r="A986" s="168" t="s">
        <v>3819</v>
      </c>
      <c r="B986" s="23" t="s">
        <v>3848</v>
      </c>
      <c r="C986" s="28" t="s">
        <v>3821</v>
      </c>
      <c r="D986" s="170">
        <v>9</v>
      </c>
      <c r="E986" s="154">
        <v>1</v>
      </c>
      <c r="G986" s="154" t="s">
        <v>3849</v>
      </c>
      <c r="J986" s="154" t="s">
        <v>28</v>
      </c>
      <c r="K986" s="154" t="s">
        <v>26</v>
      </c>
      <c r="M986" s="154" t="s">
        <v>648</v>
      </c>
      <c r="N986" s="172"/>
      <c r="O986" s="156"/>
      <c r="P986" s="157"/>
      <c r="Q986" s="158"/>
      <c r="R986" s="159"/>
      <c r="S986" s="160"/>
      <c r="T986" s="161"/>
      <c r="U986" s="156"/>
      <c r="V986" s="162"/>
      <c r="W986" s="163"/>
      <c r="X986" s="164"/>
      <c r="Y986" s="159"/>
      <c r="Z986" s="161"/>
      <c r="AA986" s="165"/>
      <c r="AD986" s="154" t="s">
        <v>262</v>
      </c>
      <c r="AF986" s="154" t="s">
        <v>4421</v>
      </c>
      <c r="AO986" s="155"/>
      <c r="AQ986" s="156"/>
      <c r="AR986" s="157"/>
      <c r="AS986" s="158"/>
      <c r="AT986" s="159"/>
      <c r="AU986" s="161"/>
      <c r="AV986" s="156"/>
      <c r="AW986" s="162"/>
      <c r="AX986" s="163"/>
      <c r="AY986" s="164"/>
      <c r="AZ986" s="159"/>
      <c r="BA986" s="161"/>
      <c r="BB986" s="165"/>
      <c r="BE986" s="155"/>
    </row>
    <row r="987" spans="1:59" s="154" customFormat="1" ht="15" customHeight="1">
      <c r="A987" s="168" t="s">
        <v>3819</v>
      </c>
      <c r="B987" s="23" t="s">
        <v>3850</v>
      </c>
      <c r="C987" s="28" t="s">
        <v>3821</v>
      </c>
      <c r="D987" s="170">
        <v>10</v>
      </c>
      <c r="E987" s="154">
        <v>1</v>
      </c>
      <c r="G987" s="154" t="s">
        <v>3851</v>
      </c>
      <c r="J987" s="154" t="s">
        <v>27</v>
      </c>
      <c r="K987" s="154" t="s">
        <v>26</v>
      </c>
      <c r="N987" s="154">
        <v>0</v>
      </c>
      <c r="O987" s="156"/>
      <c r="P987" s="157"/>
      <c r="Q987" s="158"/>
      <c r="R987" s="159"/>
      <c r="S987" s="160">
        <v>1</v>
      </c>
      <c r="T987" s="161"/>
      <c r="U987" s="156"/>
      <c r="V987" s="162"/>
      <c r="W987" s="163"/>
      <c r="X987" s="164"/>
      <c r="Y987" s="159"/>
      <c r="Z987" s="161"/>
      <c r="AA987" s="165"/>
      <c r="AB987" s="154" t="s">
        <v>208</v>
      </c>
      <c r="AD987" s="154" t="s">
        <v>1731</v>
      </c>
      <c r="AF987" s="154" t="s">
        <v>4422</v>
      </c>
      <c r="AO987" s="155"/>
      <c r="AQ987" s="156"/>
      <c r="AR987" s="157"/>
      <c r="AS987" s="158"/>
      <c r="AT987" s="159"/>
      <c r="AU987" s="161"/>
      <c r="AV987" s="156"/>
      <c r="AW987" s="162"/>
      <c r="AX987" s="163"/>
      <c r="AY987" s="164"/>
      <c r="AZ987" s="159"/>
      <c r="BA987" s="161"/>
      <c r="BB987" s="165"/>
      <c r="BE987" s="155"/>
    </row>
    <row r="988" spans="1:59" s="154" customFormat="1" ht="15" customHeight="1">
      <c r="A988" s="168" t="s">
        <v>3819</v>
      </c>
      <c r="B988" s="23" t="s">
        <v>3852</v>
      </c>
      <c r="C988" s="28" t="s">
        <v>3821</v>
      </c>
      <c r="D988" s="170">
        <v>11</v>
      </c>
      <c r="E988" s="154">
        <v>1</v>
      </c>
      <c r="G988" s="154" t="s">
        <v>3853</v>
      </c>
      <c r="H988" s="154" t="s">
        <v>4423</v>
      </c>
      <c r="I988" s="154" t="s">
        <v>223</v>
      </c>
      <c r="J988" s="154" t="s">
        <v>257</v>
      </c>
      <c r="K988" s="154" t="s">
        <v>26</v>
      </c>
      <c r="N988" s="154">
        <v>2</v>
      </c>
      <c r="O988" s="156"/>
      <c r="P988" s="157"/>
      <c r="Q988" s="158"/>
      <c r="R988" s="159">
        <v>1</v>
      </c>
      <c r="S988" s="160">
        <v>1</v>
      </c>
      <c r="T988" s="161"/>
      <c r="U988" s="156"/>
      <c r="V988" s="162"/>
      <c r="W988" s="163"/>
      <c r="X988" s="164"/>
      <c r="Y988" s="159"/>
      <c r="Z988" s="161"/>
      <c r="AA988" s="165"/>
      <c r="AB988" s="154" t="s">
        <v>1180</v>
      </c>
      <c r="AC988" s="154" t="s">
        <v>258</v>
      </c>
      <c r="AD988" s="154" t="s">
        <v>923</v>
      </c>
      <c r="AF988" s="154" t="s">
        <v>4424</v>
      </c>
      <c r="AO988" s="155"/>
      <c r="AQ988" s="156"/>
      <c r="AR988" s="157"/>
      <c r="AS988" s="158"/>
      <c r="AT988" s="159"/>
      <c r="AU988" s="161"/>
      <c r="AV988" s="156"/>
      <c r="AW988" s="162"/>
      <c r="AX988" s="163"/>
      <c r="AY988" s="164"/>
      <c r="AZ988" s="159"/>
      <c r="BA988" s="161"/>
      <c r="BB988" s="165"/>
      <c r="BE988" s="155"/>
    </row>
    <row r="989" spans="1:59" s="154" customFormat="1" ht="15" customHeight="1">
      <c r="A989" s="168" t="s">
        <v>3819</v>
      </c>
      <c r="B989" s="23" t="s">
        <v>3854</v>
      </c>
      <c r="C989" s="28" t="s">
        <v>3821</v>
      </c>
      <c r="D989" s="170">
        <v>12</v>
      </c>
      <c r="E989" s="154">
        <v>1</v>
      </c>
      <c r="G989" s="154" t="s">
        <v>3855</v>
      </c>
      <c r="J989" s="154" t="s">
        <v>28</v>
      </c>
      <c r="K989" s="154" t="s">
        <v>26</v>
      </c>
      <c r="M989" s="154" t="s">
        <v>648</v>
      </c>
      <c r="O989" s="156"/>
      <c r="P989" s="157"/>
      <c r="Q989" s="158"/>
      <c r="R989" s="159"/>
      <c r="S989" s="160"/>
      <c r="T989" s="161"/>
      <c r="U989" s="156"/>
      <c r="V989" s="162"/>
      <c r="W989" s="163"/>
      <c r="X989" s="164"/>
      <c r="Y989" s="159"/>
      <c r="Z989" s="161"/>
      <c r="AA989" s="165"/>
      <c r="AD989" s="154" t="s">
        <v>1191</v>
      </c>
      <c r="AF989" s="154" t="s">
        <v>4425</v>
      </c>
      <c r="AO989" s="155"/>
      <c r="AQ989" s="156"/>
      <c r="AR989" s="157"/>
      <c r="AS989" s="158"/>
      <c r="AT989" s="159"/>
      <c r="AU989" s="161"/>
      <c r="AV989" s="156"/>
      <c r="AW989" s="162"/>
      <c r="AX989" s="163"/>
      <c r="AY989" s="164"/>
      <c r="AZ989" s="159"/>
      <c r="BA989" s="161"/>
      <c r="BB989" s="165"/>
      <c r="BE989" s="155"/>
    </row>
    <row r="990" spans="1:59" s="154" customFormat="1" ht="15" customHeight="1">
      <c r="A990" s="168" t="s">
        <v>3819</v>
      </c>
      <c r="B990" s="23" t="s">
        <v>3856</v>
      </c>
      <c r="C990" s="28" t="s">
        <v>3821</v>
      </c>
      <c r="D990" s="170">
        <v>13</v>
      </c>
      <c r="E990" s="154">
        <v>1</v>
      </c>
      <c r="G990" s="154" t="s">
        <v>3857</v>
      </c>
      <c r="H990" s="154" t="s">
        <v>4426</v>
      </c>
      <c r="I990" s="154" t="s">
        <v>223</v>
      </c>
      <c r="J990" s="154" t="s">
        <v>257</v>
      </c>
      <c r="K990" s="154" t="s">
        <v>26</v>
      </c>
      <c r="N990" s="154">
        <v>2</v>
      </c>
      <c r="O990" s="156">
        <v>1</v>
      </c>
      <c r="P990" s="157"/>
      <c r="Q990" s="158"/>
      <c r="R990" s="159"/>
      <c r="S990" s="160">
        <v>1</v>
      </c>
      <c r="T990" s="161"/>
      <c r="U990" s="156"/>
      <c r="V990" s="162"/>
      <c r="W990" s="163"/>
      <c r="X990" s="164"/>
      <c r="Y990" s="159"/>
      <c r="Z990" s="161"/>
      <c r="AA990" s="165"/>
      <c r="AB990" s="154" t="s">
        <v>1086</v>
      </c>
      <c r="AC990" s="154" t="s">
        <v>258</v>
      </c>
      <c r="AD990" s="154" t="s">
        <v>3858</v>
      </c>
      <c r="AF990" s="154" t="s">
        <v>4427</v>
      </c>
      <c r="AO990" s="155"/>
      <c r="AQ990" s="156"/>
      <c r="AR990" s="157"/>
      <c r="AS990" s="158"/>
      <c r="AT990" s="159"/>
      <c r="AU990" s="161"/>
      <c r="AV990" s="156"/>
      <c r="AW990" s="162"/>
      <c r="AX990" s="163"/>
      <c r="AY990" s="164"/>
      <c r="AZ990" s="159"/>
      <c r="BA990" s="161"/>
      <c r="BB990" s="165"/>
      <c r="BE990" s="155"/>
    </row>
    <row r="991" spans="1:59" s="154" customFormat="1" ht="15" customHeight="1">
      <c r="A991" s="168" t="s">
        <v>3819</v>
      </c>
      <c r="B991" s="23" t="s">
        <v>3859</v>
      </c>
      <c r="C991" s="28" t="s">
        <v>3821</v>
      </c>
      <c r="D991" s="170">
        <v>14</v>
      </c>
      <c r="E991" s="154">
        <v>1</v>
      </c>
      <c r="G991" s="154" t="s">
        <v>3860</v>
      </c>
      <c r="J991" s="154" t="s">
        <v>29</v>
      </c>
      <c r="K991" s="154" t="s">
        <v>26</v>
      </c>
      <c r="M991" s="154" t="s">
        <v>648</v>
      </c>
      <c r="O991" s="156"/>
      <c r="P991" s="157"/>
      <c r="Q991" s="158">
        <v>2</v>
      </c>
      <c r="R991" s="159">
        <v>2</v>
      </c>
      <c r="S991" s="160"/>
      <c r="T991" s="161">
        <v>3</v>
      </c>
      <c r="U991" s="156"/>
      <c r="V991" s="162">
        <v>1</v>
      </c>
      <c r="W991" s="163">
        <v>1</v>
      </c>
      <c r="X991" s="164"/>
      <c r="Y991" s="159"/>
      <c r="Z991" s="161"/>
      <c r="AA991" s="165"/>
      <c r="AD991" s="154" t="s">
        <v>3861</v>
      </c>
      <c r="AF991" s="154" t="s">
        <v>4428</v>
      </c>
      <c r="AO991" s="155"/>
      <c r="AQ991" s="156"/>
      <c r="AR991" s="157"/>
      <c r="AS991" s="158"/>
      <c r="AT991" s="159"/>
      <c r="AU991" s="161"/>
      <c r="AV991" s="156"/>
      <c r="AW991" s="162"/>
      <c r="AX991" s="163"/>
      <c r="AY991" s="164"/>
      <c r="AZ991" s="159"/>
      <c r="BA991" s="161"/>
      <c r="BB991" s="165"/>
      <c r="BE991" s="155"/>
    </row>
    <row r="992" spans="1:59" s="154" customFormat="1" ht="15" customHeight="1">
      <c r="A992" s="168" t="s">
        <v>3819</v>
      </c>
      <c r="B992" s="23" t="s">
        <v>3862</v>
      </c>
      <c r="C992" s="28" t="s">
        <v>3821</v>
      </c>
      <c r="D992" s="170">
        <v>15</v>
      </c>
      <c r="E992" s="154">
        <v>1</v>
      </c>
      <c r="G992" s="154" t="s">
        <v>3863</v>
      </c>
      <c r="J992" s="154" t="s">
        <v>257</v>
      </c>
      <c r="K992" s="154" t="s">
        <v>26</v>
      </c>
      <c r="N992" s="154">
        <v>1</v>
      </c>
      <c r="O992" s="156"/>
      <c r="P992" s="157"/>
      <c r="Q992" s="158">
        <v>1</v>
      </c>
      <c r="R992" s="159"/>
      <c r="S992" s="160">
        <v>1</v>
      </c>
      <c r="T992" s="161">
        <v>2</v>
      </c>
      <c r="U992" s="156">
        <v>2</v>
      </c>
      <c r="V992" s="162"/>
      <c r="W992" s="163"/>
      <c r="X992" s="164"/>
      <c r="Y992" s="159"/>
      <c r="Z992" s="161"/>
      <c r="AA992" s="165"/>
      <c r="AB992" s="154" t="s">
        <v>1093</v>
      </c>
      <c r="AD992" s="154" t="s">
        <v>289</v>
      </c>
      <c r="AF992" s="154" t="s">
        <v>4429</v>
      </c>
      <c r="AO992" s="155"/>
      <c r="AQ992" s="156"/>
      <c r="AR992" s="157"/>
      <c r="AS992" s="158"/>
      <c r="AT992" s="159"/>
      <c r="AU992" s="161"/>
      <c r="AV992" s="156"/>
      <c r="AW992" s="162"/>
      <c r="AX992" s="163"/>
      <c r="AY992" s="164"/>
      <c r="AZ992" s="159"/>
      <c r="BA992" s="161"/>
      <c r="BB992" s="165"/>
      <c r="BE992" s="155"/>
    </row>
    <row r="993" spans="1:58" s="154" customFormat="1" ht="15" customHeight="1">
      <c r="A993" s="168" t="s">
        <v>3819</v>
      </c>
      <c r="B993" s="23" t="s">
        <v>3864</v>
      </c>
      <c r="C993" s="28" t="s">
        <v>3821</v>
      </c>
      <c r="D993" s="170">
        <v>16</v>
      </c>
      <c r="E993" s="154">
        <v>1</v>
      </c>
      <c r="G993" s="154" t="s">
        <v>3865</v>
      </c>
      <c r="J993" s="154" t="s">
        <v>28</v>
      </c>
      <c r="K993" s="154" t="s">
        <v>26</v>
      </c>
      <c r="M993" s="154" t="s">
        <v>648</v>
      </c>
      <c r="O993" s="156"/>
      <c r="P993" s="157"/>
      <c r="Q993" s="158"/>
      <c r="R993" s="159"/>
      <c r="S993" s="160"/>
      <c r="T993" s="161"/>
      <c r="U993" s="156"/>
      <c r="V993" s="162"/>
      <c r="W993" s="163"/>
      <c r="X993" s="164"/>
      <c r="Y993" s="159"/>
      <c r="Z993" s="161"/>
      <c r="AA993" s="165"/>
      <c r="AD993" s="154" t="s">
        <v>3866</v>
      </c>
      <c r="AF993" s="154" t="s">
        <v>4430</v>
      </c>
      <c r="AO993" s="155"/>
      <c r="AQ993" s="156"/>
      <c r="AR993" s="157"/>
      <c r="AS993" s="158"/>
      <c r="AT993" s="159"/>
      <c r="AU993" s="161"/>
      <c r="AV993" s="156"/>
      <c r="AW993" s="162"/>
      <c r="AX993" s="163"/>
      <c r="AY993" s="164"/>
      <c r="AZ993" s="159"/>
      <c r="BA993" s="161"/>
      <c r="BB993" s="165"/>
      <c r="BE993" s="155"/>
    </row>
    <row r="994" spans="1:58" s="154" customFormat="1" ht="15" customHeight="1">
      <c r="A994" s="168" t="s">
        <v>3819</v>
      </c>
      <c r="B994" s="23" t="s">
        <v>3867</v>
      </c>
      <c r="C994" s="28" t="s">
        <v>3821</v>
      </c>
      <c r="D994" s="170">
        <v>17</v>
      </c>
      <c r="E994" s="154">
        <v>2</v>
      </c>
      <c r="G994" s="154" t="s">
        <v>3868</v>
      </c>
      <c r="J994" s="154" t="s">
        <v>257</v>
      </c>
      <c r="K994" s="171" t="s">
        <v>198</v>
      </c>
      <c r="L994" s="154">
        <v>0</v>
      </c>
      <c r="N994" s="154">
        <v>2</v>
      </c>
      <c r="O994" s="156"/>
      <c r="P994" s="157"/>
      <c r="Q994" s="158">
        <v>1</v>
      </c>
      <c r="R994" s="159"/>
      <c r="S994" s="160"/>
      <c r="T994" s="161"/>
      <c r="U994" s="156"/>
      <c r="V994" s="162"/>
      <c r="W994" s="163"/>
      <c r="X994" s="164"/>
      <c r="Y994" s="159"/>
      <c r="Z994" s="161"/>
      <c r="AA994" s="165"/>
      <c r="AB994" s="154" t="s">
        <v>206</v>
      </c>
      <c r="AC994" s="154" t="s">
        <v>258</v>
      </c>
      <c r="AD994" s="154" t="s">
        <v>298</v>
      </c>
      <c r="AF994" s="154" t="s">
        <v>4431</v>
      </c>
      <c r="AO994" s="155"/>
      <c r="AQ994" s="156"/>
      <c r="AR994" s="157"/>
      <c r="AS994" s="158"/>
      <c r="AT994" s="159"/>
      <c r="AU994" s="161"/>
      <c r="AV994" s="156"/>
      <c r="AW994" s="162"/>
      <c r="AX994" s="163"/>
      <c r="AY994" s="164"/>
      <c r="AZ994" s="159"/>
      <c r="BA994" s="161"/>
      <c r="BB994" s="165"/>
      <c r="BE994" s="155"/>
    </row>
    <row r="995" spans="1:58" s="154" customFormat="1" ht="15" customHeight="1">
      <c r="A995" s="168" t="s">
        <v>3819</v>
      </c>
      <c r="B995" s="23" t="s">
        <v>3869</v>
      </c>
      <c r="C995" s="28" t="s">
        <v>3821</v>
      </c>
      <c r="D995" s="170">
        <v>18</v>
      </c>
      <c r="E995" s="154">
        <v>2</v>
      </c>
      <c r="G995" s="154" t="s">
        <v>3870</v>
      </c>
      <c r="J995" s="154" t="s">
        <v>257</v>
      </c>
      <c r="K995" s="171" t="s">
        <v>198</v>
      </c>
      <c r="L995" s="154">
        <v>0</v>
      </c>
      <c r="N995" s="154">
        <v>4</v>
      </c>
      <c r="O995" s="156"/>
      <c r="P995" s="157">
        <v>1</v>
      </c>
      <c r="Q995" s="158"/>
      <c r="R995" s="159"/>
      <c r="S995" s="160"/>
      <c r="T995" s="161">
        <v>2</v>
      </c>
      <c r="U995" s="156">
        <v>2</v>
      </c>
      <c r="V995" s="162"/>
      <c r="W995" s="163"/>
      <c r="X995" s="164"/>
      <c r="Y995" s="159"/>
      <c r="Z995" s="161"/>
      <c r="AA995" s="165"/>
      <c r="AB995" s="154" t="s">
        <v>205</v>
      </c>
      <c r="AC995" s="154" t="s">
        <v>25</v>
      </c>
      <c r="AD995" s="154" t="s">
        <v>3842</v>
      </c>
      <c r="AF995" s="154" t="s">
        <v>4432</v>
      </c>
      <c r="AO995" s="155"/>
      <c r="AQ995" s="156"/>
      <c r="AR995" s="157"/>
      <c r="AS995" s="158"/>
      <c r="AT995" s="159"/>
      <c r="AU995" s="161"/>
      <c r="AV995" s="156"/>
      <c r="AW995" s="162"/>
      <c r="AX995" s="163"/>
      <c r="AY995" s="164"/>
      <c r="AZ995" s="159"/>
      <c r="BA995" s="161"/>
      <c r="BB995" s="165"/>
      <c r="BE995" s="155"/>
    </row>
    <row r="996" spans="1:58" s="154" customFormat="1" ht="15" customHeight="1">
      <c r="A996" s="168" t="s">
        <v>3819</v>
      </c>
      <c r="B996" s="23" t="s">
        <v>3871</v>
      </c>
      <c r="C996" s="28" t="s">
        <v>3821</v>
      </c>
      <c r="D996" s="170">
        <v>19</v>
      </c>
      <c r="E996" s="154">
        <v>2</v>
      </c>
      <c r="G996" s="154" t="s">
        <v>3872</v>
      </c>
      <c r="J996" s="154" t="s">
        <v>27</v>
      </c>
      <c r="K996" s="171" t="s">
        <v>198</v>
      </c>
      <c r="L996" s="154">
        <v>0</v>
      </c>
      <c r="N996" s="154">
        <v>1</v>
      </c>
      <c r="O996" s="156">
        <v>1</v>
      </c>
      <c r="P996" s="157"/>
      <c r="Q996" s="158"/>
      <c r="R996" s="159"/>
      <c r="S996" s="160"/>
      <c r="T996" s="161"/>
      <c r="U996" s="156"/>
      <c r="V996" s="162"/>
      <c r="W996" s="163"/>
      <c r="X996" s="164"/>
      <c r="Y996" s="159"/>
      <c r="Z996" s="161"/>
      <c r="AA996" s="165"/>
      <c r="AB996" s="154" t="s">
        <v>204</v>
      </c>
      <c r="AD996" s="154" t="s">
        <v>3873</v>
      </c>
      <c r="AF996" s="154" t="s">
        <v>4433</v>
      </c>
      <c r="AO996" s="155"/>
      <c r="AQ996" s="156"/>
      <c r="AR996" s="157"/>
      <c r="AS996" s="158"/>
      <c r="AT996" s="159"/>
      <c r="AU996" s="161"/>
      <c r="AV996" s="156"/>
      <c r="AW996" s="162"/>
      <c r="AX996" s="163"/>
      <c r="AY996" s="164"/>
      <c r="AZ996" s="159"/>
      <c r="BA996" s="161"/>
      <c r="BB996" s="165"/>
      <c r="BE996" s="155"/>
    </row>
    <row r="997" spans="1:58" s="154" customFormat="1" ht="15" customHeight="1">
      <c r="A997" s="168" t="s">
        <v>3819</v>
      </c>
      <c r="B997" s="23" t="s">
        <v>3874</v>
      </c>
      <c r="C997" s="28" t="s">
        <v>3821</v>
      </c>
      <c r="D997" s="170">
        <v>20</v>
      </c>
      <c r="E997" s="154">
        <v>2</v>
      </c>
      <c r="G997" s="154" t="s">
        <v>3875</v>
      </c>
      <c r="J997" s="154" t="s">
        <v>27</v>
      </c>
      <c r="K997" s="171" t="s">
        <v>198</v>
      </c>
      <c r="L997" s="154">
        <v>1</v>
      </c>
      <c r="N997" s="154">
        <v>1</v>
      </c>
      <c r="O997" s="156"/>
      <c r="P997" s="157">
        <v>1</v>
      </c>
      <c r="Q997" s="158"/>
      <c r="R997" s="159"/>
      <c r="S997" s="160"/>
      <c r="T997" s="161"/>
      <c r="U997" s="156"/>
      <c r="V997" s="162"/>
      <c r="W997" s="163"/>
      <c r="X997" s="164"/>
      <c r="Y997" s="159"/>
      <c r="Z997" s="161"/>
      <c r="AA997" s="165"/>
      <c r="AB997" s="154" t="s">
        <v>205</v>
      </c>
      <c r="AD997" s="154" t="s">
        <v>3873</v>
      </c>
      <c r="AF997" s="154" t="s">
        <v>4434</v>
      </c>
      <c r="AO997" s="155"/>
      <c r="AQ997" s="156"/>
      <c r="AR997" s="157"/>
      <c r="AS997" s="158"/>
      <c r="AT997" s="159"/>
      <c r="AU997" s="161"/>
      <c r="AV997" s="156"/>
      <c r="AW997" s="162"/>
      <c r="AX997" s="163"/>
      <c r="AY997" s="164"/>
      <c r="AZ997" s="159"/>
      <c r="BA997" s="161"/>
      <c r="BB997" s="165"/>
      <c r="BE997" s="155"/>
    </row>
    <row r="998" spans="1:58" s="154" customFormat="1" ht="15" customHeight="1">
      <c r="A998" s="168" t="s">
        <v>3819</v>
      </c>
      <c r="B998" s="23" t="s">
        <v>3876</v>
      </c>
      <c r="C998" s="28" t="s">
        <v>3821</v>
      </c>
      <c r="D998" s="170">
        <v>21</v>
      </c>
      <c r="E998" s="154">
        <v>2</v>
      </c>
      <c r="G998" s="154" t="s">
        <v>3877</v>
      </c>
      <c r="H998" s="154" t="s">
        <v>3878</v>
      </c>
      <c r="I998" s="154" t="s">
        <v>223</v>
      </c>
      <c r="J998" s="154" t="s">
        <v>257</v>
      </c>
      <c r="K998" s="154" t="s">
        <v>199</v>
      </c>
      <c r="L998" s="154">
        <v>0</v>
      </c>
      <c r="N998" s="154">
        <v>3</v>
      </c>
      <c r="O998" s="156">
        <v>1</v>
      </c>
      <c r="P998" s="157"/>
      <c r="Q998" s="158"/>
      <c r="R998" s="159"/>
      <c r="S998" s="160"/>
      <c r="T998" s="161">
        <v>1</v>
      </c>
      <c r="U998" s="156">
        <v>2</v>
      </c>
      <c r="V998" s="162"/>
      <c r="W998" s="163"/>
      <c r="X998" s="164"/>
      <c r="Y998" s="159"/>
      <c r="Z998" s="161"/>
      <c r="AA998" s="165"/>
      <c r="AB998" s="154" t="s">
        <v>204</v>
      </c>
      <c r="AC998" s="154" t="s">
        <v>25</v>
      </c>
      <c r="AD998" s="154" t="s">
        <v>3879</v>
      </c>
      <c r="AF998" s="154" t="s">
        <v>4435</v>
      </c>
      <c r="AO998" s="155"/>
      <c r="AQ998" s="156"/>
      <c r="AR998" s="157"/>
      <c r="AS998" s="158"/>
      <c r="AT998" s="159"/>
      <c r="AU998" s="161"/>
      <c r="AV998" s="156"/>
      <c r="AW998" s="162"/>
      <c r="AX998" s="163"/>
      <c r="AY998" s="164"/>
      <c r="AZ998" s="159"/>
      <c r="BA998" s="161"/>
      <c r="BB998" s="165"/>
      <c r="BE998" s="155"/>
    </row>
    <row r="999" spans="1:58" s="154" customFormat="1" ht="15" customHeight="1">
      <c r="A999" s="168" t="s">
        <v>3819</v>
      </c>
      <c r="B999" s="23" t="s">
        <v>3880</v>
      </c>
      <c r="C999" s="28" t="s">
        <v>3821</v>
      </c>
      <c r="D999" s="170">
        <v>22</v>
      </c>
      <c r="E999" s="154">
        <v>2</v>
      </c>
      <c r="G999" s="154" t="s">
        <v>3881</v>
      </c>
      <c r="H999" s="154" t="s">
        <v>1397</v>
      </c>
      <c r="J999" s="154" t="s">
        <v>257</v>
      </c>
      <c r="K999" s="154" t="s">
        <v>199</v>
      </c>
      <c r="L999" s="154">
        <v>1</v>
      </c>
      <c r="N999" s="154">
        <v>1</v>
      </c>
      <c r="O999" s="156"/>
      <c r="P999" s="157">
        <v>1</v>
      </c>
      <c r="Q999" s="158"/>
      <c r="R999" s="159"/>
      <c r="S999" s="160"/>
      <c r="T999" s="161"/>
      <c r="U999" s="156"/>
      <c r="V999" s="162"/>
      <c r="W999" s="163"/>
      <c r="X999" s="164"/>
      <c r="Y999" s="159"/>
      <c r="Z999" s="161"/>
      <c r="AA999" s="165"/>
      <c r="AB999" s="154" t="s">
        <v>205</v>
      </c>
      <c r="AC999" s="154" t="s">
        <v>258</v>
      </c>
      <c r="AD999" s="154" t="s">
        <v>276</v>
      </c>
      <c r="AF999" s="154" t="s">
        <v>4436</v>
      </c>
      <c r="AO999" s="155"/>
      <c r="AQ999" s="156"/>
      <c r="AR999" s="157"/>
      <c r="AS999" s="158"/>
      <c r="AT999" s="159"/>
      <c r="AU999" s="161"/>
      <c r="AV999" s="156"/>
      <c r="AW999" s="162"/>
      <c r="AX999" s="163"/>
      <c r="AY999" s="164"/>
      <c r="AZ999" s="159"/>
      <c r="BA999" s="161"/>
      <c r="BB999" s="165"/>
      <c r="BE999" s="155"/>
    </row>
    <row r="1000" spans="1:58" s="154" customFormat="1" ht="15" customHeight="1">
      <c r="A1000" s="168" t="s">
        <v>3819</v>
      </c>
      <c r="B1000" s="23" t="s">
        <v>3882</v>
      </c>
      <c r="C1000" s="28" t="s">
        <v>3821</v>
      </c>
      <c r="D1000" s="170">
        <v>23</v>
      </c>
      <c r="E1000" s="154">
        <v>2</v>
      </c>
      <c r="G1000" s="154" t="s">
        <v>3883</v>
      </c>
      <c r="H1000" s="154" t="s">
        <v>3884</v>
      </c>
      <c r="J1000" s="154" t="s">
        <v>257</v>
      </c>
      <c r="K1000" s="154" t="s">
        <v>199</v>
      </c>
      <c r="L1000" s="154">
        <v>0</v>
      </c>
      <c r="N1000" s="155">
        <v>3</v>
      </c>
      <c r="O1000" s="156">
        <v>1</v>
      </c>
      <c r="P1000" s="157"/>
      <c r="Q1000" s="158"/>
      <c r="R1000" s="159"/>
      <c r="S1000" s="160"/>
      <c r="T1000" s="161"/>
      <c r="U1000" s="156"/>
      <c r="V1000" s="162"/>
      <c r="W1000" s="163"/>
      <c r="X1000" s="164"/>
      <c r="Y1000" s="159"/>
      <c r="Z1000" s="161"/>
      <c r="AA1000" s="165"/>
      <c r="AB1000" s="154" t="s">
        <v>204</v>
      </c>
      <c r="AC1000" s="154" t="s">
        <v>275</v>
      </c>
      <c r="AD1000" s="154" t="s">
        <v>276</v>
      </c>
      <c r="AE1000" s="155"/>
      <c r="AF1000" s="154" t="s">
        <v>4437</v>
      </c>
      <c r="AP1000" s="155"/>
      <c r="AQ1000" s="156"/>
      <c r="AR1000" s="157"/>
      <c r="AS1000" s="158"/>
      <c r="AT1000" s="159"/>
      <c r="AU1000" s="161"/>
      <c r="AV1000" s="156"/>
      <c r="AW1000" s="162"/>
      <c r="AX1000" s="163"/>
      <c r="AY1000" s="164"/>
      <c r="AZ1000" s="159"/>
      <c r="BA1000" s="161"/>
      <c r="BB1000" s="165"/>
      <c r="BF1000" s="155"/>
    </row>
    <row r="1001" spans="1:58" s="154" customFormat="1" ht="15" customHeight="1">
      <c r="A1001" s="168" t="s">
        <v>3819</v>
      </c>
      <c r="B1001" s="23" t="s">
        <v>3885</v>
      </c>
      <c r="C1001" s="28" t="s">
        <v>3821</v>
      </c>
      <c r="D1001" s="170">
        <v>24</v>
      </c>
      <c r="E1001" s="154">
        <v>2</v>
      </c>
      <c r="G1001" s="154" t="s">
        <v>3886</v>
      </c>
      <c r="J1001" s="154" t="s">
        <v>27</v>
      </c>
      <c r="K1001" s="154" t="s">
        <v>199</v>
      </c>
      <c r="L1001" s="154">
        <v>0</v>
      </c>
      <c r="N1001" s="155">
        <v>1</v>
      </c>
      <c r="O1001" s="156"/>
      <c r="P1001" s="157">
        <v>2</v>
      </c>
      <c r="Q1001" s="158"/>
      <c r="R1001" s="159"/>
      <c r="S1001" s="160"/>
      <c r="T1001" s="161"/>
      <c r="U1001" s="156"/>
      <c r="V1001" s="162"/>
      <c r="W1001" s="163"/>
      <c r="X1001" s="164"/>
      <c r="Y1001" s="159"/>
      <c r="Z1001" s="161"/>
      <c r="AA1001" s="165"/>
      <c r="AB1001" s="154" t="s">
        <v>1084</v>
      </c>
      <c r="AD1001" s="154" t="s">
        <v>340</v>
      </c>
      <c r="AE1001" s="155"/>
      <c r="AF1001" s="154" t="s">
        <v>4438</v>
      </c>
      <c r="AP1001" s="155"/>
      <c r="AQ1001" s="156"/>
      <c r="AR1001" s="157"/>
      <c r="AS1001" s="158"/>
      <c r="AT1001" s="159"/>
      <c r="AU1001" s="161"/>
      <c r="AV1001" s="156"/>
      <c r="AW1001" s="162"/>
      <c r="AX1001" s="163"/>
      <c r="AY1001" s="164"/>
      <c r="AZ1001" s="159"/>
      <c r="BA1001" s="161"/>
      <c r="BB1001" s="165"/>
      <c r="BF1001" s="155"/>
    </row>
    <row r="1002" spans="1:58" s="154" customFormat="1" ht="15" customHeight="1">
      <c r="A1002" s="168" t="s">
        <v>3819</v>
      </c>
      <c r="B1002" s="23" t="s">
        <v>3887</v>
      </c>
      <c r="C1002" s="28" t="s">
        <v>3821</v>
      </c>
      <c r="D1002" s="170">
        <v>25</v>
      </c>
      <c r="E1002" s="154">
        <v>2</v>
      </c>
      <c r="G1002" s="154" t="s">
        <v>3888</v>
      </c>
      <c r="J1002" s="154" t="s">
        <v>257</v>
      </c>
      <c r="K1002" s="154" t="s">
        <v>201</v>
      </c>
      <c r="L1002" s="154">
        <v>1</v>
      </c>
      <c r="N1002" s="155">
        <v>1</v>
      </c>
      <c r="O1002" s="156"/>
      <c r="P1002" s="157">
        <v>1</v>
      </c>
      <c r="Q1002" s="158"/>
      <c r="R1002" s="159"/>
      <c r="S1002" s="160"/>
      <c r="T1002" s="161">
        <v>2</v>
      </c>
      <c r="U1002" s="156">
        <v>2</v>
      </c>
      <c r="V1002" s="162"/>
      <c r="W1002" s="163"/>
      <c r="X1002" s="164"/>
      <c r="Y1002" s="159"/>
      <c r="Z1002" s="161"/>
      <c r="AA1002" s="165"/>
      <c r="AB1002" s="154" t="s">
        <v>205</v>
      </c>
      <c r="AC1002" s="154" t="s">
        <v>25</v>
      </c>
      <c r="AD1002" s="154" t="s">
        <v>3842</v>
      </c>
      <c r="AE1002" s="155"/>
      <c r="AF1002" s="154" t="s">
        <v>4439</v>
      </c>
      <c r="AP1002" s="155"/>
      <c r="AQ1002" s="156"/>
      <c r="AR1002" s="157"/>
      <c r="AS1002" s="158"/>
      <c r="AT1002" s="159"/>
      <c r="AU1002" s="161"/>
      <c r="AV1002" s="156"/>
      <c r="AW1002" s="162"/>
      <c r="AX1002" s="163"/>
      <c r="AY1002" s="164"/>
      <c r="AZ1002" s="159"/>
      <c r="BA1002" s="161"/>
      <c r="BB1002" s="165"/>
      <c r="BF1002" s="155"/>
    </row>
    <row r="1003" spans="1:58" s="154" customFormat="1" ht="15" customHeight="1">
      <c r="A1003" s="168" t="s">
        <v>3819</v>
      </c>
      <c r="B1003" s="23" t="s">
        <v>3889</v>
      </c>
      <c r="C1003" s="28" t="s">
        <v>3821</v>
      </c>
      <c r="D1003" s="170">
        <v>26</v>
      </c>
      <c r="E1003" s="154">
        <v>2</v>
      </c>
      <c r="G1003" s="154" t="s">
        <v>3890</v>
      </c>
      <c r="H1003" s="154" t="s">
        <v>3891</v>
      </c>
      <c r="J1003" s="154" t="s">
        <v>257</v>
      </c>
      <c r="K1003" s="154" t="s">
        <v>201</v>
      </c>
      <c r="L1003" s="154">
        <v>0</v>
      </c>
      <c r="N1003" s="155">
        <v>0</v>
      </c>
      <c r="O1003" s="156"/>
      <c r="P1003" s="157"/>
      <c r="Q1003" s="158"/>
      <c r="R1003" s="159">
        <v>1</v>
      </c>
      <c r="S1003" s="160"/>
      <c r="T1003" s="161"/>
      <c r="U1003" s="156"/>
      <c r="V1003" s="162"/>
      <c r="W1003" s="163"/>
      <c r="X1003" s="164"/>
      <c r="Y1003" s="159"/>
      <c r="Z1003" s="161"/>
      <c r="AA1003" s="165"/>
      <c r="AB1003" s="154" t="s">
        <v>207</v>
      </c>
      <c r="AC1003" s="154" t="s">
        <v>275</v>
      </c>
      <c r="AD1003" s="154" t="s">
        <v>3892</v>
      </c>
      <c r="AE1003" s="155"/>
      <c r="AF1003" s="154" t="s">
        <v>4440</v>
      </c>
      <c r="AP1003" s="155"/>
      <c r="AQ1003" s="156"/>
      <c r="AR1003" s="157"/>
      <c r="AS1003" s="158"/>
      <c r="AT1003" s="159"/>
      <c r="AU1003" s="161"/>
      <c r="AV1003" s="156"/>
      <c r="AW1003" s="162"/>
      <c r="AX1003" s="163"/>
      <c r="AY1003" s="164"/>
      <c r="AZ1003" s="159"/>
      <c r="BA1003" s="161"/>
      <c r="BB1003" s="165"/>
      <c r="BF1003" s="155"/>
    </row>
    <row r="1004" spans="1:58" s="154" customFormat="1" ht="15" customHeight="1">
      <c r="A1004" s="168" t="s">
        <v>3819</v>
      </c>
      <c r="B1004" s="23" t="s">
        <v>3893</v>
      </c>
      <c r="C1004" s="28" t="s">
        <v>3821</v>
      </c>
      <c r="D1004" s="170">
        <v>27</v>
      </c>
      <c r="E1004" s="154">
        <v>2</v>
      </c>
      <c r="G1004" s="154" t="s">
        <v>3894</v>
      </c>
      <c r="J1004" s="154" t="s">
        <v>27</v>
      </c>
      <c r="K1004" s="154" t="s">
        <v>201</v>
      </c>
      <c r="L1004" s="154">
        <v>0</v>
      </c>
      <c r="N1004" s="155">
        <v>1</v>
      </c>
      <c r="O1004" s="156"/>
      <c r="P1004" s="157">
        <v>1</v>
      </c>
      <c r="Q1004" s="158"/>
      <c r="R1004" s="159">
        <v>1</v>
      </c>
      <c r="S1004" s="160"/>
      <c r="T1004" s="161"/>
      <c r="U1004" s="156"/>
      <c r="V1004" s="162"/>
      <c r="W1004" s="163"/>
      <c r="X1004" s="164"/>
      <c r="Y1004" s="159"/>
      <c r="Z1004" s="161"/>
      <c r="AA1004" s="165"/>
      <c r="AB1004" s="154" t="s">
        <v>1089</v>
      </c>
      <c r="AD1004" s="154" t="s">
        <v>3895</v>
      </c>
      <c r="AE1004" s="155"/>
      <c r="AF1004" s="154" t="s">
        <v>3896</v>
      </c>
      <c r="AP1004" s="155"/>
      <c r="AQ1004" s="156"/>
      <c r="AR1004" s="157"/>
      <c r="AS1004" s="158"/>
      <c r="AT1004" s="159"/>
      <c r="AU1004" s="161"/>
      <c r="AV1004" s="156"/>
      <c r="AW1004" s="162"/>
      <c r="AX1004" s="163"/>
      <c r="AY1004" s="164"/>
      <c r="AZ1004" s="159"/>
      <c r="BA1004" s="161"/>
      <c r="BB1004" s="165"/>
      <c r="BF1004" s="155"/>
    </row>
    <row r="1005" spans="1:58" s="154" customFormat="1" ht="15" customHeight="1">
      <c r="A1005" s="168" t="s">
        <v>3819</v>
      </c>
      <c r="B1005" s="23" t="s">
        <v>3897</v>
      </c>
      <c r="C1005" s="28" t="s">
        <v>3821</v>
      </c>
      <c r="D1005" s="170">
        <v>28</v>
      </c>
      <c r="E1005" s="154">
        <v>2</v>
      </c>
      <c r="G1005" s="154" t="s">
        <v>3898</v>
      </c>
      <c r="J1005" s="154" t="s">
        <v>27</v>
      </c>
      <c r="K1005" s="154" t="s">
        <v>201</v>
      </c>
      <c r="L1005" s="154">
        <v>0</v>
      </c>
      <c r="N1005" s="155">
        <v>0</v>
      </c>
      <c r="O1005" s="156"/>
      <c r="P1005" s="157">
        <v>1</v>
      </c>
      <c r="Q1005" s="158"/>
      <c r="R1005" s="159">
        <v>1</v>
      </c>
      <c r="S1005" s="160"/>
      <c r="T1005" s="161"/>
      <c r="U1005" s="156"/>
      <c r="V1005" s="162"/>
      <c r="W1005" s="163"/>
      <c r="X1005" s="164"/>
      <c r="Y1005" s="159"/>
      <c r="Z1005" s="161"/>
      <c r="AA1005" s="165"/>
      <c r="AB1005" s="154" t="s">
        <v>1089</v>
      </c>
      <c r="AD1005" s="154" t="s">
        <v>1412</v>
      </c>
      <c r="AE1005" s="155"/>
      <c r="AF1005" s="154" t="s">
        <v>4441</v>
      </c>
      <c r="AP1005" s="155"/>
      <c r="AQ1005" s="156"/>
      <c r="AR1005" s="157"/>
      <c r="AS1005" s="158"/>
      <c r="AT1005" s="159"/>
      <c r="AU1005" s="161"/>
      <c r="AV1005" s="156"/>
      <c r="AW1005" s="162"/>
      <c r="AX1005" s="163"/>
      <c r="AY1005" s="164"/>
      <c r="AZ1005" s="159"/>
      <c r="BA1005" s="161"/>
      <c r="BB1005" s="165"/>
      <c r="BF1005" s="155"/>
    </row>
    <row r="1006" spans="1:58" s="154" customFormat="1" ht="15" customHeight="1">
      <c r="A1006" s="168" t="s">
        <v>3819</v>
      </c>
      <c r="B1006" s="23" t="s">
        <v>3899</v>
      </c>
      <c r="C1006" s="28" t="s">
        <v>3821</v>
      </c>
      <c r="D1006" s="170">
        <v>29</v>
      </c>
      <c r="E1006" s="154">
        <v>2</v>
      </c>
      <c r="G1006" s="154" t="s">
        <v>3900</v>
      </c>
      <c r="J1006" s="154" t="s">
        <v>257</v>
      </c>
      <c r="K1006" s="154" t="s">
        <v>200</v>
      </c>
      <c r="L1006" s="154">
        <v>0</v>
      </c>
      <c r="N1006" s="155">
        <v>2</v>
      </c>
      <c r="O1006" s="156"/>
      <c r="P1006" s="157"/>
      <c r="Q1006" s="158"/>
      <c r="R1006" s="159">
        <v>1</v>
      </c>
      <c r="S1006" s="160"/>
      <c r="T1006" s="161"/>
      <c r="U1006" s="156"/>
      <c r="V1006" s="162"/>
      <c r="W1006" s="163"/>
      <c r="X1006" s="164"/>
      <c r="Y1006" s="159"/>
      <c r="Z1006" s="161"/>
      <c r="AA1006" s="165"/>
      <c r="AB1006" s="154" t="s">
        <v>207</v>
      </c>
      <c r="AC1006" s="154" t="s">
        <v>378</v>
      </c>
      <c r="AD1006" s="154" t="s">
        <v>279</v>
      </c>
      <c r="AE1006" s="155"/>
      <c r="AF1006" s="154" t="s">
        <v>4442</v>
      </c>
      <c r="AP1006" s="155"/>
      <c r="AQ1006" s="156"/>
      <c r="AR1006" s="157"/>
      <c r="AS1006" s="158"/>
      <c r="AT1006" s="159"/>
      <c r="AU1006" s="161"/>
      <c r="AV1006" s="156"/>
      <c r="AW1006" s="162"/>
      <c r="AX1006" s="163"/>
      <c r="AY1006" s="164"/>
      <c r="AZ1006" s="159"/>
      <c r="BA1006" s="161"/>
      <c r="BB1006" s="165"/>
      <c r="BF1006" s="155"/>
    </row>
    <row r="1007" spans="1:58" s="154" customFormat="1" ht="15" customHeight="1">
      <c r="A1007" s="168" t="s">
        <v>3819</v>
      </c>
      <c r="B1007" s="23" t="s">
        <v>3901</v>
      </c>
      <c r="C1007" s="28" t="s">
        <v>3821</v>
      </c>
      <c r="D1007" s="170">
        <v>30</v>
      </c>
      <c r="E1007" s="154">
        <v>2</v>
      </c>
      <c r="G1007" s="154" t="s">
        <v>3902</v>
      </c>
      <c r="H1007" s="154" t="s">
        <v>3903</v>
      </c>
      <c r="I1007" s="154" t="s">
        <v>223</v>
      </c>
      <c r="J1007" s="154" t="s">
        <v>257</v>
      </c>
      <c r="K1007" s="154" t="s">
        <v>200</v>
      </c>
      <c r="L1007" s="154">
        <v>0</v>
      </c>
      <c r="N1007" s="155">
        <v>3</v>
      </c>
      <c r="O1007" s="156"/>
      <c r="P1007" s="157">
        <v>1</v>
      </c>
      <c r="Q1007" s="158"/>
      <c r="R1007" s="159"/>
      <c r="S1007" s="160"/>
      <c r="T1007" s="161"/>
      <c r="U1007" s="156"/>
      <c r="V1007" s="162"/>
      <c r="W1007" s="163"/>
      <c r="X1007" s="164"/>
      <c r="Y1007" s="159"/>
      <c r="Z1007" s="161"/>
      <c r="AA1007" s="165"/>
      <c r="AB1007" s="154" t="s">
        <v>205</v>
      </c>
      <c r="AC1007" s="154" t="s">
        <v>258</v>
      </c>
      <c r="AD1007" s="154" t="s">
        <v>3892</v>
      </c>
      <c r="AE1007" s="155"/>
      <c r="AF1007" s="154" t="s">
        <v>4443</v>
      </c>
      <c r="AP1007" s="155"/>
      <c r="AQ1007" s="156"/>
      <c r="AR1007" s="157"/>
      <c r="AS1007" s="158"/>
      <c r="AT1007" s="159"/>
      <c r="AU1007" s="161"/>
      <c r="AV1007" s="156"/>
      <c r="AW1007" s="162"/>
      <c r="AX1007" s="163"/>
      <c r="AY1007" s="164"/>
      <c r="AZ1007" s="159"/>
      <c r="BA1007" s="161"/>
      <c r="BB1007" s="165"/>
      <c r="BF1007" s="155"/>
    </row>
    <row r="1008" spans="1:58" s="154" customFormat="1" ht="15" customHeight="1">
      <c r="A1008" s="168" t="s">
        <v>3819</v>
      </c>
      <c r="B1008" s="23" t="s">
        <v>3904</v>
      </c>
      <c r="C1008" s="28" t="s">
        <v>3821</v>
      </c>
      <c r="D1008" s="170">
        <v>31</v>
      </c>
      <c r="E1008" s="154">
        <v>2</v>
      </c>
      <c r="G1008" s="154" t="s">
        <v>3905</v>
      </c>
      <c r="J1008" s="154" t="s">
        <v>257</v>
      </c>
      <c r="K1008" s="154" t="s">
        <v>200</v>
      </c>
      <c r="L1008" s="154">
        <v>1</v>
      </c>
      <c r="N1008" s="155">
        <v>1</v>
      </c>
      <c r="O1008" s="156">
        <v>1</v>
      </c>
      <c r="P1008" s="157"/>
      <c r="Q1008" s="158"/>
      <c r="R1008" s="159"/>
      <c r="S1008" s="160"/>
      <c r="T1008" s="161"/>
      <c r="U1008" s="156"/>
      <c r="V1008" s="162"/>
      <c r="W1008" s="163"/>
      <c r="X1008" s="164"/>
      <c r="Y1008" s="159"/>
      <c r="Z1008" s="161"/>
      <c r="AA1008" s="165"/>
      <c r="AB1008" s="154" t="s">
        <v>204</v>
      </c>
      <c r="AC1008" s="154" t="s">
        <v>378</v>
      </c>
      <c r="AD1008" s="154" t="s">
        <v>3906</v>
      </c>
      <c r="AE1008" s="155"/>
      <c r="AF1008" s="154" t="s">
        <v>4444</v>
      </c>
      <c r="AP1008" s="155"/>
      <c r="AQ1008" s="156"/>
      <c r="AR1008" s="157"/>
      <c r="AS1008" s="158"/>
      <c r="AT1008" s="159"/>
      <c r="AU1008" s="161"/>
      <c r="AV1008" s="156"/>
      <c r="AW1008" s="162"/>
      <c r="AX1008" s="163"/>
      <c r="AY1008" s="164"/>
      <c r="AZ1008" s="159"/>
      <c r="BA1008" s="161"/>
      <c r="BB1008" s="165"/>
      <c r="BF1008" s="155"/>
    </row>
    <row r="1009" spans="1:59" s="154" customFormat="1" ht="15" customHeight="1">
      <c r="A1009" s="168" t="s">
        <v>3819</v>
      </c>
      <c r="B1009" s="23" t="s">
        <v>3907</v>
      </c>
      <c r="C1009" s="28" t="s">
        <v>3821</v>
      </c>
      <c r="D1009" s="170">
        <v>32</v>
      </c>
      <c r="E1009" s="154">
        <v>2</v>
      </c>
      <c r="G1009" s="154" t="s">
        <v>3908</v>
      </c>
      <c r="J1009" s="154" t="s">
        <v>27</v>
      </c>
      <c r="K1009" s="154" t="s">
        <v>200</v>
      </c>
      <c r="L1009" s="154">
        <v>0</v>
      </c>
      <c r="N1009" s="155">
        <v>1</v>
      </c>
      <c r="O1009" s="156">
        <v>1</v>
      </c>
      <c r="P1009" s="157"/>
      <c r="Q1009" s="158"/>
      <c r="R1009" s="159">
        <v>1</v>
      </c>
      <c r="S1009" s="160"/>
      <c r="T1009" s="161"/>
      <c r="U1009" s="156"/>
      <c r="V1009" s="162"/>
      <c r="W1009" s="163"/>
      <c r="X1009" s="164"/>
      <c r="Y1009" s="159"/>
      <c r="Z1009" s="161"/>
      <c r="AA1009" s="165"/>
      <c r="AB1009" s="154" t="s">
        <v>1085</v>
      </c>
      <c r="AD1009" s="154" t="s">
        <v>3909</v>
      </c>
      <c r="AE1009" s="155"/>
      <c r="AF1009" s="154" t="s">
        <v>4445</v>
      </c>
      <c r="AP1009" s="155"/>
      <c r="AQ1009" s="156"/>
      <c r="AR1009" s="157"/>
      <c r="AS1009" s="158"/>
      <c r="AT1009" s="159"/>
      <c r="AU1009" s="161"/>
      <c r="AV1009" s="156"/>
      <c r="AW1009" s="162"/>
      <c r="AX1009" s="163"/>
      <c r="AY1009" s="164"/>
      <c r="AZ1009" s="159"/>
      <c r="BA1009" s="161"/>
      <c r="BB1009" s="165"/>
      <c r="BF1009" s="155"/>
    </row>
    <row r="1010" spans="1:59" s="154" customFormat="1" ht="15" customHeight="1">
      <c r="A1010" s="168" t="s">
        <v>3819</v>
      </c>
      <c r="B1010" s="23" t="s">
        <v>3910</v>
      </c>
      <c r="C1010" s="28" t="s">
        <v>3821</v>
      </c>
      <c r="D1010" s="170">
        <v>33</v>
      </c>
      <c r="E1010" s="154">
        <v>2</v>
      </c>
      <c r="G1010" s="154" t="s">
        <v>3911</v>
      </c>
      <c r="J1010" s="154" t="s">
        <v>27</v>
      </c>
      <c r="K1010" s="154" t="s">
        <v>202</v>
      </c>
      <c r="L1010" s="154">
        <v>0</v>
      </c>
      <c r="N1010" s="155">
        <v>1</v>
      </c>
      <c r="O1010" s="156"/>
      <c r="P1010" s="157"/>
      <c r="Q1010" s="158"/>
      <c r="R1010" s="159"/>
      <c r="S1010" s="160"/>
      <c r="T1010" s="161"/>
      <c r="U1010" s="156"/>
      <c r="V1010" s="162"/>
      <c r="W1010" s="163"/>
      <c r="X1010" s="164"/>
      <c r="Y1010" s="159"/>
      <c r="Z1010" s="161"/>
      <c r="AA1010" s="165"/>
      <c r="AD1010" s="154" t="s">
        <v>3912</v>
      </c>
      <c r="AE1010" s="155"/>
      <c r="AF1010" s="154" t="s">
        <v>4446</v>
      </c>
      <c r="AP1010" s="155"/>
      <c r="AQ1010" s="156"/>
      <c r="AR1010" s="157"/>
      <c r="AS1010" s="158"/>
      <c r="AT1010" s="159"/>
      <c r="AU1010" s="161"/>
      <c r="AV1010" s="156"/>
      <c r="AW1010" s="162"/>
      <c r="AX1010" s="163"/>
      <c r="AY1010" s="164"/>
      <c r="AZ1010" s="159"/>
      <c r="BA1010" s="161"/>
      <c r="BB1010" s="165"/>
      <c r="BF1010" s="155"/>
    </row>
    <row r="1011" spans="1:59" s="154" customFormat="1" ht="15" customHeight="1">
      <c r="A1011" s="168" t="s">
        <v>3819</v>
      </c>
      <c r="B1011" s="23" t="s">
        <v>3913</v>
      </c>
      <c r="C1011" s="28" t="s">
        <v>3821</v>
      </c>
      <c r="D1011" s="170">
        <v>34</v>
      </c>
      <c r="E1011" s="154">
        <v>2</v>
      </c>
      <c r="G1011" s="154" t="s">
        <v>3914</v>
      </c>
      <c r="J1011" s="154" t="s">
        <v>27</v>
      </c>
      <c r="K1011" s="154" t="s">
        <v>202</v>
      </c>
      <c r="L1011" s="154">
        <v>0</v>
      </c>
      <c r="N1011" s="155">
        <v>2</v>
      </c>
      <c r="O1011" s="156"/>
      <c r="P1011" s="157"/>
      <c r="Q1011" s="158"/>
      <c r="R1011" s="159">
        <v>2</v>
      </c>
      <c r="S1011" s="160"/>
      <c r="T1011" s="161"/>
      <c r="U1011" s="156"/>
      <c r="V1011" s="162"/>
      <c r="W1011" s="163"/>
      <c r="X1011" s="164"/>
      <c r="Y1011" s="159"/>
      <c r="Z1011" s="161"/>
      <c r="AA1011" s="165"/>
      <c r="AB1011" s="154" t="s">
        <v>1095</v>
      </c>
      <c r="AD1011" s="154" t="s">
        <v>372</v>
      </c>
      <c r="AE1011" s="155"/>
      <c r="AF1011" s="154" t="s">
        <v>4447</v>
      </c>
      <c r="AP1011" s="155"/>
      <c r="AQ1011" s="156"/>
      <c r="AR1011" s="157"/>
      <c r="AS1011" s="158"/>
      <c r="AT1011" s="159"/>
      <c r="AU1011" s="161"/>
      <c r="AV1011" s="156"/>
      <c r="AW1011" s="162"/>
      <c r="AX1011" s="163"/>
      <c r="AY1011" s="164"/>
      <c r="AZ1011" s="159"/>
      <c r="BA1011" s="161"/>
      <c r="BB1011" s="165"/>
      <c r="BF1011" s="155"/>
    </row>
    <row r="1012" spans="1:59" s="154" customFormat="1" ht="15" customHeight="1">
      <c r="A1012" s="168" t="s">
        <v>3819</v>
      </c>
      <c r="B1012" s="23" t="s">
        <v>3915</v>
      </c>
      <c r="C1012" s="28" t="s">
        <v>3821</v>
      </c>
      <c r="D1012" s="170">
        <v>35</v>
      </c>
      <c r="E1012" s="154">
        <v>2</v>
      </c>
      <c r="G1012" s="154" t="s">
        <v>3916</v>
      </c>
      <c r="H1012" s="154" t="s">
        <v>3917</v>
      </c>
      <c r="I1012" s="154" t="s">
        <v>223</v>
      </c>
      <c r="J1012" s="154" t="s">
        <v>257</v>
      </c>
      <c r="K1012" s="154" t="s">
        <v>202</v>
      </c>
      <c r="L1012" s="154">
        <v>1</v>
      </c>
      <c r="N1012" s="155">
        <v>3</v>
      </c>
      <c r="O1012" s="156">
        <v>1</v>
      </c>
      <c r="P1012" s="157"/>
      <c r="Q1012" s="158"/>
      <c r="R1012" s="159"/>
      <c r="S1012" s="160"/>
      <c r="T1012" s="161">
        <v>2</v>
      </c>
      <c r="U1012" s="156">
        <v>2</v>
      </c>
      <c r="V1012" s="162"/>
      <c r="W1012" s="163"/>
      <c r="X1012" s="164"/>
      <c r="Y1012" s="159"/>
      <c r="Z1012" s="161"/>
      <c r="AA1012" s="165"/>
      <c r="AB1012" s="154" t="s">
        <v>204</v>
      </c>
      <c r="AC1012" s="154" t="s">
        <v>25</v>
      </c>
      <c r="AD1012" s="154" t="s">
        <v>3842</v>
      </c>
      <c r="AE1012" s="155"/>
      <c r="AF1012" s="154" t="s">
        <v>4448</v>
      </c>
      <c r="AP1012" s="155"/>
      <c r="AQ1012" s="156"/>
      <c r="AR1012" s="157"/>
      <c r="AS1012" s="158"/>
      <c r="AT1012" s="159"/>
      <c r="AU1012" s="161"/>
      <c r="AV1012" s="156"/>
      <c r="AW1012" s="162"/>
      <c r="AX1012" s="163"/>
      <c r="AY1012" s="164"/>
      <c r="AZ1012" s="159"/>
      <c r="BA1012" s="161"/>
      <c r="BB1012" s="165"/>
      <c r="BF1012" s="155"/>
    </row>
    <row r="1013" spans="1:59" s="154" customFormat="1" ht="15" customHeight="1">
      <c r="A1013" s="168" t="s">
        <v>3819</v>
      </c>
      <c r="B1013" s="23" t="s">
        <v>3918</v>
      </c>
      <c r="C1013" s="28" t="s">
        <v>3821</v>
      </c>
      <c r="D1013" s="170">
        <v>36</v>
      </c>
      <c r="E1013" s="154">
        <v>2</v>
      </c>
      <c r="G1013" s="154" t="s">
        <v>3919</v>
      </c>
      <c r="J1013" s="154" t="s">
        <v>312</v>
      </c>
      <c r="K1013" s="154" t="s">
        <v>202</v>
      </c>
      <c r="L1013" s="154">
        <v>0</v>
      </c>
      <c r="N1013" s="155"/>
      <c r="O1013" s="156"/>
      <c r="P1013" s="157"/>
      <c r="Q1013" s="158"/>
      <c r="R1013" s="159"/>
      <c r="S1013" s="160">
        <v>5</v>
      </c>
      <c r="T1013" s="161"/>
      <c r="U1013" s="156"/>
      <c r="V1013" s="162"/>
      <c r="W1013" s="163"/>
      <c r="X1013" s="164"/>
      <c r="Y1013" s="159"/>
      <c r="Z1013" s="161"/>
      <c r="AA1013" s="165"/>
      <c r="AB1013" s="154" t="s">
        <v>3920</v>
      </c>
      <c r="AD1013" s="154" t="s">
        <v>2603</v>
      </c>
      <c r="AE1013" s="155"/>
      <c r="AF1013" s="154" t="s">
        <v>4449</v>
      </c>
      <c r="AP1013" s="155"/>
      <c r="AQ1013" s="156"/>
      <c r="AR1013" s="157"/>
      <c r="AS1013" s="158"/>
      <c r="AT1013" s="159"/>
      <c r="AU1013" s="161"/>
      <c r="AV1013" s="156"/>
      <c r="AW1013" s="162"/>
      <c r="AX1013" s="163"/>
      <c r="AY1013" s="164"/>
      <c r="AZ1013" s="159"/>
      <c r="BA1013" s="161"/>
      <c r="BB1013" s="165"/>
      <c r="BF1013" s="155"/>
    </row>
    <row r="1014" spans="1:59" s="154" customFormat="1" ht="15" customHeight="1">
      <c r="A1014" s="168" t="s">
        <v>3819</v>
      </c>
      <c r="B1014" s="23" t="s">
        <v>3921</v>
      </c>
      <c r="C1014" s="28" t="s">
        <v>3821</v>
      </c>
      <c r="D1014" s="170">
        <v>37</v>
      </c>
      <c r="E1014" s="154">
        <v>2</v>
      </c>
      <c r="G1014" s="154" t="s">
        <v>3922</v>
      </c>
      <c r="J1014" s="154" t="s">
        <v>257</v>
      </c>
      <c r="K1014" s="154" t="s">
        <v>26</v>
      </c>
      <c r="L1014" s="154">
        <v>0</v>
      </c>
      <c r="N1014" s="155">
        <v>2</v>
      </c>
      <c r="O1014" s="156"/>
      <c r="P1014" s="157"/>
      <c r="Q1014" s="158"/>
      <c r="R1014" s="159">
        <v>1</v>
      </c>
      <c r="S1014" s="160"/>
      <c r="T1014" s="161"/>
      <c r="U1014" s="156"/>
      <c r="V1014" s="162"/>
      <c r="W1014" s="163"/>
      <c r="X1014" s="164"/>
      <c r="Y1014" s="159"/>
      <c r="Z1014" s="161"/>
      <c r="AA1014" s="165"/>
      <c r="AB1014" s="154" t="s">
        <v>207</v>
      </c>
      <c r="AC1014" s="154" t="s">
        <v>393</v>
      </c>
      <c r="AD1014" s="154" t="s">
        <v>265</v>
      </c>
      <c r="AE1014" s="155"/>
      <c r="AF1014" s="154" t="s">
        <v>4450</v>
      </c>
      <c r="AP1014" s="155"/>
      <c r="AQ1014" s="156"/>
      <c r="AR1014" s="157"/>
      <c r="AS1014" s="158"/>
      <c r="AT1014" s="159"/>
      <c r="AU1014" s="161"/>
      <c r="AV1014" s="156"/>
      <c r="AW1014" s="162"/>
      <c r="AX1014" s="163"/>
      <c r="AY1014" s="164"/>
      <c r="AZ1014" s="159"/>
      <c r="BA1014" s="161"/>
      <c r="BB1014" s="165"/>
      <c r="BF1014" s="155"/>
    </row>
    <row r="1015" spans="1:59" s="154" customFormat="1" ht="15" customHeight="1">
      <c r="A1015" s="168" t="s">
        <v>3819</v>
      </c>
      <c r="B1015" s="23" t="s">
        <v>3923</v>
      </c>
      <c r="C1015" s="28" t="s">
        <v>3821</v>
      </c>
      <c r="D1015" s="170">
        <v>38</v>
      </c>
      <c r="E1015" s="154">
        <v>1</v>
      </c>
      <c r="G1015" s="154" t="s">
        <v>3924</v>
      </c>
      <c r="J1015" s="154" t="s">
        <v>27</v>
      </c>
      <c r="K1015" s="154" t="s">
        <v>26</v>
      </c>
      <c r="M1015" s="154" t="s">
        <v>691</v>
      </c>
      <c r="N1015" s="155">
        <v>2</v>
      </c>
      <c r="O1015" s="156"/>
      <c r="P1015" s="157"/>
      <c r="Q1015" s="158"/>
      <c r="R1015" s="159"/>
      <c r="S1015" s="160"/>
      <c r="T1015" s="161"/>
      <c r="U1015" s="156"/>
      <c r="V1015" s="162"/>
      <c r="W1015" s="163"/>
      <c r="X1015" s="164"/>
      <c r="Y1015" s="159"/>
      <c r="Z1015" s="161"/>
      <c r="AA1015" s="165"/>
      <c r="AD1015" s="154" t="s">
        <v>4451</v>
      </c>
      <c r="AF1015" s="154" t="s">
        <v>4452</v>
      </c>
      <c r="AP1015" s="155"/>
      <c r="AQ1015" s="156"/>
      <c r="AR1015" s="157"/>
      <c r="AS1015" s="158"/>
      <c r="AT1015" s="159"/>
      <c r="AU1015" s="161"/>
      <c r="AV1015" s="156"/>
      <c r="AW1015" s="162"/>
      <c r="AX1015" s="163"/>
      <c r="AY1015" s="164"/>
      <c r="AZ1015" s="159"/>
      <c r="BA1015" s="161"/>
      <c r="BB1015" s="165"/>
      <c r="BF1015" s="155"/>
    </row>
    <row r="1016" spans="1:59" s="154" customFormat="1" ht="15" customHeight="1">
      <c r="A1016" s="168" t="s">
        <v>3819</v>
      </c>
      <c r="B1016" s="23" t="s">
        <v>3925</v>
      </c>
      <c r="C1016" s="28" t="s">
        <v>3821</v>
      </c>
      <c r="D1016" s="170">
        <v>39</v>
      </c>
      <c r="E1016" s="154">
        <v>1</v>
      </c>
      <c r="G1016" s="154" t="s">
        <v>2435</v>
      </c>
      <c r="J1016" s="154" t="s">
        <v>28</v>
      </c>
      <c r="K1016" s="154" t="s">
        <v>26</v>
      </c>
      <c r="M1016" s="154" t="s">
        <v>648</v>
      </c>
      <c r="N1016" s="155"/>
      <c r="O1016" s="156"/>
      <c r="P1016" s="157"/>
      <c r="Q1016" s="158"/>
      <c r="R1016" s="159"/>
      <c r="S1016" s="160"/>
      <c r="T1016" s="161"/>
      <c r="U1016" s="156"/>
      <c r="V1016" s="162"/>
      <c r="W1016" s="163"/>
      <c r="X1016" s="164"/>
      <c r="Y1016" s="159"/>
      <c r="Z1016" s="161"/>
      <c r="AA1016" s="165"/>
      <c r="AD1016" s="154" t="s">
        <v>4451</v>
      </c>
      <c r="AE1016" s="155"/>
      <c r="AF1016" s="154" t="s">
        <v>4453</v>
      </c>
      <c r="AP1016" s="155"/>
      <c r="AQ1016" s="156"/>
      <c r="AR1016" s="157"/>
      <c r="AS1016" s="158"/>
      <c r="AT1016" s="159"/>
      <c r="AU1016" s="161"/>
      <c r="AV1016" s="156"/>
      <c r="AW1016" s="162"/>
      <c r="AX1016" s="163"/>
      <c r="AY1016" s="164"/>
      <c r="AZ1016" s="159"/>
      <c r="BA1016" s="161"/>
      <c r="BB1016" s="165"/>
      <c r="BF1016" s="155"/>
    </row>
    <row r="1017" spans="1:59" s="154" customFormat="1" ht="15" customHeight="1">
      <c r="A1017" s="168" t="s">
        <v>3819</v>
      </c>
      <c r="B1017" s="23" t="s">
        <v>3926</v>
      </c>
      <c r="C1017" s="28" t="s">
        <v>3821</v>
      </c>
      <c r="D1017" s="170">
        <v>40</v>
      </c>
      <c r="E1017" s="154">
        <v>1</v>
      </c>
      <c r="G1017" s="154" t="s">
        <v>3927</v>
      </c>
      <c r="J1017" s="154" t="s">
        <v>28</v>
      </c>
      <c r="K1017" s="154" t="s">
        <v>26</v>
      </c>
      <c r="M1017" s="154" t="s">
        <v>691</v>
      </c>
      <c r="N1017" s="155"/>
      <c r="O1017" s="156"/>
      <c r="P1017" s="157"/>
      <c r="Q1017" s="158"/>
      <c r="R1017" s="159"/>
      <c r="S1017" s="160"/>
      <c r="T1017" s="161"/>
      <c r="U1017" s="156"/>
      <c r="V1017" s="162"/>
      <c r="W1017" s="163"/>
      <c r="X1017" s="164"/>
      <c r="Y1017" s="159"/>
      <c r="Z1017" s="161"/>
      <c r="AA1017" s="165"/>
      <c r="AD1017" s="154" t="s">
        <v>439</v>
      </c>
      <c r="AE1017" s="155"/>
      <c r="AF1017" s="154" t="s">
        <v>4454</v>
      </c>
      <c r="AP1017" s="155"/>
      <c r="AQ1017" s="156"/>
      <c r="AR1017" s="157"/>
      <c r="AS1017" s="158"/>
      <c r="AT1017" s="159"/>
      <c r="AU1017" s="161"/>
      <c r="AV1017" s="156"/>
      <c r="AW1017" s="162"/>
      <c r="AX1017" s="163"/>
      <c r="AY1017" s="164"/>
      <c r="AZ1017" s="159"/>
      <c r="BA1017" s="161"/>
      <c r="BB1017" s="165"/>
      <c r="BF1017" s="155"/>
    </row>
    <row r="1018" spans="1:59" s="154" customFormat="1" ht="15" customHeight="1">
      <c r="A1018" s="168" t="s">
        <v>3819</v>
      </c>
      <c r="B1018" s="23" t="s">
        <v>3928</v>
      </c>
      <c r="C1018" s="28" t="s">
        <v>3821</v>
      </c>
      <c r="D1018" s="170">
        <v>41</v>
      </c>
      <c r="E1018" s="154">
        <v>1</v>
      </c>
      <c r="G1018" s="154" t="s">
        <v>3929</v>
      </c>
      <c r="J1018" s="154" t="s">
        <v>28</v>
      </c>
      <c r="K1018" s="154" t="s">
        <v>26</v>
      </c>
      <c r="M1018" s="154" t="s">
        <v>648</v>
      </c>
      <c r="N1018" s="155"/>
      <c r="O1018" s="156"/>
      <c r="P1018" s="157"/>
      <c r="Q1018" s="158"/>
      <c r="R1018" s="159"/>
      <c r="S1018" s="160"/>
      <c r="T1018" s="161"/>
      <c r="U1018" s="156"/>
      <c r="V1018" s="162"/>
      <c r="W1018" s="163"/>
      <c r="X1018" s="164"/>
      <c r="Y1018" s="159"/>
      <c r="Z1018" s="161"/>
      <c r="AA1018" s="165"/>
      <c r="AD1018" s="154" t="s">
        <v>439</v>
      </c>
      <c r="AE1018" s="155"/>
      <c r="AF1018" s="154" t="s">
        <v>4455</v>
      </c>
      <c r="AP1018" s="155"/>
      <c r="AQ1018" s="156"/>
      <c r="AR1018" s="157"/>
      <c r="AS1018" s="158"/>
      <c r="AT1018" s="159"/>
      <c r="AU1018" s="161"/>
      <c r="AV1018" s="156"/>
      <c r="AW1018" s="162"/>
      <c r="AX1018" s="163"/>
      <c r="AY1018" s="164"/>
      <c r="AZ1018" s="159"/>
      <c r="BA1018" s="161"/>
      <c r="BB1018" s="165"/>
      <c r="BF1018" s="155"/>
    </row>
    <row r="1019" spans="1:59" s="154" customFormat="1" ht="15" customHeight="1">
      <c r="A1019" s="168" t="s">
        <v>3819</v>
      </c>
      <c r="B1019" s="30" t="s">
        <v>3930</v>
      </c>
      <c r="C1019" s="28" t="s">
        <v>3821</v>
      </c>
      <c r="D1019" s="170">
        <v>42</v>
      </c>
      <c r="E1019" s="154">
        <v>1</v>
      </c>
      <c r="G1019" s="154" t="s">
        <v>3931</v>
      </c>
      <c r="J1019" s="154" t="s">
        <v>28</v>
      </c>
      <c r="K1019" s="154" t="s">
        <v>26</v>
      </c>
      <c r="M1019" s="154" t="s">
        <v>648</v>
      </c>
      <c r="N1019" s="155"/>
      <c r="O1019" s="156"/>
      <c r="P1019" s="157"/>
      <c r="Q1019" s="158"/>
      <c r="R1019" s="159"/>
      <c r="S1019" s="160"/>
      <c r="T1019" s="161"/>
      <c r="U1019" s="156"/>
      <c r="V1019" s="162"/>
      <c r="W1019" s="163"/>
      <c r="X1019" s="164"/>
      <c r="Y1019" s="159"/>
      <c r="Z1019" s="161"/>
      <c r="AA1019" s="165"/>
      <c r="AD1019" s="154" t="s">
        <v>439</v>
      </c>
      <c r="AE1019" s="155"/>
      <c r="AF1019" s="154" t="s">
        <v>4456</v>
      </c>
      <c r="AP1019" s="155"/>
      <c r="AQ1019" s="156"/>
      <c r="AR1019" s="157"/>
      <c r="AS1019" s="158"/>
      <c r="AT1019" s="159"/>
      <c r="AU1019" s="161"/>
      <c r="AV1019" s="156"/>
      <c r="AW1019" s="162"/>
      <c r="AX1019" s="163"/>
      <c r="AY1019" s="164"/>
      <c r="AZ1019" s="159"/>
      <c r="BA1019" s="161"/>
      <c r="BB1019" s="165"/>
      <c r="BF1019" s="155"/>
    </row>
    <row r="1020" spans="1:59" s="154" customFormat="1" ht="15" customHeight="1">
      <c r="A1020" s="168" t="s">
        <v>3819</v>
      </c>
      <c r="B1020" s="23" t="s">
        <v>3932</v>
      </c>
      <c r="C1020" s="28" t="s">
        <v>3821</v>
      </c>
      <c r="D1020" s="170">
        <v>43</v>
      </c>
      <c r="E1020" s="154">
        <v>1</v>
      </c>
      <c r="F1020" s="154" t="s">
        <v>3933</v>
      </c>
      <c r="G1020" s="154" t="s">
        <v>3933</v>
      </c>
      <c r="J1020" s="154" t="s">
        <v>618</v>
      </c>
      <c r="K1020" s="154" t="s">
        <v>2426</v>
      </c>
      <c r="N1020" s="155"/>
      <c r="O1020" s="156"/>
      <c r="P1020" s="157"/>
      <c r="Q1020" s="158"/>
      <c r="R1020" s="159"/>
      <c r="S1020" s="160"/>
      <c r="T1020" s="161"/>
      <c r="U1020" s="156"/>
      <c r="V1020" s="162"/>
      <c r="W1020" s="163"/>
      <c r="X1020" s="164"/>
      <c r="Y1020" s="159"/>
      <c r="Z1020" s="161"/>
      <c r="AA1020" s="165"/>
      <c r="AE1020" s="155"/>
      <c r="AF1020" s="154" t="s">
        <v>4457</v>
      </c>
      <c r="AI1020" s="171" t="s">
        <v>3933</v>
      </c>
      <c r="AJ1020" s="171"/>
      <c r="AL1020" s="154" t="s">
        <v>618</v>
      </c>
      <c r="AM1020" s="154" t="s">
        <v>2426</v>
      </c>
      <c r="AO1020" s="155"/>
      <c r="AQ1020" s="173"/>
      <c r="AR1020" s="174"/>
      <c r="AS1020" s="175"/>
      <c r="AT1020" s="159"/>
      <c r="AU1020" s="161"/>
      <c r="AV1020" s="173"/>
      <c r="AW1020" s="176"/>
      <c r="AX1020" s="177"/>
      <c r="AY1020" s="178"/>
      <c r="AZ1020" s="159"/>
      <c r="BA1020" s="161"/>
      <c r="BB1020" s="160"/>
      <c r="BE1020" s="155"/>
      <c r="BG1020" s="154" t="s">
        <v>4458</v>
      </c>
    </row>
    <row r="1021" spans="1:59" s="154" customFormat="1" ht="15" customHeight="1">
      <c r="A1021" s="168" t="s">
        <v>3819</v>
      </c>
      <c r="B1021" s="23" t="s">
        <v>3934</v>
      </c>
      <c r="C1021" s="28" t="s">
        <v>3821</v>
      </c>
      <c r="D1021" s="170">
        <v>44</v>
      </c>
      <c r="E1021" s="154">
        <v>1</v>
      </c>
      <c r="F1021" s="154" t="s">
        <v>3933</v>
      </c>
      <c r="G1021" s="154" t="s">
        <v>3935</v>
      </c>
      <c r="J1021" s="154" t="s">
        <v>619</v>
      </c>
      <c r="K1021" s="154" t="s">
        <v>2426</v>
      </c>
      <c r="L1021" s="154">
        <v>1</v>
      </c>
      <c r="N1021" s="155"/>
      <c r="O1021" s="156"/>
      <c r="P1021" s="157"/>
      <c r="Q1021" s="158"/>
      <c r="R1021" s="159"/>
      <c r="S1021" s="160"/>
      <c r="T1021" s="161"/>
      <c r="U1021" s="156"/>
      <c r="V1021" s="162"/>
      <c r="W1021" s="163"/>
      <c r="X1021" s="164"/>
      <c r="Y1021" s="159"/>
      <c r="Z1021" s="161">
        <v>6</v>
      </c>
      <c r="AA1021" s="165"/>
      <c r="AE1021" s="155"/>
      <c r="AF1021" s="154" t="s">
        <v>3936</v>
      </c>
      <c r="AI1021" s="154" t="s">
        <v>4573</v>
      </c>
      <c r="AL1021" s="154" t="s">
        <v>619</v>
      </c>
      <c r="AM1021" s="154" t="s">
        <v>2426</v>
      </c>
      <c r="AN1021" s="154">
        <v>1</v>
      </c>
      <c r="AP1021" s="155"/>
      <c r="AQ1021" s="156"/>
      <c r="AR1021" s="157"/>
      <c r="AS1021" s="158"/>
      <c r="AT1021" s="159"/>
      <c r="AU1021" s="161"/>
      <c r="AV1021" s="156"/>
      <c r="AW1021" s="162"/>
      <c r="AX1021" s="163"/>
      <c r="AY1021" s="164"/>
      <c r="AZ1021" s="159"/>
      <c r="BA1021" s="161"/>
      <c r="BB1021" s="165"/>
      <c r="BF1021" s="155"/>
      <c r="BG1021" s="154" t="s">
        <v>4459</v>
      </c>
    </row>
    <row r="1022" spans="1:59" s="154" customFormat="1" ht="15" customHeight="1">
      <c r="A1022" s="168" t="s">
        <v>3819</v>
      </c>
      <c r="B1022" s="23" t="s">
        <v>3937</v>
      </c>
      <c r="C1022" s="28" t="s">
        <v>3821</v>
      </c>
      <c r="D1022" s="170">
        <v>45</v>
      </c>
      <c r="E1022" s="154">
        <v>1</v>
      </c>
      <c r="F1022" s="154" t="s">
        <v>3933</v>
      </c>
      <c r="G1022" s="154" t="s">
        <v>3938</v>
      </c>
      <c r="J1022" s="154" t="s">
        <v>619</v>
      </c>
      <c r="K1022" s="154" t="s">
        <v>2426</v>
      </c>
      <c r="L1022" s="154">
        <v>2</v>
      </c>
      <c r="N1022" s="155"/>
      <c r="O1022" s="156"/>
      <c r="P1022" s="157"/>
      <c r="Q1022" s="158"/>
      <c r="R1022" s="159"/>
      <c r="S1022" s="160"/>
      <c r="T1022" s="161"/>
      <c r="U1022" s="156"/>
      <c r="V1022" s="162"/>
      <c r="W1022" s="163"/>
      <c r="X1022" s="164"/>
      <c r="Y1022" s="159"/>
      <c r="Z1022" s="161">
        <v>9</v>
      </c>
      <c r="AA1022" s="165"/>
      <c r="AE1022" s="155"/>
      <c r="AF1022" s="154" t="s">
        <v>3936</v>
      </c>
      <c r="AI1022" s="154" t="s">
        <v>4574</v>
      </c>
      <c r="AL1022" s="154" t="s">
        <v>619</v>
      </c>
      <c r="AM1022" s="154" t="s">
        <v>2426</v>
      </c>
      <c r="AN1022" s="154">
        <v>2</v>
      </c>
      <c r="AP1022" s="155"/>
      <c r="AQ1022" s="156"/>
      <c r="AR1022" s="157"/>
      <c r="AS1022" s="158"/>
      <c r="AT1022" s="159"/>
      <c r="AU1022" s="161"/>
      <c r="AV1022" s="156"/>
      <c r="AW1022" s="162"/>
      <c r="AX1022" s="163"/>
      <c r="AY1022" s="164"/>
      <c r="AZ1022" s="159"/>
      <c r="BA1022" s="161"/>
      <c r="BB1022" s="165"/>
      <c r="BF1022" s="155"/>
      <c r="BG1022" s="154" t="s">
        <v>3939</v>
      </c>
    </row>
    <row r="1023" spans="1:59" s="154" customFormat="1" ht="15" customHeight="1">
      <c r="A1023" s="168" t="s">
        <v>3819</v>
      </c>
      <c r="B1023" s="23" t="s">
        <v>3940</v>
      </c>
      <c r="C1023" s="28" t="s">
        <v>3821</v>
      </c>
      <c r="D1023" s="170">
        <v>46</v>
      </c>
      <c r="E1023" s="154">
        <v>1</v>
      </c>
      <c r="F1023" s="154" t="s">
        <v>3933</v>
      </c>
      <c r="G1023" s="154" t="s">
        <v>3941</v>
      </c>
      <c r="J1023" s="154" t="s">
        <v>621</v>
      </c>
      <c r="K1023" s="154" t="s">
        <v>2426</v>
      </c>
      <c r="L1023" s="154">
        <v>1</v>
      </c>
      <c r="N1023" s="155"/>
      <c r="O1023" s="156"/>
      <c r="P1023" s="157"/>
      <c r="Q1023" s="158"/>
      <c r="R1023" s="159"/>
      <c r="S1023" s="160"/>
      <c r="T1023" s="161"/>
      <c r="U1023" s="156"/>
      <c r="V1023" s="162"/>
      <c r="W1023" s="163"/>
      <c r="X1023" s="164"/>
      <c r="Y1023" s="159" t="s">
        <v>1112</v>
      </c>
      <c r="Z1023" s="161"/>
      <c r="AA1023" s="165"/>
      <c r="AE1023" s="155"/>
      <c r="AF1023" s="154" t="s">
        <v>4460</v>
      </c>
      <c r="AI1023" s="154" t="s">
        <v>4575</v>
      </c>
      <c r="AL1023" s="154" t="s">
        <v>621</v>
      </c>
      <c r="AM1023" s="154" t="s">
        <v>2426</v>
      </c>
      <c r="AN1023" s="154">
        <v>1</v>
      </c>
      <c r="AP1023" s="155"/>
      <c r="AQ1023" s="156"/>
      <c r="AR1023" s="157"/>
      <c r="AS1023" s="158"/>
      <c r="AT1023" s="159"/>
      <c r="AU1023" s="161"/>
      <c r="AV1023" s="156"/>
      <c r="AW1023" s="162"/>
      <c r="AX1023" s="163"/>
      <c r="AY1023" s="164"/>
      <c r="AZ1023" s="159"/>
      <c r="BA1023" s="161"/>
      <c r="BB1023" s="165"/>
      <c r="BF1023" s="155"/>
      <c r="BG1023" s="154" t="s">
        <v>4461</v>
      </c>
    </row>
    <row r="1024" spans="1:59" s="154" customFormat="1" ht="15" customHeight="1">
      <c r="A1024" s="168" t="s">
        <v>3819</v>
      </c>
      <c r="B1024" s="23" t="s">
        <v>3942</v>
      </c>
      <c r="C1024" s="28" t="s">
        <v>3821</v>
      </c>
      <c r="D1024" s="170">
        <v>47</v>
      </c>
      <c r="E1024" s="154">
        <v>1</v>
      </c>
      <c r="F1024" s="154" t="s">
        <v>3933</v>
      </c>
      <c r="G1024" s="154" t="s">
        <v>3943</v>
      </c>
      <c r="J1024" s="154" t="s">
        <v>621</v>
      </c>
      <c r="K1024" s="154" t="s">
        <v>2426</v>
      </c>
      <c r="L1024" s="154">
        <v>2</v>
      </c>
      <c r="N1024" s="155"/>
      <c r="O1024" s="156"/>
      <c r="P1024" s="157"/>
      <c r="Q1024" s="158"/>
      <c r="R1024" s="159"/>
      <c r="S1024" s="160"/>
      <c r="T1024" s="161"/>
      <c r="U1024" s="156"/>
      <c r="V1024" s="162"/>
      <c r="W1024" s="163"/>
      <c r="X1024" s="164"/>
      <c r="Y1024" s="159" t="s">
        <v>38</v>
      </c>
      <c r="Z1024" s="161"/>
      <c r="AA1024" s="165"/>
      <c r="AE1024" s="155"/>
      <c r="AF1024" s="154" t="s">
        <v>4554</v>
      </c>
      <c r="AI1024" s="154" t="s">
        <v>4576</v>
      </c>
      <c r="AL1024" s="154" t="s">
        <v>621</v>
      </c>
      <c r="AM1024" s="154" t="s">
        <v>2426</v>
      </c>
      <c r="AN1024" s="154">
        <v>2</v>
      </c>
      <c r="AP1024" s="155"/>
      <c r="AQ1024" s="156"/>
      <c r="AR1024" s="157"/>
      <c r="AS1024" s="158"/>
      <c r="AT1024" s="159"/>
      <c r="AU1024" s="161"/>
      <c r="AV1024" s="156"/>
      <c r="AW1024" s="162"/>
      <c r="AX1024" s="163"/>
      <c r="AY1024" s="164"/>
      <c r="AZ1024" s="159"/>
      <c r="BA1024" s="161"/>
      <c r="BB1024" s="165"/>
      <c r="BF1024" s="155"/>
      <c r="BG1024" s="154" t="s">
        <v>4559</v>
      </c>
    </row>
    <row r="1025" spans="1:59" s="154" customFormat="1" ht="15" customHeight="1">
      <c r="A1025" s="168" t="s">
        <v>3819</v>
      </c>
      <c r="B1025" s="23" t="s">
        <v>3944</v>
      </c>
      <c r="C1025" s="28" t="s">
        <v>3821</v>
      </c>
      <c r="D1025" s="170">
        <v>48</v>
      </c>
      <c r="E1025" s="154">
        <v>1</v>
      </c>
      <c r="F1025" s="154" t="s">
        <v>3933</v>
      </c>
      <c r="G1025" s="154" t="s">
        <v>3945</v>
      </c>
      <c r="J1025" s="154" t="s">
        <v>621</v>
      </c>
      <c r="K1025" s="154" t="s">
        <v>2426</v>
      </c>
      <c r="L1025" s="154">
        <v>3</v>
      </c>
      <c r="N1025" s="155"/>
      <c r="O1025" s="156"/>
      <c r="P1025" s="157"/>
      <c r="Q1025" s="158"/>
      <c r="R1025" s="159"/>
      <c r="S1025" s="160"/>
      <c r="T1025" s="161"/>
      <c r="U1025" s="156"/>
      <c r="V1025" s="162"/>
      <c r="W1025" s="163"/>
      <c r="X1025" s="164"/>
      <c r="Y1025" s="159" t="s">
        <v>1112</v>
      </c>
      <c r="Z1025" s="161"/>
      <c r="AA1025" s="165"/>
      <c r="AE1025" s="155"/>
      <c r="AF1025" s="154" t="s">
        <v>4462</v>
      </c>
      <c r="AI1025" s="154" t="s">
        <v>4577</v>
      </c>
      <c r="AL1025" s="154" t="s">
        <v>621</v>
      </c>
      <c r="AM1025" s="154" t="s">
        <v>2426</v>
      </c>
      <c r="AN1025" s="154">
        <v>3</v>
      </c>
      <c r="AP1025" s="155"/>
      <c r="AQ1025" s="156"/>
      <c r="AR1025" s="157"/>
      <c r="AS1025" s="158"/>
      <c r="AT1025" s="159"/>
      <c r="AU1025" s="161"/>
      <c r="AV1025" s="156"/>
      <c r="AW1025" s="162"/>
      <c r="AX1025" s="163"/>
      <c r="AY1025" s="164"/>
      <c r="AZ1025" s="159"/>
      <c r="BA1025" s="161"/>
      <c r="BB1025" s="165"/>
      <c r="BF1025" s="155"/>
      <c r="BG1025" s="154" t="s">
        <v>4555</v>
      </c>
    </row>
    <row r="1026" spans="1:59" s="154" customFormat="1" ht="15" customHeight="1">
      <c r="A1026" s="168" t="s">
        <v>3819</v>
      </c>
      <c r="B1026" s="23" t="s">
        <v>3946</v>
      </c>
      <c r="C1026" s="28" t="s">
        <v>3821</v>
      </c>
      <c r="D1026" s="170">
        <v>49</v>
      </c>
      <c r="E1026" s="154">
        <v>1</v>
      </c>
      <c r="F1026" s="154" t="s">
        <v>3933</v>
      </c>
      <c r="G1026" s="154" t="s">
        <v>3947</v>
      </c>
      <c r="J1026" s="154" t="s">
        <v>621</v>
      </c>
      <c r="K1026" s="154" t="s">
        <v>2426</v>
      </c>
      <c r="L1026" s="154">
        <v>3</v>
      </c>
      <c r="N1026" s="155"/>
      <c r="O1026" s="156"/>
      <c r="P1026" s="157"/>
      <c r="Q1026" s="158"/>
      <c r="R1026" s="159"/>
      <c r="S1026" s="160"/>
      <c r="T1026" s="161"/>
      <c r="U1026" s="156"/>
      <c r="V1026" s="162"/>
      <c r="W1026" s="163"/>
      <c r="X1026" s="164"/>
      <c r="Y1026" s="159" t="s">
        <v>1111</v>
      </c>
      <c r="Z1026" s="161"/>
      <c r="AA1026" s="165"/>
      <c r="AE1026" s="155"/>
      <c r="AF1026" s="154" t="s">
        <v>4463</v>
      </c>
      <c r="AI1026" s="154" t="s">
        <v>4577</v>
      </c>
      <c r="AL1026" s="154" t="s">
        <v>621</v>
      </c>
      <c r="AM1026" s="154" t="s">
        <v>2426</v>
      </c>
      <c r="AN1026" s="154">
        <v>3</v>
      </c>
      <c r="AP1026" s="155"/>
      <c r="AQ1026" s="156"/>
      <c r="AR1026" s="157"/>
      <c r="AS1026" s="158"/>
      <c r="AT1026" s="159"/>
      <c r="AU1026" s="161"/>
      <c r="AV1026" s="156"/>
      <c r="AW1026" s="162"/>
      <c r="AX1026" s="163"/>
      <c r="AY1026" s="164"/>
      <c r="AZ1026" s="159"/>
      <c r="BA1026" s="161"/>
      <c r="BB1026" s="165"/>
      <c r="BF1026" s="155"/>
      <c r="BG1026" s="154" t="s">
        <v>4556</v>
      </c>
    </row>
    <row r="1027" spans="1:59" s="154" customFormat="1" ht="15" customHeight="1">
      <c r="A1027" s="168" t="s">
        <v>3819</v>
      </c>
      <c r="B1027" s="23" t="s">
        <v>3948</v>
      </c>
      <c r="C1027" s="28" t="s">
        <v>3821</v>
      </c>
      <c r="D1027" s="155">
        <v>50</v>
      </c>
      <c r="E1027" s="154">
        <v>1</v>
      </c>
      <c r="F1027" s="154" t="s">
        <v>3933</v>
      </c>
      <c r="G1027" s="154" t="s">
        <v>3949</v>
      </c>
      <c r="J1027" s="154" t="s">
        <v>31</v>
      </c>
      <c r="K1027" s="154" t="s">
        <v>2426</v>
      </c>
      <c r="N1027" s="155"/>
      <c r="O1027" s="156"/>
      <c r="P1027" s="157"/>
      <c r="Q1027" s="158"/>
      <c r="R1027" s="159"/>
      <c r="S1027" s="160"/>
      <c r="T1027" s="161"/>
      <c r="U1027" s="156"/>
      <c r="V1027" s="162"/>
      <c r="W1027" s="163"/>
      <c r="X1027" s="164"/>
      <c r="Y1027" s="159"/>
      <c r="Z1027" s="161"/>
      <c r="AA1027" s="165"/>
      <c r="AD1027" s="154" t="s">
        <v>3950</v>
      </c>
      <c r="AE1027" s="155"/>
      <c r="AI1027" s="154" t="s">
        <v>3949</v>
      </c>
      <c r="AL1027" s="154" t="s">
        <v>31</v>
      </c>
      <c r="AM1027" s="154" t="s">
        <v>2426</v>
      </c>
      <c r="AP1027" s="155"/>
      <c r="AQ1027" s="156"/>
      <c r="AR1027" s="157"/>
      <c r="AS1027" s="158"/>
      <c r="AT1027" s="159"/>
      <c r="AU1027" s="161"/>
      <c r="AV1027" s="156"/>
      <c r="AW1027" s="162"/>
      <c r="AX1027" s="163"/>
      <c r="AY1027" s="164">
        <v>1</v>
      </c>
      <c r="AZ1027" s="159">
        <v>0</v>
      </c>
      <c r="BA1027" s="161"/>
      <c r="BB1027" s="165"/>
      <c r="BE1027" s="154" t="s">
        <v>3950</v>
      </c>
      <c r="BF1027" s="155"/>
      <c r="BG1027" s="154" t="s">
        <v>4464</v>
      </c>
    </row>
    <row r="1028" spans="1:59" s="154" customFormat="1" ht="15" customHeight="1">
      <c r="A1028" s="168" t="s">
        <v>3819</v>
      </c>
      <c r="B1028" s="23" t="s">
        <v>3951</v>
      </c>
      <c r="C1028" s="28" t="s">
        <v>3821</v>
      </c>
      <c r="D1028" s="155">
        <v>51</v>
      </c>
      <c r="E1028" s="154">
        <v>1</v>
      </c>
      <c r="F1028" s="154" t="s">
        <v>3933</v>
      </c>
      <c r="G1028" s="154" t="s">
        <v>3952</v>
      </c>
      <c r="H1028" s="154" t="s">
        <v>3953</v>
      </c>
      <c r="I1028" s="154" t="s">
        <v>223</v>
      </c>
      <c r="J1028" s="154" t="s">
        <v>257</v>
      </c>
      <c r="K1028" s="154" t="s">
        <v>26</v>
      </c>
      <c r="N1028" s="155">
        <v>2</v>
      </c>
      <c r="O1028" s="156">
        <v>1</v>
      </c>
      <c r="P1028" s="157">
        <v>1</v>
      </c>
      <c r="Q1028" s="158"/>
      <c r="R1028" s="159"/>
      <c r="S1028" s="160">
        <v>1</v>
      </c>
      <c r="T1028" s="161">
        <v>2</v>
      </c>
      <c r="U1028" s="156">
        <v>2</v>
      </c>
      <c r="V1028" s="162"/>
      <c r="W1028" s="163"/>
      <c r="X1028" s="164"/>
      <c r="Y1028" s="159"/>
      <c r="Z1028" s="161"/>
      <c r="AA1028" s="165"/>
      <c r="AB1028" s="154" t="s">
        <v>1079</v>
      </c>
      <c r="AC1028" s="154" t="s">
        <v>25</v>
      </c>
      <c r="AD1028" s="154" t="s">
        <v>3842</v>
      </c>
      <c r="AE1028" s="155"/>
      <c r="AF1028" s="154" t="s">
        <v>4465</v>
      </c>
      <c r="AP1028" s="155"/>
      <c r="AQ1028" s="156"/>
      <c r="AR1028" s="157"/>
      <c r="AS1028" s="158"/>
      <c r="AT1028" s="159"/>
      <c r="AU1028" s="161"/>
      <c r="AV1028" s="156"/>
      <c r="AW1028" s="162"/>
      <c r="AX1028" s="163"/>
      <c r="AY1028" s="164"/>
      <c r="AZ1028" s="159"/>
      <c r="BA1028" s="161"/>
      <c r="BB1028" s="165"/>
      <c r="BF1028" s="155"/>
    </row>
    <row r="1029" spans="1:59" s="154" customFormat="1" ht="15" customHeight="1">
      <c r="A1029" s="168" t="s">
        <v>3819</v>
      </c>
      <c r="B1029" s="23" t="s">
        <v>3954</v>
      </c>
      <c r="C1029" s="28" t="s">
        <v>3821</v>
      </c>
      <c r="D1029" s="155">
        <v>52</v>
      </c>
      <c r="E1029" s="154">
        <v>1</v>
      </c>
      <c r="F1029" s="154" t="s">
        <v>3933</v>
      </c>
      <c r="G1029" s="154" t="s">
        <v>3955</v>
      </c>
      <c r="H1029" s="154" t="s">
        <v>3956</v>
      </c>
      <c r="I1029" s="154" t="s">
        <v>223</v>
      </c>
      <c r="J1029" s="154" t="s">
        <v>29</v>
      </c>
      <c r="K1029" s="154" t="s">
        <v>2426</v>
      </c>
      <c r="N1029" s="155"/>
      <c r="O1029" s="156"/>
      <c r="P1029" s="157"/>
      <c r="Q1029" s="158">
        <v>5</v>
      </c>
      <c r="R1029" s="159">
        <v>4</v>
      </c>
      <c r="S1029" s="160"/>
      <c r="T1029" s="161">
        <v>4</v>
      </c>
      <c r="U1029" s="156"/>
      <c r="V1029" s="162">
        <v>2</v>
      </c>
      <c r="W1029" s="163"/>
      <c r="X1029" s="164"/>
      <c r="Y1029" s="159"/>
      <c r="Z1029" s="161"/>
      <c r="AA1029" s="165">
        <v>1</v>
      </c>
      <c r="AD1029" s="154" t="s">
        <v>3957</v>
      </c>
      <c r="AE1029" s="155"/>
      <c r="AF1029" s="154" t="s">
        <v>4466</v>
      </c>
      <c r="AP1029" s="155"/>
      <c r="AQ1029" s="156"/>
      <c r="AR1029" s="157"/>
      <c r="AS1029" s="158"/>
      <c r="AT1029" s="159"/>
      <c r="AU1029" s="161"/>
      <c r="AV1029" s="156"/>
      <c r="AW1029" s="162"/>
      <c r="AX1029" s="163"/>
      <c r="AY1029" s="164"/>
      <c r="AZ1029" s="159"/>
      <c r="BA1029" s="161"/>
      <c r="BB1029" s="165"/>
      <c r="BF1029" s="155"/>
    </row>
    <row r="1030" spans="1:59" s="154" customFormat="1" ht="15" customHeight="1">
      <c r="A1030" s="168" t="s">
        <v>3819</v>
      </c>
      <c r="B1030" s="23" t="s">
        <v>3958</v>
      </c>
      <c r="C1030" s="28" t="s">
        <v>3821</v>
      </c>
      <c r="D1030" s="155">
        <v>53</v>
      </c>
      <c r="E1030" s="154">
        <v>1</v>
      </c>
      <c r="F1030" s="154" t="s">
        <v>3933</v>
      </c>
      <c r="G1030" s="154" t="s">
        <v>3959</v>
      </c>
      <c r="J1030" s="154" t="s">
        <v>31</v>
      </c>
      <c r="K1030" s="154" t="s">
        <v>2426</v>
      </c>
      <c r="N1030" s="155"/>
      <c r="O1030" s="156"/>
      <c r="P1030" s="157"/>
      <c r="Q1030" s="158"/>
      <c r="R1030" s="159"/>
      <c r="S1030" s="160"/>
      <c r="T1030" s="161"/>
      <c r="U1030" s="156"/>
      <c r="V1030" s="162"/>
      <c r="W1030" s="163"/>
      <c r="X1030" s="164">
        <v>3</v>
      </c>
      <c r="Y1030" s="159" t="s">
        <v>1111</v>
      </c>
      <c r="Z1030" s="161"/>
      <c r="AA1030" s="165">
        <v>2</v>
      </c>
      <c r="AD1030" s="154" t="s">
        <v>3960</v>
      </c>
      <c r="AE1030" s="155"/>
      <c r="AF1030" s="154" t="s">
        <v>4467</v>
      </c>
      <c r="AP1030" s="155"/>
      <c r="AQ1030" s="156"/>
      <c r="AR1030" s="157"/>
      <c r="AS1030" s="158"/>
      <c r="AT1030" s="159"/>
      <c r="AU1030" s="161"/>
      <c r="AV1030" s="156"/>
      <c r="AW1030" s="162"/>
      <c r="AX1030" s="163"/>
      <c r="AY1030" s="164"/>
      <c r="AZ1030" s="159"/>
      <c r="BA1030" s="161"/>
      <c r="BB1030" s="165"/>
      <c r="BF1030" s="155"/>
    </row>
    <row r="1031" spans="1:59" s="154" customFormat="1" ht="15" customHeight="1">
      <c r="A1031" s="168" t="s">
        <v>3819</v>
      </c>
      <c r="B1031" s="23" t="s">
        <v>3961</v>
      </c>
      <c r="C1031" s="28" t="s">
        <v>3821</v>
      </c>
      <c r="D1031" s="155">
        <v>54</v>
      </c>
      <c r="E1031" s="154">
        <v>1</v>
      </c>
      <c r="F1031" s="154" t="s">
        <v>3962</v>
      </c>
      <c r="G1031" s="154" t="s">
        <v>3962</v>
      </c>
      <c r="J1031" s="154" t="s">
        <v>618</v>
      </c>
      <c r="K1031" s="154" t="s">
        <v>2426</v>
      </c>
      <c r="N1031" s="155"/>
      <c r="O1031" s="156"/>
      <c r="P1031" s="157"/>
      <c r="Q1031" s="158"/>
      <c r="R1031" s="159"/>
      <c r="S1031" s="160"/>
      <c r="T1031" s="161"/>
      <c r="U1031" s="156"/>
      <c r="V1031" s="162"/>
      <c r="W1031" s="163"/>
      <c r="X1031" s="164"/>
      <c r="Y1031" s="159"/>
      <c r="Z1031" s="161"/>
      <c r="AA1031" s="165"/>
      <c r="AE1031" s="155"/>
      <c r="AF1031" s="154" t="s">
        <v>4468</v>
      </c>
      <c r="AI1031" s="154" t="s">
        <v>3962</v>
      </c>
      <c r="AJ1031" s="171"/>
      <c r="AL1031" s="154" t="s">
        <v>618</v>
      </c>
      <c r="AM1031" s="154" t="s">
        <v>2426</v>
      </c>
      <c r="AP1031" s="155"/>
      <c r="AQ1031" s="156"/>
      <c r="AR1031" s="157"/>
      <c r="AS1031" s="158"/>
      <c r="AT1031" s="159"/>
      <c r="AU1031" s="161"/>
      <c r="AV1031" s="156"/>
      <c r="AW1031" s="162"/>
      <c r="AX1031" s="163"/>
      <c r="AY1031" s="164"/>
      <c r="AZ1031" s="159"/>
      <c r="BA1031" s="161"/>
      <c r="BB1031" s="165"/>
      <c r="BF1031" s="155"/>
      <c r="BG1031" s="154" t="s">
        <v>4469</v>
      </c>
    </row>
    <row r="1032" spans="1:59" s="154" customFormat="1" ht="15" customHeight="1">
      <c r="A1032" s="168" t="s">
        <v>3819</v>
      </c>
      <c r="B1032" s="23" t="s">
        <v>3963</v>
      </c>
      <c r="C1032" s="28" t="s">
        <v>3821</v>
      </c>
      <c r="D1032" s="155">
        <v>55</v>
      </c>
      <c r="E1032" s="154">
        <v>1</v>
      </c>
      <c r="F1032" s="154" t="s">
        <v>3962</v>
      </c>
      <c r="G1032" s="154" t="s">
        <v>3964</v>
      </c>
      <c r="J1032" s="154" t="s">
        <v>619</v>
      </c>
      <c r="K1032" s="154" t="s">
        <v>2426</v>
      </c>
      <c r="L1032" s="154">
        <v>1</v>
      </c>
      <c r="N1032" s="155"/>
      <c r="O1032" s="156"/>
      <c r="P1032" s="157"/>
      <c r="Q1032" s="158"/>
      <c r="R1032" s="159"/>
      <c r="S1032" s="160"/>
      <c r="T1032" s="161"/>
      <c r="U1032" s="156"/>
      <c r="V1032" s="162"/>
      <c r="W1032" s="163"/>
      <c r="X1032" s="164"/>
      <c r="Y1032" s="159"/>
      <c r="Z1032" s="161">
        <v>6</v>
      </c>
      <c r="AA1032" s="165"/>
      <c r="AE1032" s="155"/>
      <c r="AF1032" s="154" t="s">
        <v>4557</v>
      </c>
      <c r="AI1032" s="154" t="s">
        <v>4578</v>
      </c>
      <c r="AL1032" s="154" t="s">
        <v>619</v>
      </c>
      <c r="AM1032" s="154" t="s">
        <v>2426</v>
      </c>
      <c r="AN1032" s="154">
        <v>1</v>
      </c>
      <c r="AP1032" s="155"/>
      <c r="AQ1032" s="156"/>
      <c r="AR1032" s="157"/>
      <c r="AS1032" s="158"/>
      <c r="AT1032" s="159"/>
      <c r="AU1032" s="161"/>
      <c r="AV1032" s="156"/>
      <c r="AW1032" s="162"/>
      <c r="AX1032" s="163"/>
      <c r="AY1032" s="164"/>
      <c r="AZ1032" s="159"/>
      <c r="BA1032" s="161"/>
      <c r="BB1032" s="165"/>
      <c r="BF1032" s="155"/>
      <c r="BG1032" s="154" t="s">
        <v>3965</v>
      </c>
    </row>
    <row r="1033" spans="1:59" s="154" customFormat="1" ht="15" customHeight="1">
      <c r="A1033" s="168" t="s">
        <v>3819</v>
      </c>
      <c r="B1033" s="23" t="s">
        <v>3966</v>
      </c>
      <c r="C1033" s="28" t="s">
        <v>3821</v>
      </c>
      <c r="D1033" s="155">
        <v>56</v>
      </c>
      <c r="E1033" s="154">
        <v>1</v>
      </c>
      <c r="F1033" s="154" t="s">
        <v>3962</v>
      </c>
      <c r="G1033" s="154" t="s">
        <v>3967</v>
      </c>
      <c r="J1033" s="154" t="s">
        <v>619</v>
      </c>
      <c r="K1033" s="154" t="s">
        <v>2426</v>
      </c>
      <c r="L1033" s="154">
        <v>2</v>
      </c>
      <c r="N1033" s="155"/>
      <c r="O1033" s="156"/>
      <c r="P1033" s="157"/>
      <c r="Q1033" s="158"/>
      <c r="R1033" s="159"/>
      <c r="S1033" s="160"/>
      <c r="T1033" s="161"/>
      <c r="U1033" s="156"/>
      <c r="V1033" s="162"/>
      <c r="W1033" s="163"/>
      <c r="X1033" s="164"/>
      <c r="Y1033" s="159"/>
      <c r="Z1033" s="161">
        <v>12</v>
      </c>
      <c r="AA1033" s="165"/>
      <c r="AE1033" s="155"/>
      <c r="AF1033" s="154" t="s">
        <v>4558</v>
      </c>
      <c r="AI1033" s="154" t="s">
        <v>4579</v>
      </c>
      <c r="AL1033" s="154" t="s">
        <v>619</v>
      </c>
      <c r="AM1033" s="154" t="s">
        <v>2426</v>
      </c>
      <c r="AN1033" s="154">
        <v>2</v>
      </c>
      <c r="AP1033" s="155"/>
      <c r="AQ1033" s="156"/>
      <c r="AR1033" s="157"/>
      <c r="AS1033" s="158"/>
      <c r="AT1033" s="159"/>
      <c r="AU1033" s="161"/>
      <c r="AV1033" s="156"/>
      <c r="AW1033" s="162"/>
      <c r="AX1033" s="163"/>
      <c r="AY1033" s="164"/>
      <c r="AZ1033" s="159"/>
      <c r="BA1033" s="161"/>
      <c r="BB1033" s="165"/>
      <c r="BF1033" s="155"/>
      <c r="BG1033" s="154" t="s">
        <v>3968</v>
      </c>
    </row>
    <row r="1034" spans="1:59" s="154" customFormat="1" ht="15" customHeight="1">
      <c r="A1034" s="168" t="s">
        <v>3819</v>
      </c>
      <c r="B1034" s="23" t="s">
        <v>3969</v>
      </c>
      <c r="C1034" s="28" t="s">
        <v>3821</v>
      </c>
      <c r="D1034" s="155">
        <v>57</v>
      </c>
      <c r="E1034" s="154">
        <v>1</v>
      </c>
      <c r="F1034" s="154" t="s">
        <v>3962</v>
      </c>
      <c r="G1034" s="154" t="s">
        <v>3970</v>
      </c>
      <c r="J1034" s="154" t="s">
        <v>621</v>
      </c>
      <c r="K1034" s="154" t="s">
        <v>2426</v>
      </c>
      <c r="L1034" s="154">
        <v>1</v>
      </c>
      <c r="N1034" s="155"/>
      <c r="O1034" s="156"/>
      <c r="P1034" s="157"/>
      <c r="Q1034" s="158"/>
      <c r="R1034" s="159"/>
      <c r="S1034" s="160"/>
      <c r="T1034" s="161"/>
      <c r="U1034" s="156"/>
      <c r="V1034" s="162"/>
      <c r="W1034" s="163"/>
      <c r="X1034" s="164"/>
      <c r="Y1034" s="159" t="s">
        <v>1112</v>
      </c>
      <c r="Z1034" s="161"/>
      <c r="AA1034" s="165"/>
      <c r="AE1034" s="155"/>
      <c r="AF1034" s="154" t="s">
        <v>3936</v>
      </c>
      <c r="AI1034" s="154" t="s">
        <v>4580</v>
      </c>
      <c r="AL1034" s="154" t="s">
        <v>621</v>
      </c>
      <c r="AM1034" s="154" t="s">
        <v>2426</v>
      </c>
      <c r="AN1034" s="154">
        <v>1</v>
      </c>
      <c r="AP1034" s="155"/>
      <c r="AQ1034" s="156"/>
      <c r="AR1034" s="157"/>
      <c r="AS1034" s="158"/>
      <c r="AT1034" s="159"/>
      <c r="AU1034" s="161"/>
      <c r="AV1034" s="156"/>
      <c r="AW1034" s="162"/>
      <c r="AX1034" s="163"/>
      <c r="AY1034" s="164"/>
      <c r="AZ1034" s="159"/>
      <c r="BA1034" s="161"/>
      <c r="BB1034" s="165"/>
      <c r="BF1034" s="155"/>
      <c r="BG1034" s="154" t="s">
        <v>4560</v>
      </c>
    </row>
    <row r="1035" spans="1:59" s="154" customFormat="1" ht="15" customHeight="1">
      <c r="A1035" s="168" t="s">
        <v>3819</v>
      </c>
      <c r="B1035" s="23" t="s">
        <v>3971</v>
      </c>
      <c r="C1035" s="28" t="s">
        <v>3821</v>
      </c>
      <c r="D1035" s="155">
        <v>58</v>
      </c>
      <c r="E1035" s="154">
        <v>1</v>
      </c>
      <c r="F1035" s="154" t="s">
        <v>3962</v>
      </c>
      <c r="G1035" s="154" t="s">
        <v>3972</v>
      </c>
      <c r="J1035" s="154" t="s">
        <v>621</v>
      </c>
      <c r="K1035" s="154" t="s">
        <v>2426</v>
      </c>
      <c r="L1035" s="154">
        <v>2</v>
      </c>
      <c r="N1035" s="155"/>
      <c r="O1035" s="156"/>
      <c r="P1035" s="157"/>
      <c r="Q1035" s="158"/>
      <c r="R1035" s="159"/>
      <c r="S1035" s="160"/>
      <c r="T1035" s="161"/>
      <c r="U1035" s="156"/>
      <c r="V1035" s="162"/>
      <c r="W1035" s="163"/>
      <c r="X1035" s="164"/>
      <c r="Y1035" s="159" t="s">
        <v>1111</v>
      </c>
      <c r="Z1035" s="161"/>
      <c r="AA1035" s="165"/>
      <c r="AE1035" s="155"/>
      <c r="AF1035" s="154" t="s">
        <v>4470</v>
      </c>
      <c r="AI1035" s="154" t="s">
        <v>4581</v>
      </c>
      <c r="AL1035" s="154" t="s">
        <v>621</v>
      </c>
      <c r="AM1035" s="154" t="s">
        <v>2426</v>
      </c>
      <c r="AN1035" s="154">
        <v>2</v>
      </c>
      <c r="AP1035" s="155"/>
      <c r="AQ1035" s="156"/>
      <c r="AR1035" s="157"/>
      <c r="AS1035" s="158"/>
      <c r="AT1035" s="159"/>
      <c r="AU1035" s="161"/>
      <c r="AV1035" s="156"/>
      <c r="AW1035" s="162"/>
      <c r="AX1035" s="163"/>
      <c r="AY1035" s="164"/>
      <c r="AZ1035" s="159"/>
      <c r="BA1035" s="161"/>
      <c r="BB1035" s="165"/>
      <c r="BF1035" s="155"/>
      <c r="BG1035" s="154" t="s">
        <v>4471</v>
      </c>
    </row>
    <row r="1036" spans="1:59" s="154" customFormat="1" ht="15" customHeight="1">
      <c r="A1036" s="168" t="s">
        <v>3819</v>
      </c>
      <c r="B1036" s="23" t="s">
        <v>3973</v>
      </c>
      <c r="C1036" s="28" t="s">
        <v>3821</v>
      </c>
      <c r="D1036" s="155">
        <v>59</v>
      </c>
      <c r="E1036" s="154">
        <v>1</v>
      </c>
      <c r="F1036" s="154" t="s">
        <v>3962</v>
      </c>
      <c r="G1036" s="154" t="s">
        <v>3974</v>
      </c>
      <c r="J1036" s="154" t="s">
        <v>621</v>
      </c>
      <c r="K1036" s="154" t="s">
        <v>2426</v>
      </c>
      <c r="L1036" s="154">
        <v>3</v>
      </c>
      <c r="N1036" s="155"/>
      <c r="O1036" s="156"/>
      <c r="P1036" s="157"/>
      <c r="Q1036" s="158"/>
      <c r="R1036" s="159"/>
      <c r="S1036" s="160"/>
      <c r="T1036" s="161"/>
      <c r="U1036" s="156"/>
      <c r="V1036" s="162"/>
      <c r="W1036" s="163"/>
      <c r="X1036" s="164"/>
      <c r="Y1036" s="159" t="s">
        <v>38</v>
      </c>
      <c r="Z1036" s="161"/>
      <c r="AA1036" s="165"/>
      <c r="AE1036" s="155"/>
      <c r="AF1036" s="154" t="s">
        <v>4472</v>
      </c>
      <c r="AI1036" s="154" t="s">
        <v>4582</v>
      </c>
      <c r="AL1036" s="154" t="s">
        <v>621</v>
      </c>
      <c r="AM1036" s="154" t="s">
        <v>2426</v>
      </c>
      <c r="AN1036" s="154">
        <v>3</v>
      </c>
      <c r="AP1036" s="155"/>
      <c r="AQ1036" s="156"/>
      <c r="AR1036" s="157"/>
      <c r="AS1036" s="158"/>
      <c r="AT1036" s="159"/>
      <c r="AU1036" s="161"/>
      <c r="AV1036" s="156"/>
      <c r="AW1036" s="162"/>
      <c r="AX1036" s="163"/>
      <c r="AY1036" s="164"/>
      <c r="AZ1036" s="159"/>
      <c r="BA1036" s="161"/>
      <c r="BB1036" s="165"/>
      <c r="BF1036" s="155"/>
      <c r="BG1036" s="154" t="s">
        <v>4561</v>
      </c>
    </row>
    <row r="1037" spans="1:59" s="154" customFormat="1" ht="15" customHeight="1">
      <c r="A1037" s="168" t="s">
        <v>3819</v>
      </c>
      <c r="B1037" s="23" t="s">
        <v>3975</v>
      </c>
      <c r="C1037" s="28" t="s">
        <v>3821</v>
      </c>
      <c r="D1037" s="155">
        <v>60</v>
      </c>
      <c r="E1037" s="154">
        <v>1</v>
      </c>
      <c r="F1037" s="154" t="s">
        <v>3962</v>
      </c>
      <c r="G1037" s="154" t="s">
        <v>3976</v>
      </c>
      <c r="J1037" s="154" t="s">
        <v>31</v>
      </c>
      <c r="K1037" s="154" t="s">
        <v>2426</v>
      </c>
      <c r="N1037" s="155"/>
      <c r="O1037" s="156"/>
      <c r="P1037" s="157"/>
      <c r="Q1037" s="158"/>
      <c r="R1037" s="159"/>
      <c r="S1037" s="160"/>
      <c r="T1037" s="161"/>
      <c r="U1037" s="156"/>
      <c r="V1037" s="162"/>
      <c r="W1037" s="163"/>
      <c r="X1037" s="164"/>
      <c r="Y1037" s="159"/>
      <c r="Z1037" s="161"/>
      <c r="AA1037" s="165"/>
      <c r="AD1037" s="154" t="s">
        <v>3960</v>
      </c>
      <c r="AE1037" s="155"/>
      <c r="AI1037" s="154" t="s">
        <v>3976</v>
      </c>
      <c r="AL1037" s="154" t="s">
        <v>31</v>
      </c>
      <c r="AM1037" s="154" t="s">
        <v>2426</v>
      </c>
      <c r="AP1037" s="155"/>
      <c r="AQ1037" s="156"/>
      <c r="AR1037" s="157"/>
      <c r="AS1037" s="158"/>
      <c r="AT1037" s="159"/>
      <c r="AU1037" s="161"/>
      <c r="AV1037" s="156"/>
      <c r="AW1037" s="162"/>
      <c r="AX1037" s="163"/>
      <c r="AY1037" s="164">
        <v>2</v>
      </c>
      <c r="AZ1037" s="159" t="s">
        <v>1073</v>
      </c>
      <c r="BA1037" s="161"/>
      <c r="BB1037" s="165"/>
      <c r="BE1037" s="154" t="s">
        <v>3960</v>
      </c>
      <c r="BF1037" s="155"/>
      <c r="BG1037" s="154" t="s">
        <v>4473</v>
      </c>
    </row>
    <row r="1038" spans="1:59" s="154" customFormat="1" ht="15" customHeight="1">
      <c r="A1038" s="168" t="s">
        <v>3819</v>
      </c>
      <c r="B1038" s="23" t="s">
        <v>3977</v>
      </c>
      <c r="C1038" s="28" t="s">
        <v>3821</v>
      </c>
      <c r="D1038" s="155">
        <v>61</v>
      </c>
      <c r="E1038" s="154">
        <v>1</v>
      </c>
      <c r="F1038" s="154" t="s">
        <v>3962</v>
      </c>
      <c r="G1038" s="154" t="s">
        <v>3978</v>
      </c>
      <c r="H1038" s="154" t="s">
        <v>4474</v>
      </c>
      <c r="I1038" s="154" t="s">
        <v>223</v>
      </c>
      <c r="J1038" s="154" t="s">
        <v>257</v>
      </c>
      <c r="K1038" s="154" t="s">
        <v>26</v>
      </c>
      <c r="N1038" s="155">
        <v>2</v>
      </c>
      <c r="O1038" s="156"/>
      <c r="P1038" s="157"/>
      <c r="Q1038" s="158"/>
      <c r="R1038" s="159"/>
      <c r="S1038" s="160">
        <v>3</v>
      </c>
      <c r="T1038" s="161"/>
      <c r="U1038" s="156"/>
      <c r="V1038" s="162"/>
      <c r="W1038" s="163"/>
      <c r="X1038" s="164"/>
      <c r="Y1038" s="159"/>
      <c r="Z1038" s="161"/>
      <c r="AA1038" s="165"/>
      <c r="AB1038" s="154" t="s">
        <v>1996</v>
      </c>
      <c r="AD1038" s="154" t="s">
        <v>276</v>
      </c>
      <c r="AE1038" s="155"/>
      <c r="AP1038" s="155"/>
      <c r="AQ1038" s="156"/>
      <c r="AR1038" s="157"/>
      <c r="AS1038" s="158"/>
      <c r="AT1038" s="159"/>
      <c r="AU1038" s="161"/>
      <c r="AV1038" s="156"/>
      <c r="AW1038" s="162"/>
      <c r="AX1038" s="163"/>
      <c r="AY1038" s="164"/>
      <c r="AZ1038" s="159"/>
      <c r="BA1038" s="161"/>
      <c r="BB1038" s="165"/>
      <c r="BF1038" s="155"/>
    </row>
    <row r="1039" spans="1:59" s="154" customFormat="1" ht="15" customHeight="1">
      <c r="A1039" s="168" t="s">
        <v>3819</v>
      </c>
      <c r="B1039" s="23" t="s">
        <v>3979</v>
      </c>
      <c r="C1039" s="28" t="s">
        <v>3821</v>
      </c>
      <c r="D1039" s="155">
        <v>62</v>
      </c>
      <c r="E1039" s="154">
        <v>1</v>
      </c>
      <c r="F1039" s="154" t="s">
        <v>3962</v>
      </c>
      <c r="G1039" s="154" t="s">
        <v>3980</v>
      </c>
      <c r="H1039" s="154" t="s">
        <v>3981</v>
      </c>
      <c r="I1039" s="154" t="s">
        <v>223</v>
      </c>
      <c r="J1039" s="154" t="s">
        <v>29</v>
      </c>
      <c r="K1039" s="154" t="s">
        <v>2426</v>
      </c>
      <c r="N1039" s="155"/>
      <c r="O1039" s="156"/>
      <c r="P1039" s="157"/>
      <c r="Q1039" s="158">
        <v>3</v>
      </c>
      <c r="R1039" s="159">
        <v>3</v>
      </c>
      <c r="S1039" s="160"/>
      <c r="T1039" s="161" t="s">
        <v>4583</v>
      </c>
      <c r="U1039" s="156"/>
      <c r="V1039" s="162">
        <v>2</v>
      </c>
      <c r="W1039" s="163">
        <v>2</v>
      </c>
      <c r="X1039" s="164"/>
      <c r="Y1039" s="159"/>
      <c r="Z1039" s="161"/>
      <c r="AA1039" s="165"/>
      <c r="AD1039" s="154" t="s">
        <v>3982</v>
      </c>
      <c r="AE1039" s="155"/>
      <c r="AF1039" s="154" t="s">
        <v>4584</v>
      </c>
      <c r="AP1039" s="155"/>
      <c r="AQ1039" s="156"/>
      <c r="AR1039" s="157"/>
      <c r="AS1039" s="158"/>
      <c r="AT1039" s="159"/>
      <c r="AU1039" s="161"/>
      <c r="AV1039" s="156"/>
      <c r="AW1039" s="162"/>
      <c r="AX1039" s="163"/>
      <c r="AY1039" s="164"/>
      <c r="AZ1039" s="159"/>
      <c r="BA1039" s="161"/>
      <c r="BB1039" s="165"/>
      <c r="BF1039" s="155"/>
    </row>
    <row r="1040" spans="1:59" s="154" customFormat="1" ht="15" customHeight="1">
      <c r="A1040" s="168" t="s">
        <v>3819</v>
      </c>
      <c r="B1040" s="23" t="s">
        <v>3983</v>
      </c>
      <c r="C1040" s="28" t="s">
        <v>3821</v>
      </c>
      <c r="D1040" s="155">
        <v>63</v>
      </c>
      <c r="E1040" s="154">
        <v>1</v>
      </c>
      <c r="F1040" s="154" t="s">
        <v>3962</v>
      </c>
      <c r="G1040" s="154" t="s">
        <v>3984</v>
      </c>
      <c r="J1040" s="154" t="s">
        <v>31</v>
      </c>
      <c r="K1040" s="154" t="s">
        <v>2426</v>
      </c>
      <c r="N1040" s="155"/>
      <c r="O1040" s="156"/>
      <c r="P1040" s="157"/>
      <c r="Q1040" s="158"/>
      <c r="R1040" s="159"/>
      <c r="S1040" s="160"/>
      <c r="T1040" s="161"/>
      <c r="U1040" s="156"/>
      <c r="V1040" s="162"/>
      <c r="W1040" s="163"/>
      <c r="X1040" s="164">
        <v>3</v>
      </c>
      <c r="Y1040" s="159" t="s">
        <v>1111</v>
      </c>
      <c r="Z1040" s="161"/>
      <c r="AA1040" s="165"/>
      <c r="AD1040" s="154" t="s">
        <v>3960</v>
      </c>
      <c r="AE1040" s="155"/>
      <c r="AF1040" s="154" t="s">
        <v>4475</v>
      </c>
      <c r="AP1040" s="155"/>
      <c r="AQ1040" s="156"/>
      <c r="AR1040" s="157"/>
      <c r="AS1040" s="158"/>
      <c r="AT1040" s="159"/>
      <c r="AU1040" s="161"/>
      <c r="AV1040" s="156"/>
      <c r="AW1040" s="162"/>
      <c r="AX1040" s="163"/>
      <c r="AY1040" s="164"/>
      <c r="AZ1040" s="159"/>
      <c r="BA1040" s="161"/>
      <c r="BB1040" s="165"/>
      <c r="BF1040" s="155"/>
    </row>
    <row r="1041" spans="1:58" s="154" customFormat="1" ht="15" customHeight="1">
      <c r="A1041" s="168" t="s">
        <v>3819</v>
      </c>
      <c r="B1041" s="23" t="s">
        <v>3985</v>
      </c>
      <c r="C1041" s="28" t="s">
        <v>3821</v>
      </c>
      <c r="D1041" s="155">
        <v>64</v>
      </c>
      <c r="E1041" s="154">
        <v>1</v>
      </c>
      <c r="F1041" s="154" t="s">
        <v>3962</v>
      </c>
      <c r="G1041" s="154" t="s">
        <v>3986</v>
      </c>
      <c r="J1041" s="154" t="s">
        <v>31</v>
      </c>
      <c r="K1041" s="154" t="s">
        <v>2426</v>
      </c>
      <c r="N1041" s="155"/>
      <c r="O1041" s="156"/>
      <c r="P1041" s="157"/>
      <c r="Q1041" s="158"/>
      <c r="R1041" s="159"/>
      <c r="S1041" s="160"/>
      <c r="T1041" s="161"/>
      <c r="U1041" s="156"/>
      <c r="V1041" s="162"/>
      <c r="W1041" s="163"/>
      <c r="X1041" s="164">
        <v>2</v>
      </c>
      <c r="Y1041" s="159" t="s">
        <v>1073</v>
      </c>
      <c r="Z1041" s="161"/>
      <c r="AA1041" s="165">
        <v>1</v>
      </c>
      <c r="AD1041" s="154" t="s">
        <v>3960</v>
      </c>
      <c r="AE1041" s="155"/>
      <c r="AF1041" s="154" t="s">
        <v>4476</v>
      </c>
      <c r="AP1041" s="155"/>
      <c r="AQ1041" s="156"/>
      <c r="AR1041" s="157"/>
      <c r="AS1041" s="158"/>
      <c r="AT1041" s="159"/>
      <c r="AU1041" s="161"/>
      <c r="AV1041" s="156"/>
      <c r="AW1041" s="162"/>
      <c r="AX1041" s="163"/>
      <c r="AY1041" s="164"/>
      <c r="AZ1041" s="159"/>
      <c r="BA1041" s="161"/>
      <c r="BB1041" s="165"/>
      <c r="BF1041" s="155"/>
    </row>
    <row r="1042" spans="1:58" s="154" customFormat="1" ht="15" customHeight="1">
      <c r="A1042" s="168" t="s">
        <v>3819</v>
      </c>
      <c r="B1042" s="23" t="s">
        <v>3987</v>
      </c>
      <c r="C1042" s="28" t="s">
        <v>3821</v>
      </c>
      <c r="D1042" s="155">
        <v>65</v>
      </c>
      <c r="E1042" s="154">
        <v>1</v>
      </c>
      <c r="F1042" s="154" t="s">
        <v>3962</v>
      </c>
      <c r="G1042" s="154" t="s">
        <v>3988</v>
      </c>
      <c r="J1042" s="154" t="s">
        <v>31</v>
      </c>
      <c r="K1042" s="154" t="s">
        <v>2426</v>
      </c>
      <c r="N1042" s="155"/>
      <c r="O1042" s="156"/>
      <c r="P1042" s="157"/>
      <c r="Q1042" s="158"/>
      <c r="R1042" s="159"/>
      <c r="S1042" s="160"/>
      <c r="T1042" s="161"/>
      <c r="U1042" s="156"/>
      <c r="V1042" s="162"/>
      <c r="W1042" s="163"/>
      <c r="X1042" s="164">
        <v>3</v>
      </c>
      <c r="Y1042" s="159" t="s">
        <v>1073</v>
      </c>
      <c r="Z1042" s="161"/>
      <c r="AA1042" s="165">
        <v>1</v>
      </c>
      <c r="AD1042" s="154" t="s">
        <v>3960</v>
      </c>
      <c r="AE1042" s="155"/>
      <c r="AF1042" s="154" t="s">
        <v>4477</v>
      </c>
      <c r="AP1042" s="155"/>
      <c r="AQ1042" s="156"/>
      <c r="AR1042" s="157"/>
      <c r="AS1042" s="158"/>
      <c r="AT1042" s="159"/>
      <c r="AU1042" s="161"/>
      <c r="AV1042" s="156"/>
      <c r="AW1042" s="162"/>
      <c r="AX1042" s="163"/>
      <c r="AY1042" s="164"/>
      <c r="AZ1042" s="159"/>
      <c r="BA1042" s="161"/>
      <c r="BB1042" s="165"/>
      <c r="BF1042" s="155"/>
    </row>
    <row r="1043" spans="1:58" s="154" customFormat="1" ht="15" customHeight="1">
      <c r="A1043" s="168" t="s">
        <v>3819</v>
      </c>
      <c r="B1043" s="23" t="s">
        <v>3989</v>
      </c>
      <c r="C1043" s="28" t="s">
        <v>3821</v>
      </c>
      <c r="D1043" s="155">
        <v>66</v>
      </c>
      <c r="E1043" s="154">
        <v>1</v>
      </c>
      <c r="F1043" s="154" t="s">
        <v>3962</v>
      </c>
      <c r="G1043" s="154" t="s">
        <v>3990</v>
      </c>
      <c r="J1043" s="154" t="s">
        <v>31</v>
      </c>
      <c r="K1043" s="154" t="s">
        <v>2426</v>
      </c>
      <c r="N1043" s="155"/>
      <c r="O1043" s="156"/>
      <c r="P1043" s="157"/>
      <c r="Q1043" s="158"/>
      <c r="R1043" s="159"/>
      <c r="S1043" s="160"/>
      <c r="T1043" s="161"/>
      <c r="U1043" s="156"/>
      <c r="V1043" s="162"/>
      <c r="W1043" s="163"/>
      <c r="X1043" s="164">
        <v>2</v>
      </c>
      <c r="Y1043" s="159" t="s">
        <v>1073</v>
      </c>
      <c r="Z1043" s="161"/>
      <c r="AA1043" s="165"/>
      <c r="AD1043" s="154" t="s">
        <v>3960</v>
      </c>
      <c r="AE1043" s="155"/>
      <c r="AF1043" s="154" t="s">
        <v>4585</v>
      </c>
      <c r="AP1043" s="155"/>
      <c r="AQ1043" s="156"/>
      <c r="AR1043" s="157"/>
      <c r="AS1043" s="158"/>
      <c r="AT1043" s="159"/>
      <c r="AU1043" s="161"/>
      <c r="AV1043" s="156"/>
      <c r="AW1043" s="162"/>
      <c r="AX1043" s="163"/>
      <c r="AY1043" s="164"/>
      <c r="AZ1043" s="159"/>
      <c r="BA1043" s="161"/>
      <c r="BB1043" s="165"/>
      <c r="BF1043" s="155"/>
    </row>
    <row r="1044" spans="1:58" s="154" customFormat="1" ht="15" customHeight="1">
      <c r="A1044" s="168" t="s">
        <v>3819</v>
      </c>
      <c r="B1044" s="23" t="s">
        <v>3991</v>
      </c>
      <c r="C1044" s="28" t="s">
        <v>3821</v>
      </c>
      <c r="D1044" s="155">
        <v>67</v>
      </c>
      <c r="E1044" s="154">
        <v>1</v>
      </c>
      <c r="F1044" s="154" t="s">
        <v>3962</v>
      </c>
      <c r="G1044" s="154" t="s">
        <v>3992</v>
      </c>
      <c r="J1044" s="154" t="s">
        <v>31</v>
      </c>
      <c r="K1044" s="154" t="s">
        <v>2426</v>
      </c>
      <c r="N1044" s="155"/>
      <c r="O1044" s="156"/>
      <c r="P1044" s="157"/>
      <c r="Q1044" s="158"/>
      <c r="R1044" s="159"/>
      <c r="S1044" s="160"/>
      <c r="T1044" s="161"/>
      <c r="U1044" s="156"/>
      <c r="V1044" s="162"/>
      <c r="W1044" s="163"/>
      <c r="X1044" s="164">
        <v>5</v>
      </c>
      <c r="Y1044" s="159" t="s">
        <v>1073</v>
      </c>
      <c r="Z1044" s="161"/>
      <c r="AA1044" s="165">
        <v>1</v>
      </c>
      <c r="AD1044" s="154" t="s">
        <v>3960</v>
      </c>
      <c r="AE1044" s="155"/>
      <c r="AF1044" s="154" t="s">
        <v>4478</v>
      </c>
      <c r="AP1044" s="155"/>
      <c r="AQ1044" s="156"/>
      <c r="AR1044" s="157"/>
      <c r="AS1044" s="158"/>
      <c r="AT1044" s="159"/>
      <c r="AU1044" s="161"/>
      <c r="AV1044" s="156"/>
      <c r="AW1044" s="162"/>
      <c r="AX1044" s="163"/>
      <c r="AY1044" s="164"/>
      <c r="AZ1044" s="159"/>
      <c r="BA1044" s="161"/>
      <c r="BB1044" s="165"/>
      <c r="BF1044" s="155"/>
    </row>
    <row r="1045" spans="1:58" s="154" customFormat="1" ht="15" customHeight="1">
      <c r="A1045" s="168" t="s">
        <v>3819</v>
      </c>
      <c r="B1045" s="23" t="s">
        <v>3993</v>
      </c>
      <c r="C1045" s="28" t="s">
        <v>3821</v>
      </c>
      <c r="D1045" s="155">
        <v>68</v>
      </c>
      <c r="E1045" s="154">
        <v>1</v>
      </c>
      <c r="F1045" s="154" t="s">
        <v>3962</v>
      </c>
      <c r="G1045" s="154" t="s">
        <v>3994</v>
      </c>
      <c r="J1045" s="154" t="s">
        <v>31</v>
      </c>
      <c r="K1045" s="154" t="s">
        <v>2426</v>
      </c>
      <c r="N1045" s="155"/>
      <c r="O1045" s="156"/>
      <c r="P1045" s="157"/>
      <c r="Q1045" s="158"/>
      <c r="R1045" s="159"/>
      <c r="S1045" s="160"/>
      <c r="T1045" s="161"/>
      <c r="U1045" s="156"/>
      <c r="V1045" s="162"/>
      <c r="W1045" s="163"/>
      <c r="X1045" s="164">
        <v>4</v>
      </c>
      <c r="Y1045" s="159" t="s">
        <v>1111</v>
      </c>
      <c r="Z1045" s="161"/>
      <c r="AA1045" s="165">
        <v>2</v>
      </c>
      <c r="AD1045" s="154" t="s">
        <v>3995</v>
      </c>
      <c r="AE1045" s="155"/>
      <c r="AF1045" s="154" t="s">
        <v>4586</v>
      </c>
      <c r="AP1045" s="155"/>
      <c r="AQ1045" s="156"/>
      <c r="AR1045" s="157"/>
      <c r="AS1045" s="158"/>
      <c r="AT1045" s="159"/>
      <c r="AU1045" s="161"/>
      <c r="AV1045" s="156"/>
      <c r="AW1045" s="162"/>
      <c r="AX1045" s="163"/>
      <c r="AY1045" s="164"/>
      <c r="AZ1045" s="159"/>
      <c r="BA1045" s="161"/>
      <c r="BB1045" s="165"/>
      <c r="BF1045" s="155"/>
    </row>
    <row r="1046" spans="1:58" s="154" customFormat="1" ht="15" customHeight="1">
      <c r="A1046" s="168" t="s">
        <v>3819</v>
      </c>
      <c r="B1046" s="23" t="s">
        <v>3996</v>
      </c>
      <c r="C1046" s="28" t="s">
        <v>3821</v>
      </c>
      <c r="D1046" s="155">
        <v>69</v>
      </c>
      <c r="E1046" s="154">
        <v>1</v>
      </c>
      <c r="F1046" s="154" t="s">
        <v>4562</v>
      </c>
      <c r="G1046" s="154" t="s">
        <v>3997</v>
      </c>
      <c r="J1046" s="154" t="s">
        <v>31</v>
      </c>
      <c r="K1046" s="154" t="s">
        <v>2426</v>
      </c>
      <c r="N1046" s="155"/>
      <c r="O1046" s="156"/>
      <c r="P1046" s="157"/>
      <c r="Q1046" s="158"/>
      <c r="R1046" s="159"/>
      <c r="S1046" s="160"/>
      <c r="T1046" s="161"/>
      <c r="U1046" s="156"/>
      <c r="V1046" s="162"/>
      <c r="W1046" s="163"/>
      <c r="X1046" s="164">
        <v>3</v>
      </c>
      <c r="Y1046" s="159" t="s">
        <v>1073</v>
      </c>
      <c r="Z1046" s="161"/>
      <c r="AA1046" s="165"/>
      <c r="AD1046" s="154" t="s">
        <v>3998</v>
      </c>
      <c r="AE1046" s="155"/>
      <c r="AF1046" s="154" t="s">
        <v>4479</v>
      </c>
      <c r="AP1046" s="155"/>
      <c r="AQ1046" s="156"/>
      <c r="AR1046" s="157"/>
      <c r="AS1046" s="158"/>
      <c r="AT1046" s="159"/>
      <c r="AU1046" s="161"/>
      <c r="AV1046" s="156"/>
      <c r="AW1046" s="162"/>
      <c r="AX1046" s="163"/>
      <c r="AY1046" s="164"/>
      <c r="AZ1046" s="159"/>
      <c r="BA1046" s="161"/>
      <c r="BB1046" s="165"/>
      <c r="BF1046" s="155"/>
    </row>
    <row r="1047" spans="1:58" s="154" customFormat="1" ht="15" customHeight="1">
      <c r="A1047" s="168" t="s">
        <v>3819</v>
      </c>
      <c r="B1047" s="23" t="s">
        <v>3999</v>
      </c>
      <c r="C1047" s="28" t="s">
        <v>3821</v>
      </c>
      <c r="D1047" s="155">
        <v>70</v>
      </c>
      <c r="E1047" s="154">
        <v>1</v>
      </c>
      <c r="F1047" s="154" t="s">
        <v>4562</v>
      </c>
      <c r="G1047" s="154" t="s">
        <v>4000</v>
      </c>
      <c r="J1047" s="154" t="s">
        <v>31</v>
      </c>
      <c r="K1047" s="154" t="s">
        <v>2426</v>
      </c>
      <c r="N1047" s="155"/>
      <c r="O1047" s="156"/>
      <c r="P1047" s="157"/>
      <c r="Q1047" s="158"/>
      <c r="R1047" s="159"/>
      <c r="S1047" s="160"/>
      <c r="T1047" s="161"/>
      <c r="U1047" s="156"/>
      <c r="V1047" s="162"/>
      <c r="W1047" s="163"/>
      <c r="X1047" s="164">
        <v>4</v>
      </c>
      <c r="Y1047" s="159" t="s">
        <v>1073</v>
      </c>
      <c r="Z1047" s="161"/>
      <c r="AA1047" s="165"/>
      <c r="AD1047" s="154" t="s">
        <v>3998</v>
      </c>
      <c r="AE1047" s="155"/>
      <c r="AF1047" s="154" t="s">
        <v>4001</v>
      </c>
      <c r="AP1047" s="155"/>
      <c r="AQ1047" s="156"/>
      <c r="AR1047" s="157"/>
      <c r="AS1047" s="158"/>
      <c r="AT1047" s="159"/>
      <c r="AU1047" s="161"/>
      <c r="AV1047" s="156"/>
      <c r="AW1047" s="162"/>
      <c r="AX1047" s="163"/>
      <c r="AY1047" s="164"/>
      <c r="AZ1047" s="159"/>
      <c r="BA1047" s="161"/>
      <c r="BB1047" s="165"/>
      <c r="BF1047" s="155"/>
    </row>
    <row r="1048" spans="1:58" s="154" customFormat="1" ht="15" customHeight="1">
      <c r="A1048" s="168" t="s">
        <v>3819</v>
      </c>
      <c r="B1048" s="23" t="s">
        <v>4002</v>
      </c>
      <c r="C1048" s="28" t="s">
        <v>3821</v>
      </c>
      <c r="D1048" s="155">
        <v>71</v>
      </c>
      <c r="E1048" s="154">
        <v>1</v>
      </c>
      <c r="F1048" s="154" t="s">
        <v>4562</v>
      </c>
      <c r="G1048" s="154" t="s">
        <v>4003</v>
      </c>
      <c r="J1048" s="154" t="s">
        <v>31</v>
      </c>
      <c r="K1048" s="154" t="s">
        <v>2426</v>
      </c>
      <c r="N1048" s="155"/>
      <c r="O1048" s="156"/>
      <c r="P1048" s="157"/>
      <c r="Q1048" s="158"/>
      <c r="R1048" s="159"/>
      <c r="S1048" s="160"/>
      <c r="T1048" s="161"/>
      <c r="U1048" s="156"/>
      <c r="V1048" s="162"/>
      <c r="W1048" s="163"/>
      <c r="X1048" s="164">
        <v>2</v>
      </c>
      <c r="Y1048" s="159" t="s">
        <v>1073</v>
      </c>
      <c r="Z1048" s="161"/>
      <c r="AA1048" s="165"/>
      <c r="AD1048" s="154" t="s">
        <v>3998</v>
      </c>
      <c r="AE1048" s="155"/>
      <c r="AF1048" s="154" t="s">
        <v>4480</v>
      </c>
      <c r="AP1048" s="155"/>
      <c r="AQ1048" s="156"/>
      <c r="AR1048" s="157"/>
      <c r="AS1048" s="158"/>
      <c r="AT1048" s="159"/>
      <c r="AU1048" s="161"/>
      <c r="AV1048" s="156"/>
      <c r="AW1048" s="162"/>
      <c r="AX1048" s="163"/>
      <c r="AY1048" s="164"/>
      <c r="AZ1048" s="159"/>
      <c r="BA1048" s="161"/>
      <c r="BB1048" s="165"/>
      <c r="BF1048" s="155"/>
    </row>
    <row r="1049" spans="1:58" s="154" customFormat="1" ht="15" customHeight="1">
      <c r="A1049" s="168" t="s">
        <v>3819</v>
      </c>
      <c r="B1049" s="23" t="s">
        <v>4004</v>
      </c>
      <c r="C1049" s="28" t="s">
        <v>3821</v>
      </c>
      <c r="D1049" s="155">
        <v>72</v>
      </c>
      <c r="E1049" s="154">
        <v>1</v>
      </c>
      <c r="F1049" s="154" t="s">
        <v>4562</v>
      </c>
      <c r="G1049" s="154" t="s">
        <v>4005</v>
      </c>
      <c r="J1049" s="154" t="s">
        <v>31</v>
      </c>
      <c r="K1049" s="154" t="s">
        <v>2426</v>
      </c>
      <c r="N1049" s="155"/>
      <c r="O1049" s="156"/>
      <c r="P1049" s="157"/>
      <c r="Q1049" s="158"/>
      <c r="R1049" s="159"/>
      <c r="S1049" s="160"/>
      <c r="T1049" s="161"/>
      <c r="U1049" s="156"/>
      <c r="V1049" s="162"/>
      <c r="W1049" s="163"/>
      <c r="X1049" s="164">
        <v>2</v>
      </c>
      <c r="Y1049" s="159" t="s">
        <v>1111</v>
      </c>
      <c r="Z1049" s="161"/>
      <c r="AA1049" s="165">
        <v>1</v>
      </c>
      <c r="AD1049" s="154" t="s">
        <v>3998</v>
      </c>
      <c r="AE1049" s="155"/>
      <c r="AF1049" s="154" t="s">
        <v>4481</v>
      </c>
      <c r="AP1049" s="155"/>
      <c r="AQ1049" s="156"/>
      <c r="AR1049" s="157"/>
      <c r="AS1049" s="158"/>
      <c r="AT1049" s="159"/>
      <c r="AU1049" s="161"/>
      <c r="AV1049" s="156"/>
      <c r="AW1049" s="162"/>
      <c r="AX1049" s="163"/>
      <c r="AY1049" s="164"/>
      <c r="AZ1049" s="159"/>
      <c r="BA1049" s="161"/>
      <c r="BB1049" s="165"/>
      <c r="BF1049" s="155"/>
    </row>
    <row r="1050" spans="1:58" s="154" customFormat="1" ht="15" customHeight="1">
      <c r="A1050" s="168" t="s">
        <v>3819</v>
      </c>
      <c r="B1050" s="23" t="s">
        <v>4006</v>
      </c>
      <c r="C1050" s="28" t="s">
        <v>3821</v>
      </c>
      <c r="D1050" s="155">
        <v>73</v>
      </c>
      <c r="E1050" s="154">
        <v>1</v>
      </c>
      <c r="F1050" s="154" t="s">
        <v>4562</v>
      </c>
      <c r="G1050" s="154" t="s">
        <v>4007</v>
      </c>
      <c r="J1050" s="154" t="s">
        <v>31</v>
      </c>
      <c r="K1050" s="154" t="s">
        <v>2426</v>
      </c>
      <c r="N1050" s="155"/>
      <c r="O1050" s="156"/>
      <c r="P1050" s="157"/>
      <c r="Q1050" s="158"/>
      <c r="R1050" s="159"/>
      <c r="S1050" s="160"/>
      <c r="T1050" s="161"/>
      <c r="U1050" s="156"/>
      <c r="V1050" s="162"/>
      <c r="W1050" s="163"/>
      <c r="X1050" s="164">
        <v>1</v>
      </c>
      <c r="Y1050" s="159" t="s">
        <v>1073</v>
      </c>
      <c r="Z1050" s="161"/>
      <c r="AA1050" s="165">
        <v>1</v>
      </c>
      <c r="AD1050" s="154" t="s">
        <v>3998</v>
      </c>
      <c r="AE1050" s="155"/>
      <c r="AF1050" s="154" t="s">
        <v>4482</v>
      </c>
      <c r="AP1050" s="155"/>
      <c r="AQ1050" s="156"/>
      <c r="AR1050" s="157"/>
      <c r="AS1050" s="158"/>
      <c r="AT1050" s="159"/>
      <c r="AU1050" s="161"/>
      <c r="AV1050" s="156"/>
      <c r="AW1050" s="162"/>
      <c r="AX1050" s="163"/>
      <c r="AY1050" s="164"/>
      <c r="AZ1050" s="159"/>
      <c r="BA1050" s="161"/>
      <c r="BB1050" s="165"/>
      <c r="BF1050" s="155"/>
    </row>
    <row r="1051" spans="1:58" s="154" customFormat="1" ht="15" customHeight="1">
      <c r="A1051" s="168" t="s">
        <v>3819</v>
      </c>
      <c r="B1051" s="23" t="s">
        <v>4008</v>
      </c>
      <c r="C1051" s="28" t="s">
        <v>3821</v>
      </c>
      <c r="D1051" s="155">
        <v>74</v>
      </c>
      <c r="E1051" s="154">
        <v>1</v>
      </c>
      <c r="F1051" s="154" t="s">
        <v>4562</v>
      </c>
      <c r="G1051" s="154" t="s">
        <v>4009</v>
      </c>
      <c r="J1051" s="154" t="s">
        <v>31</v>
      </c>
      <c r="K1051" s="154" t="s">
        <v>2426</v>
      </c>
      <c r="N1051" s="155"/>
      <c r="O1051" s="156"/>
      <c r="P1051" s="157"/>
      <c r="Q1051" s="158"/>
      <c r="R1051" s="159"/>
      <c r="S1051" s="160"/>
      <c r="T1051" s="161"/>
      <c r="U1051" s="156"/>
      <c r="V1051" s="162"/>
      <c r="W1051" s="163"/>
      <c r="X1051" s="164">
        <v>2</v>
      </c>
      <c r="Y1051" s="159" t="s">
        <v>1073</v>
      </c>
      <c r="Z1051" s="161"/>
      <c r="AA1051" s="165">
        <v>2</v>
      </c>
      <c r="AD1051" s="154" t="s">
        <v>3960</v>
      </c>
      <c r="AE1051" s="155"/>
      <c r="AF1051" s="154" t="s">
        <v>4483</v>
      </c>
      <c r="AP1051" s="155"/>
      <c r="AQ1051" s="156"/>
      <c r="AR1051" s="157"/>
      <c r="AS1051" s="158"/>
      <c r="AT1051" s="159"/>
      <c r="AU1051" s="161"/>
      <c r="AV1051" s="156"/>
      <c r="AW1051" s="162"/>
      <c r="AX1051" s="163"/>
      <c r="AY1051" s="164"/>
      <c r="AZ1051" s="159"/>
      <c r="BA1051" s="161"/>
      <c r="BB1051" s="165"/>
      <c r="BF1051" s="155"/>
    </row>
    <row r="1052" spans="1:58" s="154" customFormat="1" ht="15" customHeight="1">
      <c r="A1052" s="168" t="s">
        <v>3819</v>
      </c>
      <c r="B1052" s="23" t="s">
        <v>4010</v>
      </c>
      <c r="C1052" s="28" t="s">
        <v>3821</v>
      </c>
      <c r="D1052" s="155">
        <v>75</v>
      </c>
      <c r="E1052" s="154">
        <v>1</v>
      </c>
      <c r="F1052" s="154" t="s">
        <v>4562</v>
      </c>
      <c r="G1052" s="154" t="s">
        <v>4011</v>
      </c>
      <c r="J1052" s="154" t="s">
        <v>31</v>
      </c>
      <c r="K1052" s="154" t="s">
        <v>2426</v>
      </c>
      <c r="N1052" s="155"/>
      <c r="O1052" s="156"/>
      <c r="P1052" s="157"/>
      <c r="Q1052" s="158"/>
      <c r="R1052" s="159"/>
      <c r="S1052" s="160"/>
      <c r="T1052" s="161"/>
      <c r="U1052" s="156"/>
      <c r="V1052" s="162"/>
      <c r="W1052" s="163"/>
      <c r="X1052" s="164">
        <v>5</v>
      </c>
      <c r="Y1052" s="159" t="s">
        <v>1073</v>
      </c>
      <c r="Z1052" s="161"/>
      <c r="AA1052" s="165">
        <v>2</v>
      </c>
      <c r="AD1052" s="154" t="s">
        <v>3960</v>
      </c>
      <c r="AE1052" s="155"/>
      <c r="AF1052" s="154" t="s">
        <v>4484</v>
      </c>
      <c r="AP1052" s="155"/>
      <c r="AQ1052" s="156"/>
      <c r="AR1052" s="157"/>
      <c r="AS1052" s="158"/>
      <c r="AT1052" s="159"/>
      <c r="AU1052" s="161"/>
      <c r="AV1052" s="156"/>
      <c r="AW1052" s="162"/>
      <c r="AX1052" s="163"/>
      <c r="AY1052" s="164"/>
      <c r="AZ1052" s="159"/>
      <c r="BA1052" s="161"/>
      <c r="BB1052" s="165"/>
      <c r="BF1052" s="155"/>
    </row>
    <row r="1053" spans="1:58" s="154" customFormat="1" ht="15" customHeight="1">
      <c r="A1053" s="168" t="s">
        <v>3819</v>
      </c>
      <c r="B1053" s="23" t="s">
        <v>4012</v>
      </c>
      <c r="C1053" s="28" t="s">
        <v>3821</v>
      </c>
      <c r="D1053" s="155">
        <v>76</v>
      </c>
      <c r="E1053" s="154">
        <v>2</v>
      </c>
      <c r="F1053" s="154" t="s">
        <v>4562</v>
      </c>
      <c r="G1053" s="154" t="s">
        <v>4013</v>
      </c>
      <c r="J1053" s="154" t="s">
        <v>28</v>
      </c>
      <c r="K1053" s="154" t="s">
        <v>2426</v>
      </c>
      <c r="N1053" s="155"/>
      <c r="O1053" s="156"/>
      <c r="P1053" s="157"/>
      <c r="Q1053" s="158"/>
      <c r="R1053" s="159"/>
      <c r="S1053" s="160"/>
      <c r="T1053" s="161"/>
      <c r="U1053" s="156"/>
      <c r="V1053" s="162"/>
      <c r="W1053" s="163"/>
      <c r="X1053" s="164"/>
      <c r="Y1053" s="159"/>
      <c r="Z1053" s="161"/>
      <c r="AA1053" s="165"/>
      <c r="AD1053" s="154" t="s">
        <v>834</v>
      </c>
      <c r="AE1053" s="155"/>
      <c r="AF1053" s="154" t="s">
        <v>4485</v>
      </c>
      <c r="AP1053" s="155"/>
      <c r="AQ1053" s="156"/>
      <c r="AR1053" s="157"/>
      <c r="AS1053" s="158"/>
      <c r="AT1053" s="159"/>
      <c r="AU1053" s="161"/>
      <c r="AV1053" s="156"/>
      <c r="AW1053" s="162"/>
      <c r="AX1053" s="163"/>
      <c r="AY1053" s="164"/>
      <c r="AZ1053" s="159"/>
      <c r="BA1053" s="161"/>
      <c r="BB1053" s="165"/>
      <c r="BF1053" s="155"/>
    </row>
    <row r="1054" spans="1:58" s="154" customFormat="1" ht="15" customHeight="1">
      <c r="A1054" s="168" t="s">
        <v>3819</v>
      </c>
      <c r="B1054" s="23" t="s">
        <v>4014</v>
      </c>
      <c r="C1054" s="28" t="s">
        <v>3821</v>
      </c>
      <c r="D1054" s="155">
        <v>77</v>
      </c>
      <c r="E1054" s="154">
        <v>2</v>
      </c>
      <c r="F1054" s="154" t="s">
        <v>4562</v>
      </c>
      <c r="G1054" s="154" t="s">
        <v>4015</v>
      </c>
      <c r="J1054" s="154" t="s">
        <v>28</v>
      </c>
      <c r="K1054" s="154" t="s">
        <v>2426</v>
      </c>
      <c r="N1054" s="155"/>
      <c r="O1054" s="156"/>
      <c r="P1054" s="157"/>
      <c r="Q1054" s="158"/>
      <c r="R1054" s="159"/>
      <c r="S1054" s="160"/>
      <c r="T1054" s="161"/>
      <c r="U1054" s="156"/>
      <c r="V1054" s="162"/>
      <c r="W1054" s="163"/>
      <c r="X1054" s="164"/>
      <c r="Y1054" s="159"/>
      <c r="Z1054" s="161"/>
      <c r="AA1054" s="165"/>
      <c r="AD1054" s="154" t="s">
        <v>1663</v>
      </c>
      <c r="AE1054" s="155"/>
      <c r="AF1054" s="154" t="s">
        <v>4486</v>
      </c>
      <c r="AP1054" s="155"/>
      <c r="AQ1054" s="156"/>
      <c r="AR1054" s="157"/>
      <c r="AS1054" s="158"/>
      <c r="AT1054" s="159"/>
      <c r="AU1054" s="161"/>
      <c r="AV1054" s="156"/>
      <c r="AW1054" s="162"/>
      <c r="AX1054" s="163"/>
      <c r="AY1054" s="164"/>
      <c r="AZ1054" s="159"/>
      <c r="BA1054" s="161"/>
      <c r="BB1054" s="165"/>
      <c r="BF1054" s="155"/>
    </row>
    <row r="1055" spans="1:58" s="154" customFormat="1" ht="15" customHeight="1">
      <c r="A1055" s="168" t="s">
        <v>3819</v>
      </c>
      <c r="B1055" s="23" t="s">
        <v>4016</v>
      </c>
      <c r="C1055" s="28" t="s">
        <v>3821</v>
      </c>
      <c r="D1055" s="155">
        <v>78</v>
      </c>
      <c r="E1055" s="154">
        <v>3</v>
      </c>
      <c r="F1055" s="154" t="s">
        <v>4563</v>
      </c>
      <c r="G1055" s="154" t="s">
        <v>4017</v>
      </c>
      <c r="J1055" s="154" t="s">
        <v>29</v>
      </c>
      <c r="K1055" s="154" t="s">
        <v>2426</v>
      </c>
      <c r="N1055" s="155"/>
      <c r="O1055" s="156"/>
      <c r="P1055" s="157"/>
      <c r="Q1055" s="158">
        <v>3</v>
      </c>
      <c r="R1055" s="159">
        <v>3</v>
      </c>
      <c r="S1055" s="160"/>
      <c r="T1055" s="161">
        <v>1</v>
      </c>
      <c r="U1055" s="156"/>
      <c r="V1055" s="162">
        <v>1</v>
      </c>
      <c r="W1055" s="163"/>
      <c r="X1055" s="164"/>
      <c r="Y1055" s="159"/>
      <c r="Z1055" s="161"/>
      <c r="AA1055" s="165"/>
      <c r="AD1055" s="154" t="s">
        <v>4018</v>
      </c>
      <c r="AE1055" s="155"/>
      <c r="AF1055" s="154" t="s">
        <v>4587</v>
      </c>
      <c r="AP1055" s="155"/>
      <c r="AQ1055" s="156"/>
      <c r="AR1055" s="157"/>
      <c r="AS1055" s="158"/>
      <c r="AT1055" s="159"/>
      <c r="AU1055" s="161"/>
      <c r="AV1055" s="156"/>
      <c r="AW1055" s="162"/>
      <c r="AX1055" s="163"/>
      <c r="AY1055" s="164"/>
      <c r="AZ1055" s="159"/>
      <c r="BA1055" s="161"/>
      <c r="BB1055" s="165"/>
      <c r="BF1055" s="155"/>
    </row>
    <row r="1056" spans="1:58" s="154" customFormat="1" ht="15" customHeight="1">
      <c r="A1056" s="168" t="s">
        <v>3819</v>
      </c>
      <c r="B1056" s="23" t="s">
        <v>4019</v>
      </c>
      <c r="C1056" s="28" t="s">
        <v>3821</v>
      </c>
      <c r="D1056" s="155">
        <v>79</v>
      </c>
      <c r="E1056" s="154">
        <v>1</v>
      </c>
      <c r="F1056" s="154" t="s">
        <v>4563</v>
      </c>
      <c r="G1056" s="154" t="s">
        <v>4020</v>
      </c>
      <c r="J1056" s="154" t="s">
        <v>29</v>
      </c>
      <c r="K1056" s="154" t="s">
        <v>2426</v>
      </c>
      <c r="N1056" s="155"/>
      <c r="O1056" s="156"/>
      <c r="P1056" s="157"/>
      <c r="Q1056" s="158">
        <v>4</v>
      </c>
      <c r="R1056" s="159">
        <v>2</v>
      </c>
      <c r="S1056" s="160"/>
      <c r="T1056" s="161">
        <v>4</v>
      </c>
      <c r="U1056" s="156"/>
      <c r="V1056" s="162">
        <v>1</v>
      </c>
      <c r="W1056" s="163">
        <v>1</v>
      </c>
      <c r="X1056" s="164"/>
      <c r="Y1056" s="159"/>
      <c r="Z1056" s="161"/>
      <c r="AA1056" s="165"/>
      <c r="AD1056" s="154" t="s">
        <v>4018</v>
      </c>
      <c r="AE1056" s="155"/>
      <c r="AF1056" s="154" t="s">
        <v>4588</v>
      </c>
      <c r="AP1056" s="155"/>
      <c r="AQ1056" s="156"/>
      <c r="AR1056" s="157"/>
      <c r="AS1056" s="158"/>
      <c r="AT1056" s="159"/>
      <c r="AU1056" s="161"/>
      <c r="AV1056" s="156"/>
      <c r="AW1056" s="162"/>
      <c r="AX1056" s="163"/>
      <c r="AY1056" s="164"/>
      <c r="AZ1056" s="159"/>
      <c r="BA1056" s="161"/>
      <c r="BB1056" s="165"/>
      <c r="BF1056" s="155"/>
    </row>
    <row r="1057" spans="1:58" s="154" customFormat="1" ht="15" customHeight="1">
      <c r="A1057" s="168" t="s">
        <v>3819</v>
      </c>
      <c r="B1057" s="23" t="s">
        <v>4021</v>
      </c>
      <c r="C1057" s="28" t="s">
        <v>3821</v>
      </c>
      <c r="D1057" s="155">
        <v>80</v>
      </c>
      <c r="E1057" s="154">
        <v>3</v>
      </c>
      <c r="F1057" s="154" t="s">
        <v>4563</v>
      </c>
      <c r="G1057" s="154" t="s">
        <v>4022</v>
      </c>
      <c r="J1057" s="154" t="s">
        <v>28</v>
      </c>
      <c r="K1057" s="154" t="s">
        <v>2426</v>
      </c>
      <c r="N1057" s="155"/>
      <c r="O1057" s="156"/>
      <c r="P1057" s="157"/>
      <c r="Q1057" s="158"/>
      <c r="R1057" s="159"/>
      <c r="S1057" s="160"/>
      <c r="T1057" s="161"/>
      <c r="U1057" s="156"/>
      <c r="V1057" s="162"/>
      <c r="W1057" s="163"/>
      <c r="X1057" s="164"/>
      <c r="Y1057" s="159"/>
      <c r="Z1057" s="161"/>
      <c r="AA1057" s="165"/>
      <c r="AD1057" s="154" t="s">
        <v>4023</v>
      </c>
      <c r="AE1057" s="155"/>
      <c r="AF1057" s="154" t="s">
        <v>4487</v>
      </c>
      <c r="AP1057" s="155"/>
      <c r="AQ1057" s="156"/>
      <c r="AR1057" s="157"/>
      <c r="AS1057" s="158"/>
      <c r="AT1057" s="159"/>
      <c r="AU1057" s="161"/>
      <c r="AV1057" s="156"/>
      <c r="AW1057" s="162"/>
      <c r="AX1057" s="163"/>
      <c r="AY1057" s="164"/>
      <c r="AZ1057" s="159"/>
      <c r="BA1057" s="161"/>
      <c r="BB1057" s="165"/>
      <c r="BF1057" s="155"/>
    </row>
    <row r="1058" spans="1:58" s="154" customFormat="1" ht="15" customHeight="1">
      <c r="A1058" s="168" t="s">
        <v>3819</v>
      </c>
      <c r="B1058" s="23" t="s">
        <v>4024</v>
      </c>
      <c r="C1058" s="28" t="s">
        <v>3821</v>
      </c>
      <c r="D1058" s="155">
        <v>81</v>
      </c>
      <c r="E1058" s="154">
        <v>3</v>
      </c>
      <c r="F1058" s="154" t="s">
        <v>4564</v>
      </c>
      <c r="G1058" s="154" t="s">
        <v>4025</v>
      </c>
      <c r="J1058" s="154" t="s">
        <v>28</v>
      </c>
      <c r="K1058" s="154" t="s">
        <v>2426</v>
      </c>
      <c r="N1058" s="155"/>
      <c r="O1058" s="156"/>
      <c r="P1058" s="157"/>
      <c r="Q1058" s="158"/>
      <c r="R1058" s="159"/>
      <c r="S1058" s="160"/>
      <c r="T1058" s="161"/>
      <c r="U1058" s="156"/>
      <c r="V1058" s="162"/>
      <c r="W1058" s="163"/>
      <c r="X1058" s="164"/>
      <c r="Y1058" s="159"/>
      <c r="Z1058" s="161"/>
      <c r="AA1058" s="165"/>
      <c r="AD1058" s="154" t="s">
        <v>1191</v>
      </c>
      <c r="AE1058" s="155"/>
      <c r="AF1058" s="154" t="s">
        <v>4488</v>
      </c>
      <c r="AP1058" s="155"/>
      <c r="AQ1058" s="156"/>
      <c r="AR1058" s="157"/>
      <c r="AS1058" s="158"/>
      <c r="AT1058" s="159"/>
      <c r="AU1058" s="161"/>
      <c r="AV1058" s="156"/>
      <c r="AW1058" s="162"/>
      <c r="AX1058" s="163"/>
      <c r="AY1058" s="164"/>
      <c r="AZ1058" s="159"/>
      <c r="BA1058" s="161"/>
      <c r="BB1058" s="165"/>
      <c r="BF1058" s="155"/>
    </row>
    <row r="1059" spans="1:58" s="154" customFormat="1" ht="15" customHeight="1">
      <c r="A1059" s="168" t="s">
        <v>3819</v>
      </c>
      <c r="B1059" s="23" t="s">
        <v>4026</v>
      </c>
      <c r="C1059" s="28" t="s">
        <v>3821</v>
      </c>
      <c r="D1059" s="155">
        <v>82</v>
      </c>
      <c r="E1059" s="154">
        <v>2</v>
      </c>
      <c r="F1059" s="154" t="s">
        <v>4564</v>
      </c>
      <c r="G1059" s="154" t="s">
        <v>4027</v>
      </c>
      <c r="J1059" s="154" t="s">
        <v>28</v>
      </c>
      <c r="K1059" s="154" t="s">
        <v>2426</v>
      </c>
      <c r="N1059" s="155"/>
      <c r="O1059" s="156"/>
      <c r="P1059" s="157"/>
      <c r="Q1059" s="158"/>
      <c r="R1059" s="159"/>
      <c r="S1059" s="160"/>
      <c r="T1059" s="161"/>
      <c r="U1059" s="156"/>
      <c r="V1059" s="162"/>
      <c r="W1059" s="163"/>
      <c r="X1059" s="164"/>
      <c r="Y1059" s="159"/>
      <c r="Z1059" s="161"/>
      <c r="AA1059" s="165"/>
      <c r="AD1059" s="154" t="s">
        <v>1191</v>
      </c>
      <c r="AE1059" s="155"/>
      <c r="AF1059" s="154" t="s">
        <v>4489</v>
      </c>
      <c r="AP1059" s="155"/>
      <c r="AQ1059" s="156"/>
      <c r="AR1059" s="157"/>
      <c r="AS1059" s="158"/>
      <c r="AT1059" s="159"/>
      <c r="AU1059" s="161"/>
      <c r="AV1059" s="156"/>
      <c r="AW1059" s="162"/>
      <c r="AX1059" s="163"/>
      <c r="AY1059" s="164"/>
      <c r="AZ1059" s="159"/>
      <c r="BA1059" s="161"/>
      <c r="BB1059" s="165"/>
      <c r="BF1059" s="155"/>
    </row>
    <row r="1060" spans="1:58" s="154" customFormat="1" ht="15" customHeight="1">
      <c r="A1060" s="168" t="s">
        <v>3819</v>
      </c>
      <c r="B1060" s="23" t="s">
        <v>4028</v>
      </c>
      <c r="C1060" s="28" t="s">
        <v>3821</v>
      </c>
      <c r="D1060" s="155">
        <v>83</v>
      </c>
      <c r="E1060" s="154">
        <v>3</v>
      </c>
      <c r="F1060" s="154" t="s">
        <v>4565</v>
      </c>
      <c r="G1060" s="154" t="s">
        <v>4029</v>
      </c>
      <c r="J1060" s="154" t="s">
        <v>29</v>
      </c>
      <c r="K1060" s="154" t="s">
        <v>2426</v>
      </c>
      <c r="N1060" s="155"/>
      <c r="O1060" s="156"/>
      <c r="P1060" s="157"/>
      <c r="Q1060" s="158">
        <v>2</v>
      </c>
      <c r="R1060" s="159">
        <v>2</v>
      </c>
      <c r="S1060" s="160"/>
      <c r="T1060" s="161">
        <v>3</v>
      </c>
      <c r="U1060" s="156"/>
      <c r="V1060" s="162">
        <v>1</v>
      </c>
      <c r="W1060" s="163">
        <v>1</v>
      </c>
      <c r="X1060" s="164"/>
      <c r="Y1060" s="159"/>
      <c r="Z1060" s="161"/>
      <c r="AA1060" s="165"/>
      <c r="AD1060" s="154" t="s">
        <v>3861</v>
      </c>
      <c r="AE1060" s="155"/>
      <c r="AF1060" s="154" t="s">
        <v>4490</v>
      </c>
      <c r="AP1060" s="155"/>
      <c r="AQ1060" s="156"/>
      <c r="AR1060" s="157"/>
      <c r="AS1060" s="158"/>
      <c r="AT1060" s="159"/>
      <c r="AU1060" s="161"/>
      <c r="AV1060" s="156"/>
      <c r="AW1060" s="162"/>
      <c r="AX1060" s="163"/>
      <c r="AY1060" s="164"/>
      <c r="AZ1060" s="159"/>
      <c r="BA1060" s="161"/>
      <c r="BB1060" s="165"/>
      <c r="BF1060" s="155"/>
    </row>
    <row r="1061" spans="1:58" s="154" customFormat="1" ht="15" customHeight="1">
      <c r="A1061" s="168" t="s">
        <v>3819</v>
      </c>
      <c r="B1061" s="23" t="s">
        <v>4030</v>
      </c>
      <c r="C1061" s="28" t="s">
        <v>3821</v>
      </c>
      <c r="D1061" s="155">
        <v>84</v>
      </c>
      <c r="E1061" s="154">
        <v>1</v>
      </c>
      <c r="F1061" s="154" t="s">
        <v>4565</v>
      </c>
      <c r="G1061" s="154" t="s">
        <v>4031</v>
      </c>
      <c r="J1061" s="154" t="s">
        <v>29</v>
      </c>
      <c r="K1061" s="154" t="s">
        <v>2426</v>
      </c>
      <c r="N1061" s="155"/>
      <c r="O1061" s="156"/>
      <c r="P1061" s="157"/>
      <c r="Q1061" s="158">
        <v>3</v>
      </c>
      <c r="R1061" s="159">
        <v>3</v>
      </c>
      <c r="S1061" s="160"/>
      <c r="T1061" s="161">
        <v>5</v>
      </c>
      <c r="U1061" s="156"/>
      <c r="V1061" s="162">
        <v>1</v>
      </c>
      <c r="W1061" s="163">
        <v>2</v>
      </c>
      <c r="X1061" s="164"/>
      <c r="Y1061" s="159"/>
      <c r="Z1061" s="161"/>
      <c r="AA1061" s="165">
        <v>1</v>
      </c>
      <c r="AD1061" s="154" t="s">
        <v>3861</v>
      </c>
      <c r="AE1061" s="155"/>
      <c r="AF1061" s="154" t="s">
        <v>4491</v>
      </c>
      <c r="AP1061" s="155"/>
      <c r="AQ1061" s="156"/>
      <c r="AR1061" s="157"/>
      <c r="AS1061" s="158"/>
      <c r="AT1061" s="159"/>
      <c r="AU1061" s="161"/>
      <c r="AV1061" s="156"/>
      <c r="AW1061" s="162"/>
      <c r="AX1061" s="163"/>
      <c r="AY1061" s="164"/>
      <c r="AZ1061" s="159"/>
      <c r="BA1061" s="161"/>
      <c r="BB1061" s="165"/>
      <c r="BF1061" s="155"/>
    </row>
    <row r="1062" spans="1:58" s="154" customFormat="1" ht="15" customHeight="1">
      <c r="A1062" s="168" t="s">
        <v>3819</v>
      </c>
      <c r="B1062" s="23" t="s">
        <v>4032</v>
      </c>
      <c r="C1062" s="28" t="s">
        <v>3821</v>
      </c>
      <c r="D1062" s="155">
        <v>85</v>
      </c>
      <c r="E1062" s="154">
        <v>2</v>
      </c>
      <c r="F1062" s="154" t="s">
        <v>4565</v>
      </c>
      <c r="G1062" s="154" t="s">
        <v>4033</v>
      </c>
      <c r="J1062" s="154" t="s">
        <v>28</v>
      </c>
      <c r="K1062" s="154" t="s">
        <v>2426</v>
      </c>
      <c r="N1062" s="155"/>
      <c r="O1062" s="156"/>
      <c r="P1062" s="157"/>
      <c r="Q1062" s="158"/>
      <c r="R1062" s="159"/>
      <c r="S1062" s="160"/>
      <c r="T1062" s="161"/>
      <c r="U1062" s="156"/>
      <c r="V1062" s="162"/>
      <c r="W1062" s="163"/>
      <c r="X1062" s="164"/>
      <c r="Y1062" s="159"/>
      <c r="Z1062" s="161"/>
      <c r="AA1062" s="165"/>
      <c r="AD1062" s="154" t="s">
        <v>439</v>
      </c>
      <c r="AE1062" s="155"/>
      <c r="AF1062" s="154" t="s">
        <v>4492</v>
      </c>
      <c r="AP1062" s="155"/>
      <c r="AQ1062" s="156"/>
      <c r="AR1062" s="157"/>
      <c r="AS1062" s="158"/>
      <c r="AT1062" s="159"/>
      <c r="AU1062" s="161"/>
      <c r="AV1062" s="156"/>
      <c r="AW1062" s="162"/>
      <c r="AX1062" s="163"/>
      <c r="AY1062" s="164"/>
      <c r="AZ1062" s="159"/>
      <c r="BA1062" s="161"/>
      <c r="BB1062" s="165"/>
      <c r="BF1062" s="155"/>
    </row>
    <row r="1063" spans="1:58" s="154" customFormat="1" ht="15" customHeight="1">
      <c r="A1063" s="168" t="s">
        <v>3819</v>
      </c>
      <c r="B1063" s="23" t="s">
        <v>4034</v>
      </c>
      <c r="C1063" s="28" t="s">
        <v>3821</v>
      </c>
      <c r="D1063" s="155">
        <v>86</v>
      </c>
      <c r="E1063" s="154">
        <v>2</v>
      </c>
      <c r="F1063" s="154" t="s">
        <v>4566</v>
      </c>
      <c r="G1063" s="154" t="s">
        <v>4035</v>
      </c>
      <c r="J1063" s="154" t="s">
        <v>29</v>
      </c>
      <c r="K1063" s="154" t="s">
        <v>2426</v>
      </c>
      <c r="N1063" s="155"/>
      <c r="O1063" s="156"/>
      <c r="P1063" s="157"/>
      <c r="Q1063" s="158">
        <v>4</v>
      </c>
      <c r="R1063" s="159">
        <v>2</v>
      </c>
      <c r="S1063" s="160"/>
      <c r="T1063" s="161">
        <v>2</v>
      </c>
      <c r="U1063" s="156"/>
      <c r="V1063" s="162">
        <v>1</v>
      </c>
      <c r="W1063" s="163"/>
      <c r="X1063" s="164"/>
      <c r="Y1063" s="159"/>
      <c r="Z1063" s="161"/>
      <c r="AA1063" s="165"/>
      <c r="AD1063" s="154" t="s">
        <v>4036</v>
      </c>
      <c r="AE1063" s="155"/>
      <c r="AF1063" s="154" t="s">
        <v>4493</v>
      </c>
      <c r="AP1063" s="155"/>
      <c r="AQ1063" s="156"/>
      <c r="AR1063" s="157"/>
      <c r="AS1063" s="158"/>
      <c r="AT1063" s="159"/>
      <c r="AU1063" s="161"/>
      <c r="AV1063" s="156"/>
      <c r="AW1063" s="162"/>
      <c r="AX1063" s="163"/>
      <c r="AY1063" s="164"/>
      <c r="AZ1063" s="159"/>
      <c r="BA1063" s="161"/>
      <c r="BB1063" s="165"/>
      <c r="BF1063" s="155"/>
    </row>
    <row r="1064" spans="1:58" s="154" customFormat="1" ht="15" customHeight="1">
      <c r="A1064" s="168" t="s">
        <v>3819</v>
      </c>
      <c r="B1064" s="23" t="s">
        <v>4037</v>
      </c>
      <c r="C1064" s="28" t="s">
        <v>3821</v>
      </c>
      <c r="D1064" s="155">
        <v>87</v>
      </c>
      <c r="E1064" s="154">
        <v>2</v>
      </c>
      <c r="F1064" s="154" t="s">
        <v>4566</v>
      </c>
      <c r="G1064" s="154" t="s">
        <v>4038</v>
      </c>
      <c r="J1064" s="154" t="s">
        <v>28</v>
      </c>
      <c r="K1064" s="154" t="s">
        <v>2426</v>
      </c>
      <c r="N1064" s="155"/>
      <c r="O1064" s="156"/>
      <c r="P1064" s="157"/>
      <c r="Q1064" s="158"/>
      <c r="R1064" s="159"/>
      <c r="S1064" s="160"/>
      <c r="T1064" s="161"/>
      <c r="U1064" s="156"/>
      <c r="V1064" s="162"/>
      <c r="W1064" s="163"/>
      <c r="X1064" s="164"/>
      <c r="Y1064" s="159"/>
      <c r="Z1064" s="161"/>
      <c r="AA1064" s="165"/>
      <c r="AD1064" s="154" t="s">
        <v>1196</v>
      </c>
      <c r="AE1064" s="155"/>
      <c r="AF1064" s="154" t="s">
        <v>4494</v>
      </c>
      <c r="AP1064" s="155"/>
      <c r="AQ1064" s="156"/>
      <c r="AR1064" s="157"/>
      <c r="AS1064" s="158"/>
      <c r="AT1064" s="159"/>
      <c r="AU1064" s="161"/>
      <c r="AV1064" s="156"/>
      <c r="AW1064" s="162"/>
      <c r="AX1064" s="163"/>
      <c r="AY1064" s="164"/>
      <c r="AZ1064" s="159"/>
      <c r="BA1064" s="161"/>
      <c r="BB1064" s="165"/>
      <c r="BF1064" s="155"/>
    </row>
    <row r="1065" spans="1:58" s="154" customFormat="1" ht="15" customHeight="1">
      <c r="A1065" s="168" t="s">
        <v>3819</v>
      </c>
      <c r="B1065" s="23" t="s">
        <v>4039</v>
      </c>
      <c r="C1065" s="28" t="s">
        <v>3821</v>
      </c>
      <c r="D1065" s="155">
        <v>88</v>
      </c>
      <c r="E1065" s="154">
        <v>3</v>
      </c>
      <c r="F1065" s="154" t="s">
        <v>4567</v>
      </c>
      <c r="G1065" s="154" t="s">
        <v>4040</v>
      </c>
      <c r="J1065" s="154" t="s">
        <v>28</v>
      </c>
      <c r="K1065" s="154" t="s">
        <v>2426</v>
      </c>
      <c r="N1065" s="155"/>
      <c r="O1065" s="156"/>
      <c r="P1065" s="157"/>
      <c r="Q1065" s="158"/>
      <c r="R1065" s="159"/>
      <c r="S1065" s="160"/>
      <c r="T1065" s="161"/>
      <c r="U1065" s="156"/>
      <c r="V1065" s="162"/>
      <c r="W1065" s="163"/>
      <c r="X1065" s="164"/>
      <c r="Y1065" s="159"/>
      <c r="Z1065" s="161"/>
      <c r="AA1065" s="165"/>
      <c r="AD1065" s="154" t="s">
        <v>1025</v>
      </c>
      <c r="AE1065" s="155"/>
      <c r="AF1065" s="154" t="s">
        <v>4495</v>
      </c>
      <c r="AP1065" s="155"/>
      <c r="AQ1065" s="156"/>
      <c r="AR1065" s="157"/>
      <c r="AS1065" s="158"/>
      <c r="AT1065" s="159"/>
      <c r="AU1065" s="161"/>
      <c r="AV1065" s="156"/>
      <c r="AW1065" s="162"/>
      <c r="AX1065" s="163"/>
      <c r="AY1065" s="164"/>
      <c r="AZ1065" s="159"/>
      <c r="BA1065" s="161"/>
      <c r="BB1065" s="165"/>
      <c r="BF1065" s="155"/>
    </row>
    <row r="1066" spans="1:58" s="154" customFormat="1" ht="15" customHeight="1">
      <c r="A1066" s="168" t="s">
        <v>3819</v>
      </c>
      <c r="B1066" s="23" t="s">
        <v>4041</v>
      </c>
      <c r="C1066" s="28" t="s">
        <v>3821</v>
      </c>
      <c r="D1066" s="155">
        <v>89</v>
      </c>
      <c r="E1066" s="154">
        <v>2</v>
      </c>
      <c r="F1066" s="154" t="s">
        <v>4567</v>
      </c>
      <c r="G1066" s="154" t="s">
        <v>4042</v>
      </c>
      <c r="J1066" s="154" t="s">
        <v>28</v>
      </c>
      <c r="K1066" s="154" t="s">
        <v>2426</v>
      </c>
      <c r="N1066" s="155"/>
      <c r="O1066" s="156"/>
      <c r="P1066" s="157"/>
      <c r="Q1066" s="158"/>
      <c r="R1066" s="159"/>
      <c r="S1066" s="160"/>
      <c r="T1066" s="161"/>
      <c r="U1066" s="156"/>
      <c r="V1066" s="162"/>
      <c r="W1066" s="163"/>
      <c r="X1066" s="164"/>
      <c r="Y1066" s="159"/>
      <c r="Z1066" s="161"/>
      <c r="AA1066" s="165"/>
      <c r="AD1066" s="154" t="s">
        <v>1025</v>
      </c>
      <c r="AE1066" s="155"/>
      <c r="AF1066" s="154" t="s">
        <v>4496</v>
      </c>
      <c r="AP1066" s="155"/>
      <c r="AQ1066" s="156"/>
      <c r="AR1066" s="157"/>
      <c r="AS1066" s="158"/>
      <c r="AT1066" s="159"/>
      <c r="AU1066" s="161"/>
      <c r="AV1066" s="156"/>
      <c r="AW1066" s="162"/>
      <c r="AX1066" s="163"/>
      <c r="AY1066" s="164"/>
      <c r="AZ1066" s="159"/>
      <c r="BA1066" s="161"/>
      <c r="BB1066" s="165"/>
      <c r="BF1066" s="155"/>
    </row>
    <row r="1067" spans="1:58" s="154" customFormat="1" ht="15" customHeight="1">
      <c r="A1067" s="168" t="s">
        <v>3819</v>
      </c>
      <c r="B1067" s="23" t="s">
        <v>4043</v>
      </c>
      <c r="C1067" s="28" t="s">
        <v>3821</v>
      </c>
      <c r="D1067" s="155">
        <v>90</v>
      </c>
      <c r="E1067" s="154">
        <v>3</v>
      </c>
      <c r="F1067" s="154" t="s">
        <v>4568</v>
      </c>
      <c r="G1067" s="154" t="s">
        <v>4044</v>
      </c>
      <c r="J1067" s="154" t="s">
        <v>28</v>
      </c>
      <c r="K1067" s="154" t="s">
        <v>2426</v>
      </c>
      <c r="N1067" s="155"/>
      <c r="O1067" s="156"/>
      <c r="P1067" s="157"/>
      <c r="Q1067" s="158"/>
      <c r="R1067" s="159"/>
      <c r="S1067" s="160"/>
      <c r="T1067" s="161"/>
      <c r="U1067" s="156"/>
      <c r="V1067" s="162"/>
      <c r="W1067" s="163"/>
      <c r="X1067" s="164"/>
      <c r="Y1067" s="159"/>
      <c r="Z1067" s="161"/>
      <c r="AA1067" s="165"/>
      <c r="AD1067" s="154" t="s">
        <v>486</v>
      </c>
      <c r="AE1067" s="155"/>
      <c r="AF1067" s="154" t="s">
        <v>4497</v>
      </c>
      <c r="AP1067" s="155"/>
      <c r="AQ1067" s="156"/>
      <c r="AR1067" s="157"/>
      <c r="AS1067" s="158"/>
      <c r="AT1067" s="159"/>
      <c r="AU1067" s="161"/>
      <c r="AV1067" s="156"/>
      <c r="AW1067" s="162"/>
      <c r="AX1067" s="163"/>
      <c r="AY1067" s="164"/>
      <c r="AZ1067" s="159"/>
      <c r="BA1067" s="161"/>
      <c r="BB1067" s="165"/>
      <c r="BF1067" s="155"/>
    </row>
    <row r="1068" spans="1:58" s="154" customFormat="1" ht="15" customHeight="1">
      <c r="A1068" s="168" t="s">
        <v>3819</v>
      </c>
      <c r="B1068" s="23" t="s">
        <v>4045</v>
      </c>
      <c r="C1068" s="28" t="s">
        <v>3821</v>
      </c>
      <c r="D1068" s="155">
        <v>91</v>
      </c>
      <c r="E1068" s="154">
        <v>2</v>
      </c>
      <c r="F1068" s="154" t="s">
        <v>4568</v>
      </c>
      <c r="G1068" s="154" t="s">
        <v>4046</v>
      </c>
      <c r="J1068" s="154" t="s">
        <v>28</v>
      </c>
      <c r="K1068" s="154" t="s">
        <v>2426</v>
      </c>
      <c r="N1068" s="155"/>
      <c r="O1068" s="156"/>
      <c r="P1068" s="157"/>
      <c r="Q1068" s="158"/>
      <c r="R1068" s="159"/>
      <c r="S1068" s="160"/>
      <c r="T1068" s="161"/>
      <c r="U1068" s="156"/>
      <c r="V1068" s="162"/>
      <c r="W1068" s="163"/>
      <c r="X1068" s="164"/>
      <c r="Y1068" s="159"/>
      <c r="Z1068" s="161"/>
      <c r="AA1068" s="165"/>
      <c r="AD1068" s="154" t="s">
        <v>486</v>
      </c>
      <c r="AE1068" s="155"/>
      <c r="AF1068" s="154" t="s">
        <v>4498</v>
      </c>
      <c r="AP1068" s="155"/>
      <c r="AQ1068" s="156"/>
      <c r="AR1068" s="157"/>
      <c r="AS1068" s="158"/>
      <c r="AT1068" s="159"/>
      <c r="AU1068" s="161"/>
      <c r="AV1068" s="156"/>
      <c r="AW1068" s="162"/>
      <c r="AX1068" s="163"/>
      <c r="AY1068" s="164"/>
      <c r="AZ1068" s="159"/>
      <c r="BA1068" s="161"/>
      <c r="BB1068" s="165"/>
      <c r="BF1068" s="155"/>
    </row>
    <row r="1069" spans="1:58" s="154" customFormat="1" ht="15" customHeight="1">
      <c r="A1069" s="168" t="s">
        <v>3819</v>
      </c>
      <c r="B1069" s="23" t="s">
        <v>4047</v>
      </c>
      <c r="C1069" s="28" t="s">
        <v>3821</v>
      </c>
      <c r="D1069" s="155">
        <v>92</v>
      </c>
      <c r="E1069" s="154">
        <v>2</v>
      </c>
      <c r="F1069" s="154" t="s">
        <v>4569</v>
      </c>
      <c r="G1069" s="154" t="s">
        <v>4048</v>
      </c>
      <c r="J1069" s="154" t="s">
        <v>28</v>
      </c>
      <c r="K1069" s="154" t="s">
        <v>2426</v>
      </c>
      <c r="N1069" s="155"/>
      <c r="O1069" s="156"/>
      <c r="P1069" s="157"/>
      <c r="Q1069" s="158"/>
      <c r="R1069" s="159"/>
      <c r="S1069" s="160"/>
      <c r="T1069" s="161"/>
      <c r="U1069" s="156"/>
      <c r="V1069" s="162"/>
      <c r="W1069" s="163"/>
      <c r="X1069" s="164"/>
      <c r="Y1069" s="159"/>
      <c r="Z1069" s="161"/>
      <c r="AA1069" s="165"/>
      <c r="AD1069" s="154" t="s">
        <v>4049</v>
      </c>
      <c r="AE1069" s="155"/>
      <c r="AF1069" s="154" t="s">
        <v>4499</v>
      </c>
      <c r="AP1069" s="155"/>
      <c r="AQ1069" s="156"/>
      <c r="AR1069" s="157"/>
      <c r="AS1069" s="158"/>
      <c r="AT1069" s="159"/>
      <c r="AU1069" s="161"/>
      <c r="AV1069" s="156"/>
      <c r="AW1069" s="162"/>
      <c r="AX1069" s="163"/>
      <c r="AY1069" s="164"/>
      <c r="AZ1069" s="159"/>
      <c r="BA1069" s="161"/>
      <c r="BB1069" s="165"/>
      <c r="BF1069" s="155"/>
    </row>
    <row r="1070" spans="1:58" s="154" customFormat="1" ht="15" customHeight="1">
      <c r="A1070" s="168" t="s">
        <v>3819</v>
      </c>
      <c r="B1070" s="23" t="s">
        <v>4050</v>
      </c>
      <c r="C1070" s="28" t="s">
        <v>3821</v>
      </c>
      <c r="D1070" s="155">
        <v>93</v>
      </c>
      <c r="E1070" s="154">
        <v>2</v>
      </c>
      <c r="F1070" s="154" t="s">
        <v>4569</v>
      </c>
      <c r="G1070" s="154" t="s">
        <v>4051</v>
      </c>
      <c r="J1070" s="154" t="s">
        <v>28</v>
      </c>
      <c r="K1070" s="154" t="s">
        <v>2426</v>
      </c>
      <c r="N1070" s="155"/>
      <c r="O1070" s="156"/>
      <c r="P1070" s="157"/>
      <c r="Q1070" s="158"/>
      <c r="R1070" s="159"/>
      <c r="S1070" s="160"/>
      <c r="T1070" s="161"/>
      <c r="U1070" s="156"/>
      <c r="V1070" s="162"/>
      <c r="W1070" s="163"/>
      <c r="X1070" s="164"/>
      <c r="Y1070" s="159"/>
      <c r="Z1070" s="161"/>
      <c r="AA1070" s="165"/>
      <c r="AD1070" s="154" t="s">
        <v>481</v>
      </c>
      <c r="AE1070" s="155"/>
      <c r="AF1070" s="154" t="s">
        <v>4589</v>
      </c>
      <c r="AP1070" s="155"/>
      <c r="AQ1070" s="156"/>
      <c r="AR1070" s="157"/>
      <c r="AS1070" s="158"/>
      <c r="AT1070" s="159"/>
      <c r="AU1070" s="161"/>
      <c r="AV1070" s="156"/>
      <c r="AW1070" s="162"/>
      <c r="AX1070" s="163"/>
      <c r="AY1070" s="164"/>
      <c r="AZ1070" s="159"/>
      <c r="BA1070" s="161"/>
      <c r="BB1070" s="165"/>
      <c r="BF1070" s="155"/>
    </row>
    <row r="1071" spans="1:58" s="154" customFormat="1" ht="15" customHeight="1">
      <c r="A1071" s="168" t="s">
        <v>3819</v>
      </c>
      <c r="B1071" s="23" t="s">
        <v>4052</v>
      </c>
      <c r="C1071" s="28" t="s">
        <v>3821</v>
      </c>
      <c r="D1071" s="155">
        <v>94</v>
      </c>
      <c r="E1071" s="154">
        <v>3</v>
      </c>
      <c r="F1071" s="154" t="s">
        <v>4569</v>
      </c>
      <c r="G1071" s="154" t="s">
        <v>4053</v>
      </c>
      <c r="J1071" s="154" t="s">
        <v>28</v>
      </c>
      <c r="K1071" s="154" t="s">
        <v>2426</v>
      </c>
      <c r="N1071" s="155"/>
      <c r="O1071" s="156"/>
      <c r="P1071" s="157"/>
      <c r="Q1071" s="158"/>
      <c r="R1071" s="159"/>
      <c r="S1071" s="160"/>
      <c r="T1071" s="161"/>
      <c r="U1071" s="156"/>
      <c r="V1071" s="162"/>
      <c r="W1071" s="163"/>
      <c r="X1071" s="164"/>
      <c r="Y1071" s="159"/>
      <c r="Z1071" s="161"/>
      <c r="AA1071" s="165"/>
      <c r="AD1071" s="154" t="s">
        <v>479</v>
      </c>
      <c r="AE1071" s="155"/>
      <c r="AF1071" s="154" t="s">
        <v>4500</v>
      </c>
      <c r="AP1071" s="155"/>
      <c r="AQ1071" s="156"/>
      <c r="AR1071" s="157"/>
      <c r="AS1071" s="158"/>
      <c r="AT1071" s="159"/>
      <c r="AU1071" s="161"/>
      <c r="AV1071" s="156"/>
      <c r="AW1071" s="162"/>
      <c r="AX1071" s="163"/>
      <c r="AY1071" s="164"/>
      <c r="AZ1071" s="159"/>
      <c r="BA1071" s="161"/>
      <c r="BB1071" s="165"/>
      <c r="BF1071" s="155"/>
    </row>
    <row r="1072" spans="1:58" s="154" customFormat="1" ht="15" customHeight="1">
      <c r="A1072" s="168" t="s">
        <v>3819</v>
      </c>
      <c r="B1072" s="23" t="s">
        <v>4054</v>
      </c>
      <c r="C1072" s="28" t="s">
        <v>3821</v>
      </c>
      <c r="D1072" s="155">
        <v>95</v>
      </c>
      <c r="E1072" s="154">
        <v>2</v>
      </c>
      <c r="F1072" s="154" t="s">
        <v>4570</v>
      </c>
      <c r="G1072" s="154" t="s">
        <v>4055</v>
      </c>
      <c r="J1072" s="154" t="s">
        <v>29</v>
      </c>
      <c r="K1072" s="154" t="s">
        <v>2426</v>
      </c>
      <c r="N1072" s="155"/>
      <c r="O1072" s="156"/>
      <c r="P1072" s="157"/>
      <c r="Q1072" s="158">
        <v>2</v>
      </c>
      <c r="R1072" s="159">
        <v>2</v>
      </c>
      <c r="S1072" s="160"/>
      <c r="T1072" s="161">
        <v>3</v>
      </c>
      <c r="U1072" s="156"/>
      <c r="V1072" s="162"/>
      <c r="W1072" s="163">
        <v>1</v>
      </c>
      <c r="X1072" s="164"/>
      <c r="Y1072" s="159"/>
      <c r="Z1072" s="161"/>
      <c r="AA1072" s="165"/>
      <c r="AD1072" s="154" t="s">
        <v>467</v>
      </c>
      <c r="AE1072" s="155"/>
      <c r="AF1072" s="154" t="s">
        <v>4501</v>
      </c>
      <c r="AP1072" s="155"/>
      <c r="AQ1072" s="156"/>
      <c r="AR1072" s="157"/>
      <c r="AS1072" s="158"/>
      <c r="AT1072" s="159"/>
      <c r="AU1072" s="161"/>
      <c r="AV1072" s="156"/>
      <c r="AW1072" s="162"/>
      <c r="AX1072" s="163"/>
      <c r="AY1072" s="164"/>
      <c r="AZ1072" s="159"/>
      <c r="BA1072" s="161"/>
      <c r="BB1072" s="165"/>
      <c r="BF1072" s="155"/>
    </row>
    <row r="1073" spans="1:58" s="154" customFormat="1" ht="15" customHeight="1">
      <c r="A1073" s="168" t="s">
        <v>3819</v>
      </c>
      <c r="B1073" s="23" t="s">
        <v>4056</v>
      </c>
      <c r="C1073" s="28" t="s">
        <v>3821</v>
      </c>
      <c r="D1073" s="155">
        <v>96</v>
      </c>
      <c r="E1073" s="154">
        <v>2</v>
      </c>
      <c r="F1073" s="154" t="s">
        <v>4570</v>
      </c>
      <c r="G1073" s="154" t="s">
        <v>4057</v>
      </c>
      <c r="J1073" s="154" t="s">
        <v>28</v>
      </c>
      <c r="K1073" s="154" t="s">
        <v>2426</v>
      </c>
      <c r="N1073" s="155"/>
      <c r="O1073" s="156"/>
      <c r="P1073" s="157"/>
      <c r="Q1073" s="158"/>
      <c r="R1073" s="159"/>
      <c r="S1073" s="160"/>
      <c r="T1073" s="161"/>
      <c r="U1073" s="156"/>
      <c r="V1073" s="162"/>
      <c r="W1073" s="163"/>
      <c r="X1073" s="164"/>
      <c r="Y1073" s="159"/>
      <c r="Z1073" s="161"/>
      <c r="AA1073" s="165"/>
      <c r="AD1073" s="154" t="s">
        <v>1196</v>
      </c>
      <c r="AE1073" s="155"/>
      <c r="AF1073" s="154" t="s">
        <v>4502</v>
      </c>
      <c r="AP1073" s="155"/>
      <c r="AQ1073" s="156"/>
      <c r="AR1073" s="157"/>
      <c r="AS1073" s="158"/>
      <c r="AT1073" s="159"/>
      <c r="AU1073" s="161"/>
      <c r="AV1073" s="156"/>
      <c r="AW1073" s="162"/>
      <c r="AX1073" s="163"/>
      <c r="AY1073" s="164"/>
      <c r="AZ1073" s="159"/>
      <c r="BA1073" s="161"/>
      <c r="BB1073" s="165"/>
      <c r="BF1073" s="155"/>
    </row>
    <row r="1074" spans="1:58" s="154" customFormat="1" ht="15" customHeight="1">
      <c r="A1074" s="168" t="s">
        <v>3819</v>
      </c>
      <c r="B1074" s="23" t="s">
        <v>4058</v>
      </c>
      <c r="C1074" s="28" t="s">
        <v>3821</v>
      </c>
      <c r="D1074" s="155">
        <v>97</v>
      </c>
      <c r="E1074" s="154">
        <v>2</v>
      </c>
      <c r="F1074" s="154" t="s">
        <v>4570</v>
      </c>
      <c r="G1074" s="154" t="s">
        <v>4059</v>
      </c>
      <c r="J1074" s="154" t="s">
        <v>28</v>
      </c>
      <c r="K1074" s="154" t="s">
        <v>2426</v>
      </c>
      <c r="N1074" s="155"/>
      <c r="O1074" s="156"/>
      <c r="P1074" s="157"/>
      <c r="Q1074" s="158"/>
      <c r="R1074" s="159"/>
      <c r="S1074" s="160"/>
      <c r="T1074" s="161"/>
      <c r="U1074" s="156"/>
      <c r="V1074" s="162"/>
      <c r="W1074" s="163"/>
      <c r="X1074" s="164"/>
      <c r="Y1074" s="159"/>
      <c r="Z1074" s="161"/>
      <c r="AA1074" s="165"/>
      <c r="AD1074" s="154" t="s">
        <v>486</v>
      </c>
      <c r="AE1074" s="155"/>
      <c r="AF1074" s="154" t="s">
        <v>4503</v>
      </c>
      <c r="AP1074" s="155"/>
      <c r="AQ1074" s="156"/>
      <c r="AR1074" s="157"/>
      <c r="AS1074" s="158"/>
      <c r="AT1074" s="159"/>
      <c r="AU1074" s="161"/>
      <c r="AV1074" s="156"/>
      <c r="AW1074" s="162"/>
      <c r="AX1074" s="163"/>
      <c r="AY1074" s="164"/>
      <c r="AZ1074" s="159"/>
      <c r="BA1074" s="161"/>
      <c r="BB1074" s="165"/>
      <c r="BF1074" s="155"/>
    </row>
    <row r="1075" spans="1:58" s="154" customFormat="1" ht="15" customHeight="1">
      <c r="A1075" s="168" t="s">
        <v>3819</v>
      </c>
      <c r="B1075" s="23" t="s">
        <v>4060</v>
      </c>
      <c r="C1075" s="28" t="s">
        <v>3821</v>
      </c>
      <c r="D1075" s="155">
        <v>98</v>
      </c>
      <c r="E1075" s="154">
        <v>2</v>
      </c>
      <c r="F1075" s="154" t="s">
        <v>4571</v>
      </c>
      <c r="G1075" s="154" t="s">
        <v>4061</v>
      </c>
      <c r="J1075" s="154" t="s">
        <v>29</v>
      </c>
      <c r="K1075" s="154" t="s">
        <v>2426</v>
      </c>
      <c r="N1075" s="155"/>
      <c r="O1075" s="156"/>
      <c r="P1075" s="157"/>
      <c r="Q1075" s="158">
        <v>3</v>
      </c>
      <c r="R1075" s="159">
        <v>3</v>
      </c>
      <c r="S1075" s="160"/>
      <c r="T1075" s="161">
        <v>3</v>
      </c>
      <c r="U1075" s="156"/>
      <c r="V1075" s="162">
        <v>1</v>
      </c>
      <c r="W1075" s="163">
        <v>1</v>
      </c>
      <c r="X1075" s="164"/>
      <c r="Y1075" s="159"/>
      <c r="Z1075" s="161"/>
      <c r="AA1075" s="165"/>
      <c r="AD1075" s="154" t="s">
        <v>3861</v>
      </c>
      <c r="AE1075" s="155"/>
      <c r="AF1075" s="154" t="s">
        <v>4504</v>
      </c>
      <c r="AP1075" s="155"/>
      <c r="AQ1075" s="156"/>
      <c r="AR1075" s="157"/>
      <c r="AS1075" s="158"/>
      <c r="AT1075" s="159"/>
      <c r="AU1075" s="161"/>
      <c r="AV1075" s="156"/>
      <c r="AW1075" s="162"/>
      <c r="AX1075" s="163"/>
      <c r="AY1075" s="164"/>
      <c r="AZ1075" s="159"/>
      <c r="BA1075" s="161"/>
      <c r="BB1075" s="165"/>
      <c r="BF1075" s="155"/>
    </row>
    <row r="1076" spans="1:58" s="154" customFormat="1" ht="15" customHeight="1">
      <c r="A1076" s="168" t="s">
        <v>3819</v>
      </c>
      <c r="B1076" s="23" t="s">
        <v>4062</v>
      </c>
      <c r="C1076" s="28" t="s">
        <v>3821</v>
      </c>
      <c r="D1076" s="155">
        <v>99</v>
      </c>
      <c r="E1076" s="154">
        <v>2</v>
      </c>
      <c r="F1076" s="154" t="s">
        <v>4571</v>
      </c>
      <c r="G1076" s="154" t="s">
        <v>4063</v>
      </c>
      <c r="J1076" s="154" t="s">
        <v>28</v>
      </c>
      <c r="K1076" s="154" t="s">
        <v>2426</v>
      </c>
      <c r="N1076" s="155"/>
      <c r="O1076" s="156"/>
      <c r="P1076" s="157"/>
      <c r="Q1076" s="158"/>
      <c r="R1076" s="159"/>
      <c r="S1076" s="160"/>
      <c r="T1076" s="161"/>
      <c r="U1076" s="156"/>
      <c r="V1076" s="162"/>
      <c r="W1076" s="163"/>
      <c r="X1076" s="164"/>
      <c r="Y1076" s="159"/>
      <c r="Z1076" s="161"/>
      <c r="AA1076" s="165"/>
      <c r="AD1076" s="154" t="s">
        <v>439</v>
      </c>
      <c r="AE1076" s="155"/>
      <c r="AF1076" s="154" t="s">
        <v>4505</v>
      </c>
      <c r="AP1076" s="155"/>
      <c r="AQ1076" s="156"/>
      <c r="AR1076" s="157"/>
      <c r="AS1076" s="158"/>
      <c r="AT1076" s="159"/>
      <c r="AU1076" s="161"/>
      <c r="AV1076" s="156"/>
      <c r="AW1076" s="162"/>
      <c r="AX1076" s="163"/>
      <c r="AY1076" s="164"/>
      <c r="AZ1076" s="159"/>
      <c r="BA1076" s="161"/>
      <c r="BB1076" s="165"/>
      <c r="BF1076" s="155"/>
    </row>
    <row r="1077" spans="1:58" s="154" customFormat="1" ht="15" customHeight="1">
      <c r="A1077" s="168" t="s">
        <v>3819</v>
      </c>
      <c r="B1077" s="23" t="s">
        <v>4064</v>
      </c>
      <c r="C1077" s="28" t="s">
        <v>3821</v>
      </c>
      <c r="D1077" s="155">
        <v>100</v>
      </c>
      <c r="E1077" s="154">
        <v>1</v>
      </c>
      <c r="F1077" s="154" t="s">
        <v>4571</v>
      </c>
      <c r="G1077" s="154" t="s">
        <v>4065</v>
      </c>
      <c r="J1077" s="154" t="s">
        <v>28</v>
      </c>
      <c r="K1077" s="154" t="s">
        <v>2426</v>
      </c>
      <c r="N1077" s="155"/>
      <c r="O1077" s="156"/>
      <c r="P1077" s="157"/>
      <c r="Q1077" s="158"/>
      <c r="R1077" s="159"/>
      <c r="S1077" s="160"/>
      <c r="T1077" s="161"/>
      <c r="U1077" s="156"/>
      <c r="V1077" s="162"/>
      <c r="W1077" s="163"/>
      <c r="X1077" s="164"/>
      <c r="Y1077" s="159"/>
      <c r="Z1077" s="161"/>
      <c r="AA1077" s="165"/>
      <c r="AD1077" s="154" t="s">
        <v>1663</v>
      </c>
      <c r="AE1077" s="155"/>
      <c r="AF1077" s="154" t="s">
        <v>4506</v>
      </c>
      <c r="AP1077" s="155"/>
      <c r="AQ1077" s="156"/>
      <c r="AR1077" s="157"/>
      <c r="AS1077" s="158"/>
      <c r="AT1077" s="159"/>
      <c r="AU1077" s="161"/>
      <c r="AV1077" s="156"/>
      <c r="AW1077" s="162"/>
      <c r="AX1077" s="163"/>
      <c r="AY1077" s="164"/>
      <c r="AZ1077" s="159"/>
      <c r="BA1077" s="161"/>
      <c r="BB1077" s="165"/>
      <c r="BF1077" s="155"/>
    </row>
    <row r="1078" spans="1:58" s="154" customFormat="1" ht="15" customHeight="1">
      <c r="A1078" s="168" t="s">
        <v>3819</v>
      </c>
      <c r="B1078" s="23" t="s">
        <v>4066</v>
      </c>
      <c r="C1078" s="28" t="s">
        <v>3821</v>
      </c>
      <c r="D1078" s="155">
        <v>101</v>
      </c>
      <c r="E1078" s="154">
        <v>2</v>
      </c>
      <c r="F1078" s="154" t="s">
        <v>4572</v>
      </c>
      <c r="G1078" s="154" t="s">
        <v>4067</v>
      </c>
      <c r="J1078" s="154" t="s">
        <v>28</v>
      </c>
      <c r="K1078" s="154" t="s">
        <v>2426</v>
      </c>
      <c r="N1078" s="155"/>
      <c r="O1078" s="156"/>
      <c r="P1078" s="157"/>
      <c r="Q1078" s="158"/>
      <c r="R1078" s="159"/>
      <c r="S1078" s="160"/>
      <c r="T1078" s="161"/>
      <c r="U1078" s="156"/>
      <c r="V1078" s="162"/>
      <c r="W1078" s="163"/>
      <c r="X1078" s="164"/>
      <c r="Y1078" s="159"/>
      <c r="Z1078" s="161"/>
      <c r="AA1078" s="165"/>
      <c r="AD1078" s="154" t="s">
        <v>4068</v>
      </c>
      <c r="AE1078" s="155"/>
      <c r="AF1078" s="154" t="s">
        <v>4507</v>
      </c>
      <c r="AP1078" s="155"/>
      <c r="AQ1078" s="156"/>
      <c r="AR1078" s="157"/>
      <c r="AS1078" s="158"/>
      <c r="AT1078" s="159"/>
      <c r="AU1078" s="161"/>
      <c r="AV1078" s="156"/>
      <c r="AW1078" s="162"/>
      <c r="AX1078" s="163"/>
      <c r="AY1078" s="164"/>
      <c r="AZ1078" s="159"/>
      <c r="BA1078" s="161"/>
      <c r="BB1078" s="165"/>
      <c r="BF1078" s="155"/>
    </row>
    <row r="1079" spans="1:58" s="154" customFormat="1" ht="15" customHeight="1">
      <c r="A1079" s="168" t="s">
        <v>3819</v>
      </c>
      <c r="B1079" s="23" t="s">
        <v>4069</v>
      </c>
      <c r="C1079" s="28" t="s">
        <v>3821</v>
      </c>
      <c r="D1079" s="155">
        <v>102</v>
      </c>
      <c r="E1079" s="154">
        <v>4</v>
      </c>
      <c r="F1079" s="154" t="s">
        <v>4572</v>
      </c>
      <c r="G1079" s="154" t="s">
        <v>4070</v>
      </c>
      <c r="J1079" s="154" t="s">
        <v>28</v>
      </c>
      <c r="K1079" s="154" t="s">
        <v>26</v>
      </c>
      <c r="M1079" s="154" t="s">
        <v>648</v>
      </c>
      <c r="N1079" s="155"/>
      <c r="O1079" s="156"/>
      <c r="P1079" s="157"/>
      <c r="Q1079" s="158"/>
      <c r="R1079" s="159"/>
      <c r="S1079" s="160"/>
      <c r="T1079" s="161"/>
      <c r="U1079" s="156"/>
      <c r="V1079" s="162"/>
      <c r="W1079" s="163"/>
      <c r="X1079" s="164"/>
      <c r="Y1079" s="159"/>
      <c r="Z1079" s="161"/>
      <c r="AA1079" s="165"/>
      <c r="AD1079" s="154" t="s">
        <v>4068</v>
      </c>
      <c r="AE1079" s="155"/>
      <c r="AF1079" s="154" t="s">
        <v>4508</v>
      </c>
      <c r="AP1079" s="155"/>
      <c r="AQ1079" s="156"/>
      <c r="AR1079" s="157"/>
      <c r="AS1079" s="158"/>
      <c r="AT1079" s="159"/>
      <c r="AU1079" s="161"/>
      <c r="AV1079" s="156"/>
      <c r="AW1079" s="162"/>
      <c r="AX1079" s="163"/>
      <c r="AY1079" s="164"/>
      <c r="AZ1079" s="159"/>
      <c r="BA1079" s="161"/>
      <c r="BB1079" s="165"/>
      <c r="BF1079" s="155"/>
    </row>
    <row r="1080" spans="1:58" ht="15" customHeight="1">
      <c r="A1080" s="168" t="s">
        <v>3819</v>
      </c>
      <c r="B1080" s="23" t="s">
        <v>4071</v>
      </c>
      <c r="C1080" s="28" t="s">
        <v>3821</v>
      </c>
      <c r="D1080" s="24">
        <v>995</v>
      </c>
      <c r="E1080" s="23">
        <v>1</v>
      </c>
      <c r="G1080" s="28" t="s">
        <v>3822</v>
      </c>
      <c r="J1080" s="23" t="s">
        <v>861</v>
      </c>
      <c r="K1080" s="28" t="s">
        <v>198</v>
      </c>
      <c r="N1080" s="147"/>
      <c r="O1080" s="118"/>
      <c r="P1080" s="119"/>
      <c r="Q1080" s="120"/>
      <c r="R1080" s="29"/>
      <c r="S1080" s="135"/>
      <c r="T1080" s="122"/>
      <c r="U1080" s="118"/>
      <c r="V1080" s="123"/>
      <c r="W1080" s="124"/>
      <c r="X1080" s="125"/>
      <c r="Y1080" s="29"/>
      <c r="Z1080" s="122"/>
      <c r="AA1080" s="126"/>
      <c r="AB1080" s="148"/>
      <c r="AI1080" s="28" t="s">
        <v>3822</v>
      </c>
      <c r="AL1080" s="23" t="s">
        <v>861</v>
      </c>
      <c r="AM1080" s="28" t="s">
        <v>198</v>
      </c>
      <c r="AP1080" s="24"/>
      <c r="AQ1080" s="118"/>
      <c r="AR1080" s="119"/>
      <c r="AS1080" s="120"/>
      <c r="AT1080" s="29"/>
      <c r="AU1080" s="122"/>
      <c r="AV1080" s="118"/>
      <c r="AW1080" s="123"/>
      <c r="AX1080" s="124"/>
      <c r="AY1080" s="125"/>
      <c r="AZ1080" s="29"/>
      <c r="BA1080" s="122"/>
      <c r="BB1080" s="126"/>
    </row>
    <row r="1081" spans="1:58" ht="15" customHeight="1">
      <c r="A1081" s="168" t="s">
        <v>3819</v>
      </c>
      <c r="B1081" s="23" t="s">
        <v>4072</v>
      </c>
      <c r="C1081" s="28" t="s">
        <v>3821</v>
      </c>
      <c r="D1081" s="24">
        <v>996</v>
      </c>
      <c r="E1081" s="23">
        <v>1</v>
      </c>
      <c r="G1081" s="23" t="s">
        <v>3826</v>
      </c>
      <c r="J1081" s="23" t="s">
        <v>861</v>
      </c>
      <c r="K1081" s="23" t="s">
        <v>199</v>
      </c>
      <c r="N1081" s="147"/>
      <c r="O1081" s="118"/>
      <c r="P1081" s="119"/>
      <c r="Q1081" s="120"/>
      <c r="R1081" s="29"/>
      <c r="S1081" s="135"/>
      <c r="T1081" s="122"/>
      <c r="U1081" s="118"/>
      <c r="V1081" s="123"/>
      <c r="W1081" s="124"/>
      <c r="X1081" s="125"/>
      <c r="Y1081" s="29"/>
      <c r="Z1081" s="122"/>
      <c r="AA1081" s="126"/>
      <c r="AB1081" s="148"/>
      <c r="AI1081" s="23" t="s">
        <v>3826</v>
      </c>
      <c r="AL1081" s="23" t="s">
        <v>861</v>
      </c>
      <c r="AM1081" s="23" t="s">
        <v>199</v>
      </c>
      <c r="AP1081" s="24"/>
      <c r="AQ1081" s="118"/>
      <c r="AR1081" s="119"/>
      <c r="AS1081" s="120"/>
      <c r="AT1081" s="29"/>
      <c r="AU1081" s="122"/>
      <c r="AV1081" s="118"/>
      <c r="AW1081" s="123"/>
      <c r="AX1081" s="124"/>
      <c r="AY1081" s="125"/>
      <c r="AZ1081" s="29"/>
      <c r="BA1081" s="122"/>
      <c r="BB1081" s="126"/>
    </row>
    <row r="1082" spans="1:58" ht="15" customHeight="1">
      <c r="A1082" s="168" t="s">
        <v>3819</v>
      </c>
      <c r="B1082" s="23" t="s">
        <v>4073</v>
      </c>
      <c r="C1082" s="28" t="s">
        <v>3821</v>
      </c>
      <c r="D1082" s="24">
        <v>997</v>
      </c>
      <c r="E1082" s="23">
        <v>1</v>
      </c>
      <c r="G1082" s="23" t="s">
        <v>3830</v>
      </c>
      <c r="J1082" s="23" t="s">
        <v>861</v>
      </c>
      <c r="K1082" s="23" t="s">
        <v>201</v>
      </c>
      <c r="N1082" s="147"/>
      <c r="O1082" s="118"/>
      <c r="P1082" s="119"/>
      <c r="Q1082" s="120"/>
      <c r="R1082" s="29"/>
      <c r="S1082" s="135"/>
      <c r="T1082" s="122"/>
      <c r="U1082" s="118"/>
      <c r="V1082" s="123"/>
      <c r="W1082" s="124"/>
      <c r="X1082" s="125"/>
      <c r="Y1082" s="29"/>
      <c r="Z1082" s="122"/>
      <c r="AA1082" s="126"/>
      <c r="AB1082" s="148"/>
      <c r="AI1082" s="23" t="s">
        <v>3830</v>
      </c>
      <c r="AL1082" s="23" t="s">
        <v>861</v>
      </c>
      <c r="AM1082" s="23" t="s">
        <v>201</v>
      </c>
      <c r="AP1082" s="24"/>
      <c r="AQ1082" s="118"/>
      <c r="AR1082" s="119"/>
      <c r="AS1082" s="120"/>
      <c r="AT1082" s="29"/>
      <c r="AU1082" s="122"/>
      <c r="AV1082" s="118"/>
      <c r="AW1082" s="123"/>
      <c r="AX1082" s="124"/>
      <c r="AY1082" s="125"/>
      <c r="AZ1082" s="29"/>
      <c r="BA1082" s="122"/>
      <c r="BB1082" s="126"/>
    </row>
    <row r="1083" spans="1:58" ht="15" customHeight="1">
      <c r="A1083" s="168" t="s">
        <v>3819</v>
      </c>
      <c r="B1083" s="23" t="s">
        <v>4074</v>
      </c>
      <c r="C1083" s="28" t="s">
        <v>3821</v>
      </c>
      <c r="D1083" s="24">
        <v>998</v>
      </c>
      <c r="E1083" s="23">
        <v>1</v>
      </c>
      <c r="G1083" s="23" t="s">
        <v>3833</v>
      </c>
      <c r="J1083" s="23" t="s">
        <v>861</v>
      </c>
      <c r="K1083" s="23" t="s">
        <v>200</v>
      </c>
      <c r="N1083" s="147"/>
      <c r="O1083" s="118"/>
      <c r="P1083" s="119"/>
      <c r="Q1083" s="120"/>
      <c r="R1083" s="29"/>
      <c r="S1083" s="135"/>
      <c r="T1083" s="122"/>
      <c r="U1083" s="118"/>
      <c r="V1083" s="123"/>
      <c r="W1083" s="124"/>
      <c r="X1083" s="125"/>
      <c r="Y1083" s="29"/>
      <c r="Z1083" s="122"/>
      <c r="AA1083" s="126"/>
      <c r="AB1083" s="148"/>
      <c r="AI1083" s="23" t="s">
        <v>3833</v>
      </c>
      <c r="AL1083" s="23" t="s">
        <v>861</v>
      </c>
      <c r="AM1083" s="23" t="s">
        <v>200</v>
      </c>
      <c r="AP1083" s="24"/>
      <c r="AQ1083" s="118"/>
      <c r="AR1083" s="119"/>
      <c r="AS1083" s="120"/>
      <c r="AT1083" s="29"/>
      <c r="AU1083" s="122"/>
      <c r="AV1083" s="118"/>
      <c r="AW1083" s="123"/>
      <c r="AX1083" s="124"/>
      <c r="AY1083" s="125"/>
      <c r="AZ1083" s="29"/>
      <c r="BA1083" s="122"/>
      <c r="BB1083" s="126"/>
    </row>
    <row r="1084" spans="1:58" ht="15" customHeight="1">
      <c r="A1084" s="168" t="s">
        <v>3819</v>
      </c>
      <c r="B1084" s="23" t="s">
        <v>4075</v>
      </c>
      <c r="C1084" s="28" t="s">
        <v>3821</v>
      </c>
      <c r="D1084" s="24">
        <v>999</v>
      </c>
      <c r="E1084" s="23">
        <v>1</v>
      </c>
      <c r="G1084" s="23" t="s">
        <v>3837</v>
      </c>
      <c r="J1084" s="23" t="s">
        <v>861</v>
      </c>
      <c r="K1084" s="23" t="s">
        <v>202</v>
      </c>
      <c r="N1084" s="147"/>
      <c r="O1084" s="118"/>
      <c r="P1084" s="119"/>
      <c r="Q1084" s="120"/>
      <c r="R1084" s="29"/>
      <c r="S1084" s="135"/>
      <c r="T1084" s="122"/>
      <c r="U1084" s="118"/>
      <c r="V1084" s="123"/>
      <c r="W1084" s="124"/>
      <c r="X1084" s="125"/>
      <c r="Y1084" s="29"/>
      <c r="Z1084" s="122"/>
      <c r="AA1084" s="126"/>
      <c r="AB1084" s="148"/>
      <c r="AI1084" s="23" t="s">
        <v>3837</v>
      </c>
      <c r="AL1084" s="23" t="s">
        <v>861</v>
      </c>
      <c r="AM1084" s="23" t="s">
        <v>202</v>
      </c>
      <c r="AP1084" s="24"/>
      <c r="AQ1084" s="118"/>
      <c r="AR1084" s="119"/>
      <c r="AS1084" s="120"/>
      <c r="AT1084" s="29"/>
      <c r="AU1084" s="122"/>
      <c r="AV1084" s="118"/>
      <c r="AW1084" s="123"/>
      <c r="AX1084" s="124"/>
      <c r="AY1084" s="125"/>
      <c r="AZ1084" s="29"/>
      <c r="BA1084" s="122"/>
      <c r="BB1084" s="126"/>
    </row>
    <row r="1085" spans="1:58" s="171" customFormat="1" ht="15" customHeight="1">
      <c r="A1085" s="168" t="s">
        <v>4078</v>
      </c>
      <c r="B1085" s="23" t="s">
        <v>4079</v>
      </c>
      <c r="C1085" s="23" t="s">
        <v>4080</v>
      </c>
      <c r="D1085" s="170">
        <v>103</v>
      </c>
      <c r="E1085" s="171">
        <v>2</v>
      </c>
      <c r="G1085" s="171" t="s">
        <v>4081</v>
      </c>
      <c r="J1085" s="171" t="s">
        <v>27</v>
      </c>
      <c r="K1085" s="171" t="s">
        <v>198</v>
      </c>
      <c r="L1085" s="171">
        <v>0</v>
      </c>
      <c r="N1085" s="170">
        <v>2</v>
      </c>
      <c r="O1085" s="156"/>
      <c r="P1085" s="157">
        <v>1</v>
      </c>
      <c r="Q1085" s="158">
        <v>1</v>
      </c>
      <c r="R1085" s="159"/>
      <c r="S1085" s="160"/>
      <c r="T1085" s="161"/>
      <c r="U1085" s="156"/>
      <c r="V1085" s="162"/>
      <c r="W1085" s="163"/>
      <c r="X1085" s="164"/>
      <c r="Y1085" s="159"/>
      <c r="Z1085" s="161"/>
      <c r="AA1085" s="165"/>
      <c r="AB1085" s="171" t="s">
        <v>1091</v>
      </c>
      <c r="AD1085" s="171" t="s">
        <v>4082</v>
      </c>
      <c r="AE1085" s="170"/>
      <c r="AF1085" s="171" t="s">
        <v>4509</v>
      </c>
      <c r="AQ1085" s="156"/>
      <c r="AR1085" s="157"/>
      <c r="AS1085" s="158"/>
      <c r="AT1085" s="159"/>
      <c r="AU1085" s="161"/>
      <c r="AV1085" s="156"/>
      <c r="AW1085" s="162"/>
      <c r="AX1085" s="163"/>
      <c r="AY1085" s="164"/>
      <c r="AZ1085" s="159"/>
      <c r="BA1085" s="161"/>
      <c r="BB1085" s="165"/>
      <c r="BF1085" s="170"/>
    </row>
    <row r="1086" spans="1:58" s="154" customFormat="1" ht="15" customHeight="1">
      <c r="A1086" s="168" t="s">
        <v>4078</v>
      </c>
      <c r="B1086" s="23" t="s">
        <v>4083</v>
      </c>
      <c r="C1086" s="23" t="s">
        <v>4080</v>
      </c>
      <c r="D1086" s="170">
        <v>104</v>
      </c>
      <c r="E1086" s="154">
        <v>2</v>
      </c>
      <c r="G1086" s="154" t="s">
        <v>4084</v>
      </c>
      <c r="J1086" s="171" t="s">
        <v>27</v>
      </c>
      <c r="K1086" s="154" t="s">
        <v>198</v>
      </c>
      <c r="L1086" s="154">
        <v>1</v>
      </c>
      <c r="N1086" s="155">
        <v>2</v>
      </c>
      <c r="O1086" s="156"/>
      <c r="P1086" s="157"/>
      <c r="Q1086" s="158">
        <v>1</v>
      </c>
      <c r="R1086" s="159">
        <v>1</v>
      </c>
      <c r="S1086" s="160"/>
      <c r="T1086" s="161"/>
      <c r="U1086" s="156"/>
      <c r="V1086" s="162"/>
      <c r="W1086" s="163"/>
      <c r="X1086" s="164"/>
      <c r="Y1086" s="159"/>
      <c r="Z1086" s="161"/>
      <c r="AA1086" s="165"/>
      <c r="AB1086" s="154" t="s">
        <v>1087</v>
      </c>
      <c r="AD1086" s="154" t="s">
        <v>307</v>
      </c>
      <c r="AE1086" s="155"/>
      <c r="AF1086" s="154" t="s">
        <v>4510</v>
      </c>
      <c r="AL1086" s="171"/>
      <c r="AO1086" s="155"/>
      <c r="AP1086" s="155"/>
      <c r="AQ1086" s="156"/>
      <c r="AR1086" s="157"/>
      <c r="AS1086" s="158"/>
      <c r="AT1086" s="159"/>
      <c r="AU1086" s="161"/>
      <c r="AV1086" s="156"/>
      <c r="AW1086" s="162"/>
      <c r="AX1086" s="163"/>
      <c r="AY1086" s="164"/>
      <c r="AZ1086" s="159"/>
      <c r="BA1086" s="161"/>
      <c r="BB1086" s="165"/>
      <c r="BE1086" s="155"/>
    </row>
    <row r="1087" spans="1:58" s="154" customFormat="1" ht="15" customHeight="1">
      <c r="A1087" s="168" t="s">
        <v>4078</v>
      </c>
      <c r="B1087" s="23" t="s">
        <v>4085</v>
      </c>
      <c r="C1087" s="23" t="s">
        <v>4080</v>
      </c>
      <c r="D1087" s="170">
        <v>105</v>
      </c>
      <c r="E1087" s="154">
        <v>2</v>
      </c>
      <c r="G1087" s="154" t="s">
        <v>4086</v>
      </c>
      <c r="J1087" s="171" t="s">
        <v>27</v>
      </c>
      <c r="K1087" s="154" t="s">
        <v>199</v>
      </c>
      <c r="L1087" s="154">
        <v>0</v>
      </c>
      <c r="N1087" s="155">
        <v>2</v>
      </c>
      <c r="O1087" s="156">
        <v>1</v>
      </c>
      <c r="P1087" s="157">
        <v>1</v>
      </c>
      <c r="Q1087" s="158"/>
      <c r="R1087" s="159"/>
      <c r="S1087" s="160"/>
      <c r="T1087" s="161"/>
      <c r="U1087" s="156"/>
      <c r="V1087" s="162"/>
      <c r="W1087" s="163"/>
      <c r="X1087" s="164"/>
      <c r="Y1087" s="159"/>
      <c r="Z1087" s="161"/>
      <c r="AA1087" s="165"/>
      <c r="AB1087" s="154" t="s">
        <v>1092</v>
      </c>
      <c r="AD1087" s="154" t="s">
        <v>3895</v>
      </c>
      <c r="AE1087" s="155"/>
      <c r="AF1087" s="154" t="s">
        <v>4511</v>
      </c>
      <c r="AL1087" s="171"/>
      <c r="AO1087" s="155"/>
      <c r="AP1087" s="155"/>
      <c r="AQ1087" s="156"/>
      <c r="AR1087" s="157"/>
      <c r="AS1087" s="158"/>
      <c r="AT1087" s="159"/>
      <c r="AU1087" s="161"/>
      <c r="AV1087" s="156"/>
      <c r="AW1087" s="162"/>
      <c r="AX1087" s="163"/>
      <c r="AY1087" s="164"/>
      <c r="AZ1087" s="159"/>
      <c r="BA1087" s="161"/>
      <c r="BB1087" s="165"/>
      <c r="BE1087" s="155"/>
    </row>
    <row r="1088" spans="1:58" s="154" customFormat="1" ht="15" customHeight="1">
      <c r="A1088" s="168" t="s">
        <v>4078</v>
      </c>
      <c r="B1088" s="23" t="s">
        <v>4087</v>
      </c>
      <c r="C1088" s="23" t="s">
        <v>4080</v>
      </c>
      <c r="D1088" s="170">
        <v>106</v>
      </c>
      <c r="E1088" s="154">
        <v>2</v>
      </c>
      <c r="G1088" s="154" t="s">
        <v>4088</v>
      </c>
      <c r="J1088" s="171" t="s">
        <v>257</v>
      </c>
      <c r="K1088" s="154" t="s">
        <v>199</v>
      </c>
      <c r="L1088" s="154">
        <v>0</v>
      </c>
      <c r="N1088" s="155"/>
      <c r="O1088" s="156"/>
      <c r="P1088" s="157"/>
      <c r="Q1088" s="158"/>
      <c r="R1088" s="159"/>
      <c r="S1088" s="160"/>
      <c r="T1088" s="161"/>
      <c r="U1088" s="156"/>
      <c r="V1088" s="162"/>
      <c r="W1088" s="163"/>
      <c r="X1088" s="164"/>
      <c r="Y1088" s="159"/>
      <c r="Z1088" s="161"/>
      <c r="AA1088" s="165"/>
      <c r="AD1088" s="154" t="s">
        <v>289</v>
      </c>
      <c r="AE1088" s="155"/>
      <c r="AF1088" s="154" t="s">
        <v>4512</v>
      </c>
      <c r="AL1088" s="171"/>
      <c r="AO1088" s="155"/>
      <c r="AP1088" s="155"/>
      <c r="AQ1088" s="156"/>
      <c r="AR1088" s="157"/>
      <c r="AS1088" s="158"/>
      <c r="AT1088" s="159"/>
      <c r="AU1088" s="161"/>
      <c r="AV1088" s="156"/>
      <c r="AW1088" s="162"/>
      <c r="AX1088" s="163"/>
      <c r="AY1088" s="164"/>
      <c r="AZ1088" s="159"/>
      <c r="BA1088" s="161"/>
      <c r="BB1088" s="165"/>
      <c r="BE1088" s="155"/>
    </row>
    <row r="1089" spans="1:59" s="154" customFormat="1" ht="15" customHeight="1">
      <c r="A1089" s="168" t="s">
        <v>4078</v>
      </c>
      <c r="B1089" s="23" t="s">
        <v>4089</v>
      </c>
      <c r="C1089" s="23" t="s">
        <v>4080</v>
      </c>
      <c r="D1089" s="170">
        <v>107</v>
      </c>
      <c r="E1089" s="154">
        <v>2</v>
      </c>
      <c r="G1089" s="154" t="s">
        <v>4090</v>
      </c>
      <c r="J1089" s="154" t="s">
        <v>257</v>
      </c>
      <c r="K1089" s="154" t="s">
        <v>201</v>
      </c>
      <c r="L1089" s="154">
        <v>0</v>
      </c>
      <c r="N1089" s="154">
        <v>2</v>
      </c>
      <c r="O1089" s="156">
        <v>1</v>
      </c>
      <c r="P1089" s="157"/>
      <c r="Q1089" s="158"/>
      <c r="R1089" s="159"/>
      <c r="S1089" s="160"/>
      <c r="T1089" s="161"/>
      <c r="U1089" s="156"/>
      <c r="V1089" s="162"/>
      <c r="W1089" s="163"/>
      <c r="X1089" s="164"/>
      <c r="Y1089" s="159"/>
      <c r="Z1089" s="161"/>
      <c r="AA1089" s="165"/>
      <c r="AB1089" s="154" t="s">
        <v>204</v>
      </c>
      <c r="AC1089" s="154" t="s">
        <v>275</v>
      </c>
      <c r="AD1089" s="154" t="s">
        <v>375</v>
      </c>
      <c r="AF1089" s="154" t="s">
        <v>4091</v>
      </c>
      <c r="AO1089" s="155"/>
      <c r="AQ1089" s="156"/>
      <c r="AR1089" s="157"/>
      <c r="AS1089" s="158"/>
      <c r="AT1089" s="159"/>
      <c r="AU1089" s="161"/>
      <c r="AV1089" s="156"/>
      <c r="AW1089" s="162"/>
      <c r="AX1089" s="163"/>
      <c r="AY1089" s="164"/>
      <c r="AZ1089" s="159"/>
      <c r="BA1089" s="161"/>
      <c r="BB1089" s="165"/>
      <c r="BE1089" s="155"/>
    </row>
    <row r="1090" spans="1:59" s="154" customFormat="1" ht="15" customHeight="1">
      <c r="A1090" s="168" t="s">
        <v>4078</v>
      </c>
      <c r="B1090" s="23" t="s">
        <v>4092</v>
      </c>
      <c r="C1090" s="23" t="s">
        <v>4080</v>
      </c>
      <c r="D1090" s="170">
        <v>108</v>
      </c>
      <c r="E1090" s="154">
        <v>2</v>
      </c>
      <c r="G1090" s="154" t="s">
        <v>4093</v>
      </c>
      <c r="J1090" s="154" t="s">
        <v>257</v>
      </c>
      <c r="K1090" s="154" t="s">
        <v>201</v>
      </c>
      <c r="L1090" s="154">
        <v>1</v>
      </c>
      <c r="N1090" s="154">
        <v>3</v>
      </c>
      <c r="O1090" s="156"/>
      <c r="P1090" s="157"/>
      <c r="Q1090" s="158"/>
      <c r="R1090" s="159">
        <v>1</v>
      </c>
      <c r="S1090" s="160"/>
      <c r="T1090" s="161"/>
      <c r="U1090" s="156"/>
      <c r="V1090" s="162"/>
      <c r="W1090" s="163"/>
      <c r="X1090" s="164"/>
      <c r="Y1090" s="159"/>
      <c r="Z1090" s="161"/>
      <c r="AA1090" s="165"/>
      <c r="AB1090" s="154" t="s">
        <v>207</v>
      </c>
      <c r="AD1090" s="154" t="s">
        <v>4094</v>
      </c>
      <c r="AF1090" s="154" t="s">
        <v>4513</v>
      </c>
      <c r="AO1090" s="155"/>
      <c r="AQ1090" s="156"/>
      <c r="AR1090" s="157"/>
      <c r="AS1090" s="158"/>
      <c r="AT1090" s="159"/>
      <c r="AU1090" s="161"/>
      <c r="AV1090" s="156"/>
      <c r="AW1090" s="162"/>
      <c r="AX1090" s="163"/>
      <c r="AY1090" s="164"/>
      <c r="AZ1090" s="159"/>
      <c r="BA1090" s="161"/>
      <c r="BB1090" s="165"/>
      <c r="BE1090" s="155"/>
    </row>
    <row r="1091" spans="1:59" s="154" customFormat="1" ht="15" customHeight="1">
      <c r="A1091" s="168" t="s">
        <v>4078</v>
      </c>
      <c r="B1091" s="23" t="s">
        <v>4095</v>
      </c>
      <c r="C1091" s="23" t="s">
        <v>4080</v>
      </c>
      <c r="D1091" s="170">
        <v>109</v>
      </c>
      <c r="E1091" s="154">
        <v>2</v>
      </c>
      <c r="G1091" s="154" t="s">
        <v>4096</v>
      </c>
      <c r="J1091" s="154" t="s">
        <v>257</v>
      </c>
      <c r="K1091" s="154" t="s">
        <v>200</v>
      </c>
      <c r="L1091" s="154">
        <v>0</v>
      </c>
      <c r="O1091" s="156"/>
      <c r="P1091" s="157"/>
      <c r="Q1091" s="158"/>
      <c r="R1091" s="159"/>
      <c r="S1091" s="160"/>
      <c r="T1091" s="161"/>
      <c r="U1091" s="156"/>
      <c r="V1091" s="162"/>
      <c r="W1091" s="163"/>
      <c r="X1091" s="164"/>
      <c r="Y1091" s="159"/>
      <c r="Z1091" s="161"/>
      <c r="AA1091" s="165"/>
      <c r="AD1091" s="154" t="s">
        <v>289</v>
      </c>
      <c r="AF1091" s="154" t="s">
        <v>4514</v>
      </c>
      <c r="AO1091" s="155"/>
      <c r="AQ1091" s="156"/>
      <c r="AR1091" s="157"/>
      <c r="AS1091" s="158"/>
      <c r="AT1091" s="159"/>
      <c r="AU1091" s="161"/>
      <c r="AV1091" s="156"/>
      <c r="AW1091" s="162"/>
      <c r="AX1091" s="163"/>
      <c r="AY1091" s="164"/>
      <c r="AZ1091" s="159"/>
      <c r="BA1091" s="161"/>
      <c r="BB1091" s="165"/>
      <c r="BE1091" s="155"/>
    </row>
    <row r="1092" spans="1:59" s="154" customFormat="1" ht="15" customHeight="1">
      <c r="A1092" s="168" t="s">
        <v>4078</v>
      </c>
      <c r="B1092" s="23" t="s">
        <v>4097</v>
      </c>
      <c r="C1092" s="23" t="s">
        <v>4080</v>
      </c>
      <c r="D1092" s="170">
        <v>110</v>
      </c>
      <c r="E1092" s="154">
        <v>2</v>
      </c>
      <c r="G1092" s="154" t="s">
        <v>4098</v>
      </c>
      <c r="J1092" s="154" t="s">
        <v>27</v>
      </c>
      <c r="K1092" s="154" t="s">
        <v>200</v>
      </c>
      <c r="L1092" s="154">
        <v>2</v>
      </c>
      <c r="N1092" s="154">
        <v>2</v>
      </c>
      <c r="O1092" s="156">
        <v>1</v>
      </c>
      <c r="P1092" s="157">
        <v>1</v>
      </c>
      <c r="Q1092" s="158"/>
      <c r="R1092" s="159"/>
      <c r="S1092" s="160"/>
      <c r="T1092" s="161"/>
      <c r="U1092" s="156"/>
      <c r="V1092" s="162"/>
      <c r="W1092" s="163"/>
      <c r="X1092" s="164"/>
      <c r="Y1092" s="159"/>
      <c r="Z1092" s="161"/>
      <c r="AA1092" s="165"/>
      <c r="AB1092" s="154" t="s">
        <v>1092</v>
      </c>
      <c r="AD1092" s="154" t="s">
        <v>4099</v>
      </c>
      <c r="AF1092" s="154" t="s">
        <v>4515</v>
      </c>
      <c r="AO1092" s="155"/>
      <c r="AQ1092" s="156"/>
      <c r="AR1092" s="157"/>
      <c r="AS1092" s="158"/>
      <c r="AT1092" s="159"/>
      <c r="AU1092" s="161"/>
      <c r="AV1092" s="156"/>
      <c r="AW1092" s="162"/>
      <c r="AX1092" s="163"/>
      <c r="AY1092" s="164"/>
      <c r="AZ1092" s="159"/>
      <c r="BA1092" s="161"/>
      <c r="BB1092" s="165"/>
      <c r="BE1092" s="155"/>
    </row>
    <row r="1093" spans="1:59" s="154" customFormat="1" ht="15" customHeight="1">
      <c r="A1093" s="168" t="s">
        <v>4078</v>
      </c>
      <c r="B1093" s="23" t="s">
        <v>4100</v>
      </c>
      <c r="C1093" s="23" t="s">
        <v>4080</v>
      </c>
      <c r="D1093" s="170">
        <v>111</v>
      </c>
      <c r="E1093" s="154">
        <v>2</v>
      </c>
      <c r="G1093" s="154" t="s">
        <v>4101</v>
      </c>
      <c r="J1093" s="154" t="s">
        <v>27</v>
      </c>
      <c r="K1093" s="154" t="s">
        <v>202</v>
      </c>
      <c r="L1093" s="154">
        <v>0</v>
      </c>
      <c r="N1093" s="172">
        <v>2</v>
      </c>
      <c r="O1093" s="156">
        <v>2</v>
      </c>
      <c r="P1093" s="157"/>
      <c r="Q1093" s="158"/>
      <c r="R1093" s="159"/>
      <c r="S1093" s="160"/>
      <c r="T1093" s="161"/>
      <c r="U1093" s="156"/>
      <c r="V1093" s="162"/>
      <c r="W1093" s="163"/>
      <c r="X1093" s="164"/>
      <c r="Y1093" s="159"/>
      <c r="Z1093" s="161"/>
      <c r="AA1093" s="165"/>
      <c r="AB1093" s="154" t="s">
        <v>1094</v>
      </c>
      <c r="AD1093" s="154" t="s">
        <v>1805</v>
      </c>
      <c r="AF1093" s="154" t="s">
        <v>4516</v>
      </c>
      <c r="AO1093" s="155"/>
      <c r="AQ1093" s="156"/>
      <c r="AR1093" s="157"/>
      <c r="AS1093" s="158"/>
      <c r="AT1093" s="159"/>
      <c r="AU1093" s="161"/>
      <c r="AV1093" s="156"/>
      <c r="AW1093" s="162"/>
      <c r="AX1093" s="163"/>
      <c r="AY1093" s="164"/>
      <c r="AZ1093" s="159"/>
      <c r="BA1093" s="161"/>
      <c r="BB1093" s="165"/>
      <c r="BE1093" s="155"/>
    </row>
    <row r="1094" spans="1:59" s="154" customFormat="1" ht="15" customHeight="1">
      <c r="A1094" s="168" t="s">
        <v>4078</v>
      </c>
      <c r="B1094" s="23" t="s">
        <v>4102</v>
      </c>
      <c r="C1094" s="23" t="s">
        <v>4080</v>
      </c>
      <c r="D1094" s="170">
        <v>112</v>
      </c>
      <c r="E1094" s="154">
        <v>2</v>
      </c>
      <c r="G1094" s="154" t="s">
        <v>4103</v>
      </c>
      <c r="J1094" s="154" t="s">
        <v>312</v>
      </c>
      <c r="K1094" s="154" t="s">
        <v>202</v>
      </c>
      <c r="L1094" s="154">
        <v>0</v>
      </c>
      <c r="O1094" s="156"/>
      <c r="P1094" s="157"/>
      <c r="Q1094" s="158">
        <v>1</v>
      </c>
      <c r="R1094" s="159"/>
      <c r="S1094" s="160"/>
      <c r="T1094" s="161"/>
      <c r="U1094" s="156"/>
      <c r="V1094" s="162"/>
      <c r="W1094" s="163"/>
      <c r="X1094" s="164"/>
      <c r="Y1094" s="159"/>
      <c r="Z1094" s="161"/>
      <c r="AA1094" s="165"/>
      <c r="AB1094" s="154" t="s">
        <v>206</v>
      </c>
      <c r="AD1094" s="154" t="s">
        <v>313</v>
      </c>
      <c r="AF1094" s="154" t="s">
        <v>4104</v>
      </c>
      <c r="AO1094" s="155"/>
      <c r="AQ1094" s="156"/>
      <c r="AR1094" s="157"/>
      <c r="AS1094" s="158"/>
      <c r="AT1094" s="159"/>
      <c r="AU1094" s="161"/>
      <c r="AV1094" s="156"/>
      <c r="AW1094" s="162"/>
      <c r="AX1094" s="163"/>
      <c r="AY1094" s="164"/>
      <c r="AZ1094" s="159"/>
      <c r="BA1094" s="161"/>
      <c r="BB1094" s="165"/>
      <c r="BE1094" s="155"/>
    </row>
    <row r="1095" spans="1:59" s="154" customFormat="1" ht="15" customHeight="1">
      <c r="A1095" s="168" t="s">
        <v>4078</v>
      </c>
      <c r="B1095" s="23" t="s">
        <v>4105</v>
      </c>
      <c r="C1095" s="23" t="s">
        <v>4080</v>
      </c>
      <c r="D1095" s="170">
        <v>113</v>
      </c>
      <c r="E1095" s="154">
        <v>1</v>
      </c>
      <c r="F1095" s="154" t="s">
        <v>4106</v>
      </c>
      <c r="G1095" s="154" t="s">
        <v>4106</v>
      </c>
      <c r="J1095" s="154" t="s">
        <v>618</v>
      </c>
      <c r="K1095" s="154" t="s">
        <v>2426</v>
      </c>
      <c r="O1095" s="156"/>
      <c r="P1095" s="157"/>
      <c r="Q1095" s="158"/>
      <c r="R1095" s="159"/>
      <c r="S1095" s="160"/>
      <c r="T1095" s="161"/>
      <c r="U1095" s="156"/>
      <c r="V1095" s="162"/>
      <c r="W1095" s="163"/>
      <c r="X1095" s="164"/>
      <c r="Y1095" s="159"/>
      <c r="Z1095" s="161"/>
      <c r="AA1095" s="165"/>
      <c r="AF1095" s="154" t="s">
        <v>4517</v>
      </c>
      <c r="AI1095" s="154" t="s">
        <v>4106</v>
      </c>
      <c r="AL1095" s="154" t="s">
        <v>618</v>
      </c>
      <c r="AM1095" s="154" t="s">
        <v>2426</v>
      </c>
      <c r="AO1095" s="155"/>
      <c r="AQ1095" s="156"/>
      <c r="AR1095" s="157"/>
      <c r="AS1095" s="158"/>
      <c r="AT1095" s="159"/>
      <c r="AU1095" s="161"/>
      <c r="AV1095" s="156"/>
      <c r="AW1095" s="162"/>
      <c r="AX1095" s="163"/>
      <c r="AY1095" s="164"/>
      <c r="AZ1095" s="159"/>
      <c r="BA1095" s="161"/>
      <c r="BB1095" s="165"/>
      <c r="BE1095" s="155"/>
      <c r="BG1095" s="154" t="s">
        <v>4518</v>
      </c>
    </row>
    <row r="1096" spans="1:59" s="154" customFormat="1" ht="15" customHeight="1">
      <c r="A1096" s="168" t="s">
        <v>4078</v>
      </c>
      <c r="B1096" s="23" t="s">
        <v>4107</v>
      </c>
      <c r="C1096" s="23" t="s">
        <v>4080</v>
      </c>
      <c r="D1096" s="170">
        <v>114</v>
      </c>
      <c r="E1096" s="154">
        <v>1</v>
      </c>
      <c r="F1096" s="154" t="s">
        <v>4106</v>
      </c>
      <c r="G1096" s="154" t="s">
        <v>4108</v>
      </c>
      <c r="J1096" s="154" t="s">
        <v>619</v>
      </c>
      <c r="K1096" s="154" t="s">
        <v>2426</v>
      </c>
      <c r="L1096" s="154">
        <v>1</v>
      </c>
      <c r="O1096" s="156"/>
      <c r="P1096" s="157"/>
      <c r="Q1096" s="158"/>
      <c r="R1096" s="159"/>
      <c r="S1096" s="160"/>
      <c r="T1096" s="161"/>
      <c r="U1096" s="156"/>
      <c r="V1096" s="162"/>
      <c r="W1096" s="163"/>
      <c r="X1096" s="164"/>
      <c r="Y1096" s="159"/>
      <c r="Z1096" s="161">
        <v>6</v>
      </c>
      <c r="AA1096" s="165"/>
      <c r="AF1096" s="154" t="s">
        <v>727</v>
      </c>
      <c r="AI1096" s="154" t="s">
        <v>4590</v>
      </c>
      <c r="AL1096" s="154" t="s">
        <v>619</v>
      </c>
      <c r="AM1096" s="154" t="s">
        <v>2426</v>
      </c>
      <c r="AN1096" s="154">
        <v>1</v>
      </c>
      <c r="AO1096" s="155"/>
      <c r="AQ1096" s="156"/>
      <c r="AR1096" s="157"/>
      <c r="AS1096" s="158"/>
      <c r="AT1096" s="159"/>
      <c r="AU1096" s="161"/>
      <c r="AV1096" s="156"/>
      <c r="AW1096" s="162"/>
      <c r="AX1096" s="163"/>
      <c r="AY1096" s="164"/>
      <c r="AZ1096" s="159"/>
      <c r="BA1096" s="161"/>
      <c r="BB1096" s="165"/>
      <c r="BE1096" s="155"/>
      <c r="BG1096" s="154" t="s">
        <v>4519</v>
      </c>
    </row>
    <row r="1097" spans="1:59" s="154" customFormat="1" ht="15" customHeight="1">
      <c r="A1097" s="168" t="s">
        <v>4078</v>
      </c>
      <c r="B1097" s="23" t="s">
        <v>4109</v>
      </c>
      <c r="C1097" s="23" t="s">
        <v>4080</v>
      </c>
      <c r="D1097" s="170">
        <v>115</v>
      </c>
      <c r="E1097" s="154">
        <v>1</v>
      </c>
      <c r="F1097" s="154" t="s">
        <v>4106</v>
      </c>
      <c r="G1097" s="154" t="s">
        <v>4110</v>
      </c>
      <c r="J1097" s="154" t="s">
        <v>619</v>
      </c>
      <c r="K1097" s="154" t="s">
        <v>2426</v>
      </c>
      <c r="L1097" s="154">
        <v>2</v>
      </c>
      <c r="O1097" s="156"/>
      <c r="P1097" s="157"/>
      <c r="Q1097" s="158"/>
      <c r="R1097" s="159"/>
      <c r="S1097" s="160"/>
      <c r="T1097" s="161"/>
      <c r="U1097" s="156"/>
      <c r="V1097" s="162"/>
      <c r="W1097" s="163"/>
      <c r="X1097" s="164"/>
      <c r="Y1097" s="159"/>
      <c r="Z1097" s="161">
        <v>6</v>
      </c>
      <c r="AA1097" s="165"/>
      <c r="AF1097" s="154" t="s">
        <v>727</v>
      </c>
      <c r="AI1097" s="154" t="s">
        <v>4591</v>
      </c>
      <c r="AL1097" s="154" t="s">
        <v>619</v>
      </c>
      <c r="AM1097" s="154" t="s">
        <v>2426</v>
      </c>
      <c r="AN1097" s="154">
        <v>2</v>
      </c>
      <c r="AO1097" s="155"/>
      <c r="AQ1097" s="156"/>
      <c r="AR1097" s="157"/>
      <c r="AS1097" s="158"/>
      <c r="AT1097" s="159"/>
      <c r="AU1097" s="161"/>
      <c r="AV1097" s="156"/>
      <c r="AW1097" s="162"/>
      <c r="AX1097" s="163"/>
      <c r="AY1097" s="164"/>
      <c r="AZ1097" s="159"/>
      <c r="BA1097" s="161"/>
      <c r="BB1097" s="165"/>
      <c r="BE1097" s="155"/>
      <c r="BG1097" s="154" t="s">
        <v>4520</v>
      </c>
    </row>
    <row r="1098" spans="1:59" s="154" customFormat="1" ht="15" customHeight="1">
      <c r="A1098" s="168" t="s">
        <v>4078</v>
      </c>
      <c r="B1098" s="23" t="s">
        <v>4111</v>
      </c>
      <c r="C1098" s="23" t="s">
        <v>4080</v>
      </c>
      <c r="D1098" s="170">
        <v>116</v>
      </c>
      <c r="E1098" s="154">
        <v>1</v>
      </c>
      <c r="F1098" s="154" t="s">
        <v>4106</v>
      </c>
      <c r="G1098" s="154" t="s">
        <v>4112</v>
      </c>
      <c r="J1098" s="154" t="s">
        <v>619</v>
      </c>
      <c r="K1098" s="154" t="s">
        <v>2426</v>
      </c>
      <c r="L1098" s="154">
        <v>3</v>
      </c>
      <c r="O1098" s="156"/>
      <c r="P1098" s="157"/>
      <c r="Q1098" s="158"/>
      <c r="R1098" s="159"/>
      <c r="S1098" s="160"/>
      <c r="T1098" s="161"/>
      <c r="U1098" s="156"/>
      <c r="V1098" s="162"/>
      <c r="W1098" s="163"/>
      <c r="X1098" s="164"/>
      <c r="Y1098" s="159"/>
      <c r="Z1098" s="161">
        <v>6</v>
      </c>
      <c r="AA1098" s="165"/>
      <c r="AF1098" s="154" t="s">
        <v>727</v>
      </c>
      <c r="AI1098" s="154" t="s">
        <v>4592</v>
      </c>
      <c r="AL1098" s="154" t="s">
        <v>619</v>
      </c>
      <c r="AM1098" s="154" t="s">
        <v>2426</v>
      </c>
      <c r="AN1098" s="154">
        <v>3</v>
      </c>
      <c r="AO1098" s="155"/>
      <c r="AQ1098" s="156"/>
      <c r="AR1098" s="157"/>
      <c r="AS1098" s="158"/>
      <c r="AT1098" s="159"/>
      <c r="AU1098" s="161"/>
      <c r="AV1098" s="156"/>
      <c r="AW1098" s="162"/>
      <c r="AX1098" s="163"/>
      <c r="AY1098" s="164"/>
      <c r="AZ1098" s="159"/>
      <c r="BA1098" s="161"/>
      <c r="BB1098" s="165"/>
      <c r="BE1098" s="155"/>
      <c r="BG1098" s="154" t="s">
        <v>4113</v>
      </c>
    </row>
    <row r="1099" spans="1:59" s="154" customFormat="1" ht="15" customHeight="1">
      <c r="A1099" s="168" t="s">
        <v>4078</v>
      </c>
      <c r="B1099" s="23" t="s">
        <v>4114</v>
      </c>
      <c r="C1099" s="23" t="s">
        <v>4080</v>
      </c>
      <c r="D1099" s="170">
        <v>117</v>
      </c>
      <c r="E1099" s="154">
        <v>1</v>
      </c>
      <c r="F1099" s="154" t="s">
        <v>4106</v>
      </c>
      <c r="G1099" s="154" t="s">
        <v>4115</v>
      </c>
      <c r="J1099" s="154" t="s">
        <v>621</v>
      </c>
      <c r="K1099" s="154" t="s">
        <v>2426</v>
      </c>
      <c r="L1099" s="154">
        <v>1</v>
      </c>
      <c r="O1099" s="156"/>
      <c r="P1099" s="157"/>
      <c r="Q1099" s="158"/>
      <c r="R1099" s="159"/>
      <c r="S1099" s="160"/>
      <c r="T1099" s="161"/>
      <c r="U1099" s="156"/>
      <c r="V1099" s="162"/>
      <c r="W1099" s="163"/>
      <c r="X1099" s="164"/>
      <c r="Y1099" s="159" t="s">
        <v>1073</v>
      </c>
      <c r="Z1099" s="161"/>
      <c r="AA1099" s="165"/>
      <c r="AF1099" s="154" t="s">
        <v>4521</v>
      </c>
      <c r="AI1099" s="154" t="s">
        <v>4116</v>
      </c>
      <c r="AL1099" s="154" t="s">
        <v>31</v>
      </c>
      <c r="AM1099" s="154" t="s">
        <v>2426</v>
      </c>
      <c r="AO1099" s="155"/>
      <c r="AQ1099" s="156"/>
      <c r="AR1099" s="157"/>
      <c r="AS1099" s="158"/>
      <c r="AT1099" s="159"/>
      <c r="AU1099" s="161"/>
      <c r="AV1099" s="156"/>
      <c r="AW1099" s="162"/>
      <c r="AX1099" s="163"/>
      <c r="AY1099" s="164">
        <v>3</v>
      </c>
      <c r="AZ1099" s="159" t="s">
        <v>1111</v>
      </c>
      <c r="BA1099" s="161"/>
      <c r="BB1099" s="165">
        <v>1</v>
      </c>
      <c r="BE1099" s="154" t="s">
        <v>1772</v>
      </c>
      <c r="BG1099" s="154" t="s">
        <v>4522</v>
      </c>
    </row>
    <row r="1100" spans="1:59" s="154" customFormat="1" ht="15" customHeight="1">
      <c r="A1100" s="168" t="s">
        <v>4078</v>
      </c>
      <c r="B1100" s="23" t="s">
        <v>4117</v>
      </c>
      <c r="C1100" s="23" t="s">
        <v>4080</v>
      </c>
      <c r="D1100" s="170">
        <v>118</v>
      </c>
      <c r="E1100" s="154">
        <v>1</v>
      </c>
      <c r="F1100" s="154" t="s">
        <v>4106</v>
      </c>
      <c r="G1100" s="154" t="s">
        <v>4118</v>
      </c>
      <c r="J1100" s="154" t="s">
        <v>621</v>
      </c>
      <c r="K1100" s="171" t="s">
        <v>2426</v>
      </c>
      <c r="L1100" s="154">
        <v>1</v>
      </c>
      <c r="O1100" s="156"/>
      <c r="P1100" s="157"/>
      <c r="Q1100" s="158"/>
      <c r="R1100" s="159"/>
      <c r="S1100" s="160"/>
      <c r="T1100" s="161"/>
      <c r="U1100" s="156"/>
      <c r="V1100" s="162"/>
      <c r="W1100" s="163"/>
      <c r="X1100" s="164"/>
      <c r="Y1100" s="159" t="s">
        <v>1111</v>
      </c>
      <c r="Z1100" s="161"/>
      <c r="AA1100" s="165"/>
      <c r="AF1100" s="154" t="s">
        <v>4521</v>
      </c>
      <c r="AI1100" s="154" t="s">
        <v>4119</v>
      </c>
      <c r="AJ1100" s="154" t="s">
        <v>4120</v>
      </c>
      <c r="AK1100" s="154" t="s">
        <v>223</v>
      </c>
      <c r="AL1100" s="154" t="s">
        <v>257</v>
      </c>
      <c r="AM1100" s="171" t="s">
        <v>26</v>
      </c>
      <c r="AO1100" s="155"/>
      <c r="AQ1100" s="156"/>
      <c r="AR1100" s="157"/>
      <c r="AS1100" s="158"/>
      <c r="AT1100" s="159"/>
      <c r="AU1100" s="161"/>
      <c r="AV1100" s="156"/>
      <c r="AW1100" s="162"/>
      <c r="AX1100" s="163"/>
      <c r="AY1100" s="164"/>
      <c r="AZ1100" s="159"/>
      <c r="BA1100" s="161"/>
      <c r="BB1100" s="165"/>
      <c r="BE1100" s="154" t="s">
        <v>4121</v>
      </c>
      <c r="BG1100" s="154" t="s">
        <v>4523</v>
      </c>
    </row>
    <row r="1101" spans="1:59" s="154" customFormat="1" ht="15" customHeight="1">
      <c r="A1101" s="168" t="s">
        <v>4078</v>
      </c>
      <c r="B1101" s="23" t="s">
        <v>4122</v>
      </c>
      <c r="C1101" s="23" t="s">
        <v>4080</v>
      </c>
      <c r="D1101" s="170">
        <v>119</v>
      </c>
      <c r="E1101" s="154">
        <v>1</v>
      </c>
      <c r="F1101" s="154" t="s">
        <v>4106</v>
      </c>
      <c r="G1101" s="154" t="s">
        <v>4123</v>
      </c>
      <c r="J1101" s="154" t="s">
        <v>621</v>
      </c>
      <c r="K1101" s="171" t="s">
        <v>2426</v>
      </c>
      <c r="L1101" s="154">
        <v>2</v>
      </c>
      <c r="O1101" s="156"/>
      <c r="P1101" s="157"/>
      <c r="Q1101" s="158"/>
      <c r="R1101" s="159"/>
      <c r="S1101" s="160"/>
      <c r="T1101" s="161"/>
      <c r="U1101" s="156"/>
      <c r="V1101" s="162"/>
      <c r="W1101" s="163"/>
      <c r="X1101" s="164"/>
      <c r="Y1101" s="159" t="s">
        <v>1111</v>
      </c>
      <c r="Z1101" s="161"/>
      <c r="AA1101" s="165"/>
      <c r="AF1101" s="154" t="s">
        <v>4524</v>
      </c>
      <c r="AI1101" s="154" t="s">
        <v>4593</v>
      </c>
      <c r="AL1101" s="154" t="s">
        <v>621</v>
      </c>
      <c r="AM1101" s="154" t="s">
        <v>2426</v>
      </c>
      <c r="AN1101" s="154">
        <v>2</v>
      </c>
      <c r="AO1101" s="155"/>
      <c r="AQ1101" s="156"/>
      <c r="AR1101" s="157"/>
      <c r="AS1101" s="158"/>
      <c r="AT1101" s="159"/>
      <c r="AU1101" s="161"/>
      <c r="AV1101" s="156"/>
      <c r="AW1101" s="162"/>
      <c r="AX1101" s="163"/>
      <c r="AY1101" s="164"/>
      <c r="AZ1101" s="159"/>
      <c r="BA1101" s="161"/>
      <c r="BB1101" s="165"/>
      <c r="BE1101" s="155"/>
      <c r="BG1101" s="154" t="s">
        <v>4594</v>
      </c>
    </row>
    <row r="1102" spans="1:59" s="154" customFormat="1" ht="15" customHeight="1">
      <c r="A1102" s="168" t="s">
        <v>4078</v>
      </c>
      <c r="B1102" s="23" t="s">
        <v>4124</v>
      </c>
      <c r="C1102" s="23" t="s">
        <v>4080</v>
      </c>
      <c r="D1102" s="170">
        <v>120</v>
      </c>
      <c r="E1102" s="154">
        <v>1</v>
      </c>
      <c r="F1102" s="154" t="s">
        <v>4106</v>
      </c>
      <c r="G1102" s="154" t="s">
        <v>4123</v>
      </c>
      <c r="J1102" s="154" t="s">
        <v>621</v>
      </c>
      <c r="K1102" s="171" t="s">
        <v>2426</v>
      </c>
      <c r="L1102" s="154">
        <v>2</v>
      </c>
      <c r="O1102" s="156"/>
      <c r="P1102" s="157"/>
      <c r="Q1102" s="158"/>
      <c r="R1102" s="159"/>
      <c r="S1102" s="160"/>
      <c r="T1102" s="161"/>
      <c r="U1102" s="156"/>
      <c r="V1102" s="162"/>
      <c r="W1102" s="163"/>
      <c r="X1102" s="164"/>
      <c r="Y1102" s="159" t="s">
        <v>1111</v>
      </c>
      <c r="Z1102" s="161"/>
      <c r="AA1102" s="165"/>
      <c r="AF1102" s="154" t="s">
        <v>4524</v>
      </c>
      <c r="AI1102" s="154" t="s">
        <v>4595</v>
      </c>
      <c r="AL1102" s="154" t="s">
        <v>621</v>
      </c>
      <c r="AM1102" s="154" t="s">
        <v>2426</v>
      </c>
      <c r="AN1102" s="154">
        <v>2</v>
      </c>
      <c r="AO1102" s="155"/>
      <c r="AQ1102" s="156"/>
      <c r="AR1102" s="157"/>
      <c r="AS1102" s="158"/>
      <c r="AT1102" s="159"/>
      <c r="AU1102" s="161"/>
      <c r="AV1102" s="156"/>
      <c r="AW1102" s="162"/>
      <c r="AX1102" s="163"/>
      <c r="AY1102" s="164"/>
      <c r="AZ1102" s="159"/>
      <c r="BA1102" s="161"/>
      <c r="BB1102" s="165"/>
      <c r="BE1102" s="155"/>
      <c r="BG1102" s="154" t="s">
        <v>4525</v>
      </c>
    </row>
    <row r="1103" spans="1:59" s="154" customFormat="1" ht="15" customHeight="1">
      <c r="A1103" s="168" t="s">
        <v>4078</v>
      </c>
      <c r="B1103" s="23" t="s">
        <v>4125</v>
      </c>
      <c r="C1103" s="23" t="s">
        <v>4080</v>
      </c>
      <c r="D1103" s="170">
        <v>121</v>
      </c>
      <c r="E1103" s="154">
        <v>1</v>
      </c>
      <c r="F1103" s="154" t="s">
        <v>4106</v>
      </c>
      <c r="G1103" s="154" t="s">
        <v>4126</v>
      </c>
      <c r="J1103" s="154" t="s">
        <v>621</v>
      </c>
      <c r="K1103" s="154" t="s">
        <v>2426</v>
      </c>
      <c r="L1103" s="154">
        <v>2</v>
      </c>
      <c r="O1103" s="156"/>
      <c r="P1103" s="157"/>
      <c r="Q1103" s="158"/>
      <c r="R1103" s="159"/>
      <c r="S1103" s="160"/>
      <c r="T1103" s="161"/>
      <c r="U1103" s="156"/>
      <c r="V1103" s="162"/>
      <c r="W1103" s="163"/>
      <c r="X1103" s="164"/>
      <c r="Y1103" s="159" t="s">
        <v>38</v>
      </c>
      <c r="Z1103" s="161"/>
      <c r="AA1103" s="165"/>
      <c r="AF1103" s="154" t="s">
        <v>4596</v>
      </c>
      <c r="AI1103" s="154" t="s">
        <v>4597</v>
      </c>
      <c r="AL1103" s="154" t="s">
        <v>621</v>
      </c>
      <c r="AM1103" s="154" t="s">
        <v>2426</v>
      </c>
      <c r="AN1103" s="154">
        <v>2</v>
      </c>
      <c r="AO1103" s="155"/>
      <c r="AQ1103" s="156"/>
      <c r="AR1103" s="157"/>
      <c r="AS1103" s="158"/>
      <c r="AT1103" s="159"/>
      <c r="AU1103" s="161"/>
      <c r="AV1103" s="156"/>
      <c r="AW1103" s="162"/>
      <c r="AX1103" s="163"/>
      <c r="AY1103" s="164"/>
      <c r="AZ1103" s="159"/>
      <c r="BA1103" s="161"/>
      <c r="BB1103" s="165"/>
      <c r="BE1103" s="155"/>
      <c r="BG1103" s="154" t="s">
        <v>4526</v>
      </c>
    </row>
    <row r="1104" spans="1:59" s="154" customFormat="1" ht="15" customHeight="1">
      <c r="A1104" s="168" t="s">
        <v>4078</v>
      </c>
      <c r="B1104" s="23" t="s">
        <v>4127</v>
      </c>
      <c r="C1104" s="23" t="s">
        <v>4080</v>
      </c>
      <c r="D1104" s="170">
        <v>122</v>
      </c>
      <c r="E1104" s="154">
        <v>1</v>
      </c>
      <c r="F1104" s="154" t="s">
        <v>4106</v>
      </c>
      <c r="G1104" s="154" t="s">
        <v>4126</v>
      </c>
      <c r="J1104" s="154" t="s">
        <v>621</v>
      </c>
      <c r="K1104" s="154" t="s">
        <v>2426</v>
      </c>
      <c r="L1104" s="154">
        <v>2</v>
      </c>
      <c r="O1104" s="156"/>
      <c r="P1104" s="157"/>
      <c r="Q1104" s="158"/>
      <c r="R1104" s="159"/>
      <c r="S1104" s="160"/>
      <c r="T1104" s="161"/>
      <c r="U1104" s="156"/>
      <c r="V1104" s="162"/>
      <c r="W1104" s="163"/>
      <c r="X1104" s="164"/>
      <c r="Y1104" s="159" t="s">
        <v>38</v>
      </c>
      <c r="Z1104" s="161"/>
      <c r="AA1104" s="165"/>
      <c r="AF1104" s="154" t="s">
        <v>4596</v>
      </c>
      <c r="AI1104" s="154" t="s">
        <v>4119</v>
      </c>
      <c r="AJ1104" s="154" t="s">
        <v>4128</v>
      </c>
      <c r="AK1104" s="154" t="s">
        <v>223</v>
      </c>
      <c r="AL1104" s="154" t="s">
        <v>29</v>
      </c>
      <c r="AM1104" s="154" t="s">
        <v>2426</v>
      </c>
      <c r="AP1104" s="155"/>
      <c r="AQ1104" s="156"/>
      <c r="AR1104" s="157"/>
      <c r="AS1104" s="158">
        <v>4</v>
      </c>
      <c r="AT1104" s="159">
        <v>3</v>
      </c>
      <c r="AU1104" s="161">
        <v>2</v>
      </c>
      <c r="AV1104" s="156"/>
      <c r="AW1104" s="162">
        <v>1</v>
      </c>
      <c r="AX1104" s="163">
        <v>1</v>
      </c>
      <c r="AY1104" s="164"/>
      <c r="AZ1104" s="159"/>
      <c r="BA1104" s="161"/>
      <c r="BB1104" s="165">
        <v>1</v>
      </c>
      <c r="BE1104" s="154" t="s">
        <v>4129</v>
      </c>
      <c r="BF1104" s="155"/>
      <c r="BG1104" s="154" t="s">
        <v>4527</v>
      </c>
    </row>
    <row r="1105" spans="1:59" s="154" customFormat="1" ht="15" customHeight="1">
      <c r="A1105" s="168" t="s">
        <v>4078</v>
      </c>
      <c r="B1105" s="23" t="s">
        <v>4130</v>
      </c>
      <c r="C1105" s="23" t="s">
        <v>4080</v>
      </c>
      <c r="D1105" s="170">
        <v>123</v>
      </c>
      <c r="E1105" s="154">
        <v>1</v>
      </c>
      <c r="F1105" s="154" t="s">
        <v>4106</v>
      </c>
      <c r="G1105" s="154" t="s">
        <v>4131</v>
      </c>
      <c r="J1105" s="154" t="s">
        <v>621</v>
      </c>
      <c r="K1105" s="154" t="s">
        <v>2426</v>
      </c>
      <c r="L1105" s="154">
        <v>3</v>
      </c>
      <c r="N1105" s="155"/>
      <c r="O1105" s="156"/>
      <c r="P1105" s="157"/>
      <c r="Q1105" s="158"/>
      <c r="R1105" s="159"/>
      <c r="S1105" s="160"/>
      <c r="T1105" s="161"/>
      <c r="U1105" s="156"/>
      <c r="V1105" s="162"/>
      <c r="W1105" s="163"/>
      <c r="X1105" s="164"/>
      <c r="Y1105" s="159" t="s">
        <v>38</v>
      </c>
      <c r="Z1105" s="161"/>
      <c r="AA1105" s="165"/>
      <c r="AE1105" s="155"/>
      <c r="AF1105" s="154" t="s">
        <v>4528</v>
      </c>
      <c r="AI1105" s="154" t="s">
        <v>4598</v>
      </c>
      <c r="AL1105" s="154" t="s">
        <v>621</v>
      </c>
      <c r="AM1105" s="154" t="s">
        <v>2426</v>
      </c>
      <c r="AN1105" s="154">
        <v>3</v>
      </c>
      <c r="AP1105" s="155"/>
      <c r="AQ1105" s="156"/>
      <c r="AR1105" s="157"/>
      <c r="AS1105" s="158"/>
      <c r="AT1105" s="159"/>
      <c r="AU1105" s="161"/>
      <c r="AV1105" s="156"/>
      <c r="AW1105" s="162"/>
      <c r="AX1105" s="163"/>
      <c r="AY1105" s="164"/>
      <c r="AZ1105" s="159"/>
      <c r="BA1105" s="161"/>
      <c r="BB1105" s="165"/>
      <c r="BF1105" s="155"/>
      <c r="BG1105" s="154" t="s">
        <v>4599</v>
      </c>
    </row>
    <row r="1106" spans="1:59" s="154" customFormat="1" ht="15" customHeight="1">
      <c r="A1106" s="168" t="s">
        <v>4078</v>
      </c>
      <c r="B1106" s="23" t="s">
        <v>4132</v>
      </c>
      <c r="C1106" s="23" t="s">
        <v>4080</v>
      </c>
      <c r="D1106" s="170">
        <v>124</v>
      </c>
      <c r="E1106" s="154">
        <v>1</v>
      </c>
      <c r="F1106" s="154" t="s">
        <v>4106</v>
      </c>
      <c r="G1106" s="154" t="s">
        <v>4133</v>
      </c>
      <c r="J1106" s="154" t="s">
        <v>621</v>
      </c>
      <c r="K1106" s="154" t="s">
        <v>2426</v>
      </c>
      <c r="L1106" s="154">
        <v>3</v>
      </c>
      <c r="N1106" s="155"/>
      <c r="O1106" s="156"/>
      <c r="P1106" s="157"/>
      <c r="Q1106" s="158"/>
      <c r="R1106" s="159"/>
      <c r="S1106" s="160"/>
      <c r="T1106" s="161"/>
      <c r="U1106" s="156"/>
      <c r="V1106" s="162"/>
      <c r="W1106" s="163"/>
      <c r="X1106" s="164"/>
      <c r="Y1106" s="159" t="s">
        <v>38</v>
      </c>
      <c r="Z1106" s="161"/>
      <c r="AA1106" s="165"/>
      <c r="AE1106" s="155"/>
      <c r="AF1106" s="154" t="s">
        <v>4600</v>
      </c>
      <c r="AI1106" s="154" t="s">
        <v>4601</v>
      </c>
      <c r="AL1106" s="154" t="s">
        <v>621</v>
      </c>
      <c r="AM1106" s="154" t="s">
        <v>2426</v>
      </c>
      <c r="AN1106" s="154">
        <v>3</v>
      </c>
      <c r="AP1106" s="155"/>
      <c r="AQ1106" s="156"/>
      <c r="AR1106" s="157"/>
      <c r="AS1106" s="158"/>
      <c r="AT1106" s="159"/>
      <c r="AU1106" s="161"/>
      <c r="AV1106" s="156"/>
      <c r="AW1106" s="162"/>
      <c r="AX1106" s="163"/>
      <c r="AY1106" s="164"/>
      <c r="AZ1106" s="159"/>
      <c r="BA1106" s="161"/>
      <c r="BB1106" s="165"/>
      <c r="BF1106" s="155"/>
      <c r="BG1106" s="154" t="s">
        <v>4602</v>
      </c>
    </row>
    <row r="1107" spans="1:59" s="154" customFormat="1" ht="15" customHeight="1">
      <c r="A1107" s="168" t="s">
        <v>4078</v>
      </c>
      <c r="B1107" s="23" t="s">
        <v>4134</v>
      </c>
      <c r="C1107" s="23" t="s">
        <v>4080</v>
      </c>
      <c r="D1107" s="170">
        <v>125</v>
      </c>
      <c r="E1107" s="154">
        <v>1</v>
      </c>
      <c r="F1107" s="154" t="s">
        <v>4106</v>
      </c>
      <c r="G1107" s="154" t="s">
        <v>4135</v>
      </c>
      <c r="J1107" s="154" t="s">
        <v>621</v>
      </c>
      <c r="K1107" s="154" t="s">
        <v>2426</v>
      </c>
      <c r="L1107" s="154">
        <v>1</v>
      </c>
      <c r="N1107" s="155"/>
      <c r="O1107" s="156"/>
      <c r="P1107" s="157"/>
      <c r="Q1107" s="158"/>
      <c r="R1107" s="159"/>
      <c r="S1107" s="160"/>
      <c r="T1107" s="161"/>
      <c r="U1107" s="156"/>
      <c r="V1107" s="162"/>
      <c r="W1107" s="163"/>
      <c r="X1107" s="164"/>
      <c r="Y1107" s="159" t="s">
        <v>1073</v>
      </c>
      <c r="Z1107" s="161"/>
      <c r="AA1107" s="165"/>
      <c r="AE1107" s="155"/>
      <c r="AF1107" s="154" t="s">
        <v>4529</v>
      </c>
      <c r="AI1107" s="154" t="s">
        <v>4136</v>
      </c>
      <c r="AJ1107" s="154" t="s">
        <v>4137</v>
      </c>
      <c r="AK1107" s="154" t="s">
        <v>223</v>
      </c>
      <c r="AL1107" s="154" t="s">
        <v>257</v>
      </c>
      <c r="AM1107" s="154" t="s">
        <v>26</v>
      </c>
      <c r="AP1107" s="155"/>
      <c r="AQ1107" s="156"/>
      <c r="AR1107" s="157"/>
      <c r="AS1107" s="158"/>
      <c r="AT1107" s="159"/>
      <c r="AU1107" s="161"/>
      <c r="AV1107" s="156"/>
      <c r="AW1107" s="162"/>
      <c r="AX1107" s="163"/>
      <c r="AY1107" s="164"/>
      <c r="AZ1107" s="159"/>
      <c r="BA1107" s="161"/>
      <c r="BB1107" s="165"/>
      <c r="BE1107" s="154" t="s">
        <v>2737</v>
      </c>
      <c r="BF1107" s="155"/>
      <c r="BG1107" s="154" t="s">
        <v>4530</v>
      </c>
    </row>
    <row r="1108" spans="1:59" s="154" customFormat="1" ht="15" customHeight="1">
      <c r="A1108" s="168" t="s">
        <v>4078</v>
      </c>
      <c r="B1108" s="23" t="s">
        <v>4138</v>
      </c>
      <c r="C1108" s="23" t="s">
        <v>4080</v>
      </c>
      <c r="D1108" s="170">
        <v>126</v>
      </c>
      <c r="E1108" s="154">
        <v>1</v>
      </c>
      <c r="F1108" s="154" t="s">
        <v>4106</v>
      </c>
      <c r="G1108" s="154" t="s">
        <v>4139</v>
      </c>
      <c r="J1108" s="154" t="s">
        <v>621</v>
      </c>
      <c r="K1108" s="154" t="s">
        <v>2426</v>
      </c>
      <c r="L1108" s="154">
        <v>1</v>
      </c>
      <c r="N1108" s="155"/>
      <c r="O1108" s="156"/>
      <c r="P1108" s="157"/>
      <c r="Q1108" s="158"/>
      <c r="R1108" s="159"/>
      <c r="S1108" s="160"/>
      <c r="T1108" s="161"/>
      <c r="U1108" s="156"/>
      <c r="V1108" s="162"/>
      <c r="W1108" s="163"/>
      <c r="X1108" s="164"/>
      <c r="Y1108" s="159" t="s">
        <v>1073</v>
      </c>
      <c r="Z1108" s="161"/>
      <c r="AA1108" s="165"/>
      <c r="AE1108" s="155"/>
      <c r="AF1108" s="154" t="s">
        <v>4529</v>
      </c>
      <c r="AI1108" s="154" t="s">
        <v>4140</v>
      </c>
      <c r="AL1108" s="154" t="s">
        <v>31</v>
      </c>
      <c r="AM1108" s="154" t="s">
        <v>2426</v>
      </c>
      <c r="AP1108" s="155"/>
      <c r="AQ1108" s="156"/>
      <c r="AR1108" s="157"/>
      <c r="AS1108" s="158"/>
      <c r="AT1108" s="159"/>
      <c r="AU1108" s="161"/>
      <c r="AV1108" s="156"/>
      <c r="AW1108" s="162"/>
      <c r="AX1108" s="163"/>
      <c r="AY1108" s="164">
        <v>3</v>
      </c>
      <c r="AZ1108" s="159" t="s">
        <v>1111</v>
      </c>
      <c r="BA1108" s="161"/>
      <c r="BB1108" s="165">
        <v>1</v>
      </c>
      <c r="BE1108" s="154" t="s">
        <v>463</v>
      </c>
      <c r="BF1108" s="155"/>
      <c r="BG1108" s="154" t="s">
        <v>4531</v>
      </c>
    </row>
    <row r="1109" spans="1:59" s="154" customFormat="1" ht="15" customHeight="1">
      <c r="A1109" s="168" t="s">
        <v>4078</v>
      </c>
      <c r="B1109" s="23" t="s">
        <v>4141</v>
      </c>
      <c r="C1109" s="23" t="s">
        <v>4080</v>
      </c>
      <c r="D1109" s="170">
        <v>127</v>
      </c>
      <c r="E1109" s="154">
        <v>1</v>
      </c>
      <c r="F1109" s="154" t="s">
        <v>4106</v>
      </c>
      <c r="G1109" s="154" t="s">
        <v>4142</v>
      </c>
      <c r="J1109" s="154" t="s">
        <v>621</v>
      </c>
      <c r="K1109" s="154" t="s">
        <v>2426</v>
      </c>
      <c r="L1109" s="154">
        <v>2</v>
      </c>
      <c r="N1109" s="155"/>
      <c r="O1109" s="156"/>
      <c r="P1109" s="157"/>
      <c r="Q1109" s="158"/>
      <c r="R1109" s="159"/>
      <c r="S1109" s="160"/>
      <c r="T1109" s="161"/>
      <c r="U1109" s="156"/>
      <c r="V1109" s="162"/>
      <c r="W1109" s="163"/>
      <c r="X1109" s="164"/>
      <c r="Y1109" s="159" t="s">
        <v>1111</v>
      </c>
      <c r="Z1109" s="161"/>
      <c r="AA1109" s="165"/>
      <c r="AE1109" s="155"/>
      <c r="AF1109" s="154" t="s">
        <v>4532</v>
      </c>
      <c r="AI1109" s="154" t="s">
        <v>4603</v>
      </c>
      <c r="AL1109" s="154" t="s">
        <v>621</v>
      </c>
      <c r="AM1109" s="154" t="s">
        <v>2426</v>
      </c>
      <c r="AN1109" s="154">
        <v>2</v>
      </c>
      <c r="AP1109" s="155"/>
      <c r="AQ1109" s="156"/>
      <c r="AR1109" s="157"/>
      <c r="AS1109" s="158"/>
      <c r="AT1109" s="159"/>
      <c r="AU1109" s="161"/>
      <c r="AV1109" s="156"/>
      <c r="AW1109" s="162"/>
      <c r="AX1109" s="163"/>
      <c r="AY1109" s="164"/>
      <c r="AZ1109" s="159"/>
      <c r="BA1109" s="161"/>
      <c r="BB1109" s="165"/>
      <c r="BF1109" s="155"/>
      <c r="BG1109" s="154" t="s">
        <v>4533</v>
      </c>
    </row>
    <row r="1110" spans="1:59" s="154" customFormat="1" ht="15" customHeight="1">
      <c r="A1110" s="168" t="s">
        <v>4078</v>
      </c>
      <c r="B1110" s="23" t="s">
        <v>4143</v>
      </c>
      <c r="C1110" s="23" t="s">
        <v>4080</v>
      </c>
      <c r="D1110" s="170">
        <v>128</v>
      </c>
      <c r="E1110" s="154">
        <v>1</v>
      </c>
      <c r="F1110" s="154" t="s">
        <v>4106</v>
      </c>
      <c r="G1110" s="154" t="s">
        <v>4142</v>
      </c>
      <c r="J1110" s="154" t="s">
        <v>621</v>
      </c>
      <c r="K1110" s="154" t="s">
        <v>2426</v>
      </c>
      <c r="L1110" s="154">
        <v>2</v>
      </c>
      <c r="N1110" s="155"/>
      <c r="O1110" s="156"/>
      <c r="P1110" s="157"/>
      <c r="Q1110" s="158"/>
      <c r="R1110" s="159"/>
      <c r="S1110" s="160"/>
      <c r="T1110" s="161"/>
      <c r="U1110" s="156"/>
      <c r="V1110" s="162"/>
      <c r="W1110" s="163"/>
      <c r="X1110" s="164"/>
      <c r="Y1110" s="159" t="s">
        <v>1111</v>
      </c>
      <c r="Z1110" s="161"/>
      <c r="AA1110" s="165"/>
      <c r="AE1110" s="155"/>
      <c r="AF1110" s="154" t="s">
        <v>4532</v>
      </c>
      <c r="AI1110" s="154" t="s">
        <v>4144</v>
      </c>
      <c r="AL1110" s="154" t="s">
        <v>31</v>
      </c>
      <c r="AM1110" s="154" t="s">
        <v>2426</v>
      </c>
      <c r="AP1110" s="155"/>
      <c r="AQ1110" s="156"/>
      <c r="AR1110" s="157"/>
      <c r="AS1110" s="158"/>
      <c r="AT1110" s="159"/>
      <c r="AU1110" s="161"/>
      <c r="AV1110" s="156"/>
      <c r="AW1110" s="162"/>
      <c r="AX1110" s="163"/>
      <c r="AY1110" s="164">
        <v>3</v>
      </c>
      <c r="AZ1110" s="159" t="s">
        <v>1073</v>
      </c>
      <c r="BA1110" s="161"/>
      <c r="BB1110" s="165"/>
      <c r="BE1110" s="154" t="s">
        <v>463</v>
      </c>
      <c r="BF1110" s="155"/>
      <c r="BG1110" s="154" t="s">
        <v>4534</v>
      </c>
    </row>
    <row r="1111" spans="1:59" s="154" customFormat="1" ht="15" customHeight="1">
      <c r="A1111" s="168" t="s">
        <v>4078</v>
      </c>
      <c r="B1111" s="23" t="s">
        <v>4145</v>
      </c>
      <c r="C1111" s="23" t="s">
        <v>4080</v>
      </c>
      <c r="D1111" s="170">
        <v>129</v>
      </c>
      <c r="E1111" s="154">
        <v>1</v>
      </c>
      <c r="F1111" s="154" t="s">
        <v>4106</v>
      </c>
      <c r="G1111" s="154" t="s">
        <v>4146</v>
      </c>
      <c r="J1111" s="154" t="s">
        <v>621</v>
      </c>
      <c r="K1111" s="154" t="s">
        <v>2426</v>
      </c>
      <c r="L1111" s="154">
        <v>2</v>
      </c>
      <c r="N1111" s="155"/>
      <c r="O1111" s="156"/>
      <c r="P1111" s="157"/>
      <c r="Q1111" s="158"/>
      <c r="R1111" s="159"/>
      <c r="S1111" s="160"/>
      <c r="T1111" s="161"/>
      <c r="U1111" s="156"/>
      <c r="V1111" s="162"/>
      <c r="W1111" s="163"/>
      <c r="X1111" s="164"/>
      <c r="Y1111" s="159" t="s">
        <v>38</v>
      </c>
      <c r="Z1111" s="161"/>
      <c r="AA1111" s="165"/>
      <c r="AE1111" s="155"/>
      <c r="AF1111" s="154" t="s">
        <v>4604</v>
      </c>
      <c r="AI1111" s="154" t="s">
        <v>4605</v>
      </c>
      <c r="AL1111" s="154" t="s">
        <v>621</v>
      </c>
      <c r="AM1111" s="154" t="s">
        <v>2426</v>
      </c>
      <c r="AN1111" s="154">
        <v>2</v>
      </c>
      <c r="AP1111" s="155"/>
      <c r="AQ1111" s="156"/>
      <c r="AR1111" s="157"/>
      <c r="AS1111" s="158"/>
      <c r="AT1111" s="159"/>
      <c r="AU1111" s="161"/>
      <c r="AV1111" s="156"/>
      <c r="AW1111" s="162"/>
      <c r="AX1111" s="163"/>
      <c r="AY1111" s="164"/>
      <c r="AZ1111" s="159"/>
      <c r="BA1111" s="161"/>
      <c r="BB1111" s="165"/>
      <c r="BF1111" s="155"/>
      <c r="BG1111" s="154" t="s">
        <v>4535</v>
      </c>
    </row>
    <row r="1112" spans="1:59" s="154" customFormat="1" ht="15" customHeight="1">
      <c r="A1112" s="168" t="s">
        <v>4078</v>
      </c>
      <c r="B1112" s="23" t="s">
        <v>4147</v>
      </c>
      <c r="C1112" s="23" t="s">
        <v>4080</v>
      </c>
      <c r="D1112" s="170">
        <v>130</v>
      </c>
      <c r="E1112" s="154">
        <v>1</v>
      </c>
      <c r="F1112" s="154" t="s">
        <v>4106</v>
      </c>
      <c r="G1112" s="154" t="s">
        <v>4146</v>
      </c>
      <c r="J1112" s="154" t="s">
        <v>621</v>
      </c>
      <c r="K1112" s="154" t="s">
        <v>2426</v>
      </c>
      <c r="L1112" s="154">
        <v>2</v>
      </c>
      <c r="N1112" s="155"/>
      <c r="O1112" s="156"/>
      <c r="P1112" s="157"/>
      <c r="Q1112" s="158"/>
      <c r="R1112" s="159"/>
      <c r="S1112" s="160"/>
      <c r="T1112" s="161"/>
      <c r="U1112" s="156"/>
      <c r="V1112" s="162"/>
      <c r="W1112" s="163"/>
      <c r="X1112" s="164"/>
      <c r="Y1112" s="159" t="s">
        <v>38</v>
      </c>
      <c r="Z1112" s="161"/>
      <c r="AA1112" s="165"/>
      <c r="AE1112" s="155"/>
      <c r="AF1112" s="154" t="s">
        <v>4604</v>
      </c>
      <c r="AI1112" s="154" t="s">
        <v>4136</v>
      </c>
      <c r="AJ1112" s="154" t="s">
        <v>4148</v>
      </c>
      <c r="AK1112" s="154" t="s">
        <v>223</v>
      </c>
      <c r="AL1112" s="154" t="s">
        <v>29</v>
      </c>
      <c r="AM1112" s="154" t="s">
        <v>2426</v>
      </c>
      <c r="AP1112" s="155"/>
      <c r="AQ1112" s="156"/>
      <c r="AR1112" s="157"/>
      <c r="AS1112" s="158">
        <v>4</v>
      </c>
      <c r="AT1112" s="159">
        <v>2</v>
      </c>
      <c r="AU1112" s="161">
        <v>3</v>
      </c>
      <c r="AV1112" s="156"/>
      <c r="AW1112" s="162">
        <v>1</v>
      </c>
      <c r="AX1112" s="163">
        <v>1</v>
      </c>
      <c r="AY1112" s="164"/>
      <c r="AZ1112" s="159"/>
      <c r="BA1112" s="161"/>
      <c r="BB1112" s="165">
        <v>1</v>
      </c>
      <c r="BE1112" s="154" t="s">
        <v>4149</v>
      </c>
      <c r="BF1112" s="155"/>
      <c r="BG1112" s="154" t="s">
        <v>4536</v>
      </c>
    </row>
    <row r="1113" spans="1:59" s="154" customFormat="1" ht="15" customHeight="1">
      <c r="A1113" s="168" t="s">
        <v>4078</v>
      </c>
      <c r="B1113" s="23" t="s">
        <v>4150</v>
      </c>
      <c r="C1113" s="23" t="s">
        <v>4080</v>
      </c>
      <c r="D1113" s="170">
        <v>131</v>
      </c>
      <c r="E1113" s="154">
        <v>1</v>
      </c>
      <c r="F1113" s="154" t="s">
        <v>4106</v>
      </c>
      <c r="G1113" s="154" t="s">
        <v>4537</v>
      </c>
      <c r="J1113" s="154" t="s">
        <v>621</v>
      </c>
      <c r="K1113" s="154" t="s">
        <v>2426</v>
      </c>
      <c r="L1113" s="154">
        <v>3</v>
      </c>
      <c r="N1113" s="155"/>
      <c r="O1113" s="156"/>
      <c r="P1113" s="157"/>
      <c r="Q1113" s="158"/>
      <c r="R1113" s="159"/>
      <c r="S1113" s="160"/>
      <c r="T1113" s="161"/>
      <c r="U1113" s="156"/>
      <c r="V1113" s="162"/>
      <c r="W1113" s="163"/>
      <c r="X1113" s="164"/>
      <c r="Y1113" s="159" t="s">
        <v>38</v>
      </c>
      <c r="Z1113" s="161"/>
      <c r="AA1113" s="165"/>
      <c r="AE1113" s="155"/>
      <c r="AF1113" s="154" t="s">
        <v>4538</v>
      </c>
      <c r="AI1113" s="154" t="s">
        <v>4606</v>
      </c>
      <c r="AL1113" s="154" t="s">
        <v>621</v>
      </c>
      <c r="AM1113" s="154" t="s">
        <v>2426</v>
      </c>
      <c r="AN1113" s="154">
        <v>3</v>
      </c>
      <c r="AP1113" s="155"/>
      <c r="AQ1113" s="156"/>
      <c r="AR1113" s="157"/>
      <c r="AS1113" s="158"/>
      <c r="AT1113" s="159"/>
      <c r="AU1113" s="161"/>
      <c r="AV1113" s="156"/>
      <c r="AW1113" s="162"/>
      <c r="AX1113" s="163"/>
      <c r="AY1113" s="164"/>
      <c r="AZ1113" s="159"/>
      <c r="BA1113" s="161"/>
      <c r="BB1113" s="165"/>
      <c r="BF1113" s="155"/>
      <c r="BG1113" s="154" t="s">
        <v>4607</v>
      </c>
    </row>
    <row r="1114" spans="1:59" s="154" customFormat="1" ht="15" customHeight="1">
      <c r="A1114" s="168" t="s">
        <v>4078</v>
      </c>
      <c r="B1114" s="23" t="s">
        <v>4151</v>
      </c>
      <c r="C1114" s="23" t="s">
        <v>4080</v>
      </c>
      <c r="D1114" s="170">
        <v>132</v>
      </c>
      <c r="E1114" s="154">
        <v>1</v>
      </c>
      <c r="F1114" s="154" t="s">
        <v>4106</v>
      </c>
      <c r="G1114" s="154" t="s">
        <v>4539</v>
      </c>
      <c r="J1114" s="154" t="s">
        <v>621</v>
      </c>
      <c r="K1114" s="154" t="s">
        <v>2426</v>
      </c>
      <c r="L1114" s="154">
        <v>3</v>
      </c>
      <c r="N1114" s="155"/>
      <c r="O1114" s="156"/>
      <c r="P1114" s="157"/>
      <c r="Q1114" s="158"/>
      <c r="R1114" s="159"/>
      <c r="S1114" s="160"/>
      <c r="T1114" s="161"/>
      <c r="U1114" s="156"/>
      <c r="V1114" s="162"/>
      <c r="W1114" s="163"/>
      <c r="X1114" s="164"/>
      <c r="Y1114" s="159" t="s">
        <v>38</v>
      </c>
      <c r="Z1114" s="161"/>
      <c r="AA1114" s="165"/>
      <c r="AE1114" s="155"/>
      <c r="AF1114" s="154" t="s">
        <v>4608</v>
      </c>
      <c r="AI1114" s="154" t="s">
        <v>4609</v>
      </c>
      <c r="AL1114" s="154" t="s">
        <v>621</v>
      </c>
      <c r="AM1114" s="154" t="s">
        <v>2426</v>
      </c>
      <c r="AN1114" s="154">
        <v>3</v>
      </c>
      <c r="AP1114" s="155"/>
      <c r="AQ1114" s="156"/>
      <c r="AR1114" s="157"/>
      <c r="AS1114" s="158"/>
      <c r="AT1114" s="159"/>
      <c r="AU1114" s="161"/>
      <c r="AV1114" s="156"/>
      <c r="AW1114" s="162"/>
      <c r="AX1114" s="163"/>
      <c r="AY1114" s="164"/>
      <c r="AZ1114" s="159"/>
      <c r="BA1114" s="161"/>
      <c r="BB1114" s="165"/>
      <c r="BF1114" s="155"/>
      <c r="BG1114" s="154" t="s">
        <v>4610</v>
      </c>
    </row>
    <row r="1115" spans="1:59" s="154" customFormat="1" ht="15" customHeight="1">
      <c r="A1115" s="168" t="s">
        <v>4078</v>
      </c>
      <c r="B1115" s="23" t="s">
        <v>4152</v>
      </c>
      <c r="C1115" s="23" t="s">
        <v>4080</v>
      </c>
      <c r="D1115" s="170">
        <v>133</v>
      </c>
      <c r="E1115" s="154">
        <v>1</v>
      </c>
      <c r="F1115" s="154" t="s">
        <v>4106</v>
      </c>
      <c r="G1115" s="154" t="s">
        <v>4153</v>
      </c>
      <c r="J1115" s="154" t="s">
        <v>621</v>
      </c>
      <c r="K1115" s="154" t="s">
        <v>2426</v>
      </c>
      <c r="L1115" s="154">
        <v>1</v>
      </c>
      <c r="N1115" s="155"/>
      <c r="O1115" s="156"/>
      <c r="P1115" s="157"/>
      <c r="Q1115" s="158"/>
      <c r="R1115" s="159"/>
      <c r="S1115" s="160"/>
      <c r="T1115" s="161"/>
      <c r="U1115" s="156"/>
      <c r="V1115" s="162"/>
      <c r="W1115" s="163"/>
      <c r="X1115" s="164"/>
      <c r="Y1115" s="159" t="s">
        <v>1111</v>
      </c>
      <c r="Z1115" s="161"/>
      <c r="AA1115" s="165"/>
      <c r="AF1115" s="154" t="s">
        <v>4540</v>
      </c>
      <c r="AI1115" s="154" t="s">
        <v>4154</v>
      </c>
      <c r="AL1115" s="154" t="s">
        <v>31</v>
      </c>
      <c r="AM1115" s="154" t="s">
        <v>2426</v>
      </c>
      <c r="AP1115" s="155"/>
      <c r="AQ1115" s="156"/>
      <c r="AR1115" s="157"/>
      <c r="AS1115" s="158"/>
      <c r="AT1115" s="159"/>
      <c r="AU1115" s="161"/>
      <c r="AV1115" s="156"/>
      <c r="AW1115" s="162"/>
      <c r="AX1115" s="163"/>
      <c r="AY1115" s="164">
        <v>3</v>
      </c>
      <c r="AZ1115" s="159" t="s">
        <v>1111</v>
      </c>
      <c r="BA1115" s="161"/>
      <c r="BB1115" s="165">
        <v>1</v>
      </c>
      <c r="BE1115" s="154" t="s">
        <v>819</v>
      </c>
      <c r="BF1115" s="155"/>
      <c r="BG1115" s="154" t="s">
        <v>4541</v>
      </c>
    </row>
    <row r="1116" spans="1:59" s="154" customFormat="1" ht="15" customHeight="1">
      <c r="A1116" s="168" t="s">
        <v>4078</v>
      </c>
      <c r="B1116" s="23" t="s">
        <v>4155</v>
      </c>
      <c r="C1116" s="23" t="s">
        <v>4080</v>
      </c>
      <c r="D1116" s="170">
        <v>134</v>
      </c>
      <c r="E1116" s="154">
        <v>1</v>
      </c>
      <c r="F1116" s="154" t="s">
        <v>4106</v>
      </c>
      <c r="G1116" s="154" t="s">
        <v>4156</v>
      </c>
      <c r="J1116" s="154" t="s">
        <v>621</v>
      </c>
      <c r="K1116" s="154" t="s">
        <v>2426</v>
      </c>
      <c r="L1116" s="154">
        <v>1</v>
      </c>
      <c r="N1116" s="155"/>
      <c r="O1116" s="156"/>
      <c r="P1116" s="157"/>
      <c r="Q1116" s="158"/>
      <c r="R1116" s="159"/>
      <c r="S1116" s="160"/>
      <c r="T1116" s="161"/>
      <c r="U1116" s="156"/>
      <c r="V1116" s="162"/>
      <c r="W1116" s="163"/>
      <c r="X1116" s="164"/>
      <c r="Y1116" s="159" t="s">
        <v>1073</v>
      </c>
      <c r="Z1116" s="161"/>
      <c r="AA1116" s="165"/>
      <c r="AE1116" s="155"/>
      <c r="AF1116" s="154" t="s">
        <v>4542</v>
      </c>
      <c r="AI1116" s="154" t="s">
        <v>4157</v>
      </c>
      <c r="AJ1116" s="154" t="s">
        <v>4158</v>
      </c>
      <c r="AK1116" s="154" t="s">
        <v>223</v>
      </c>
      <c r="AL1116" s="154" t="s">
        <v>257</v>
      </c>
      <c r="AM1116" s="154" t="s">
        <v>26</v>
      </c>
      <c r="AP1116" s="155"/>
      <c r="AQ1116" s="156"/>
      <c r="AR1116" s="157"/>
      <c r="AS1116" s="158"/>
      <c r="AT1116" s="159"/>
      <c r="AU1116" s="161"/>
      <c r="AV1116" s="156"/>
      <c r="AW1116" s="162"/>
      <c r="AX1116" s="163"/>
      <c r="AY1116" s="164"/>
      <c r="AZ1116" s="159"/>
      <c r="BA1116" s="161"/>
      <c r="BB1116" s="165"/>
      <c r="BE1116" s="154" t="s">
        <v>2737</v>
      </c>
      <c r="BF1116" s="155"/>
      <c r="BG1116" s="154" t="s">
        <v>4543</v>
      </c>
    </row>
    <row r="1117" spans="1:59" s="154" customFormat="1" ht="15" customHeight="1">
      <c r="A1117" s="168" t="s">
        <v>4078</v>
      </c>
      <c r="B1117" s="23" t="s">
        <v>4159</v>
      </c>
      <c r="C1117" s="23" t="s">
        <v>4080</v>
      </c>
      <c r="D1117" s="170">
        <v>135</v>
      </c>
      <c r="E1117" s="154">
        <v>1</v>
      </c>
      <c r="F1117" s="154" t="s">
        <v>4106</v>
      </c>
      <c r="G1117" s="154" t="s">
        <v>4160</v>
      </c>
      <c r="J1117" s="154" t="s">
        <v>621</v>
      </c>
      <c r="K1117" s="154" t="s">
        <v>2426</v>
      </c>
      <c r="L1117" s="154">
        <v>2</v>
      </c>
      <c r="N1117" s="155"/>
      <c r="O1117" s="156"/>
      <c r="P1117" s="157"/>
      <c r="Q1117" s="158"/>
      <c r="R1117" s="159"/>
      <c r="S1117" s="160"/>
      <c r="T1117" s="161"/>
      <c r="U1117" s="156"/>
      <c r="V1117" s="162"/>
      <c r="W1117" s="163"/>
      <c r="X1117" s="164"/>
      <c r="Y1117" s="159" t="s">
        <v>1111</v>
      </c>
      <c r="Z1117" s="161"/>
      <c r="AA1117" s="165"/>
      <c r="AE1117" s="155"/>
      <c r="AF1117" s="154" t="s">
        <v>4544</v>
      </c>
      <c r="AI1117" s="154" t="s">
        <v>4611</v>
      </c>
      <c r="AL1117" s="154" t="s">
        <v>621</v>
      </c>
      <c r="AM1117" s="154" t="s">
        <v>2426</v>
      </c>
      <c r="AN1117" s="154">
        <v>2</v>
      </c>
      <c r="AP1117" s="155"/>
      <c r="AQ1117" s="156"/>
      <c r="AR1117" s="157"/>
      <c r="AS1117" s="158"/>
      <c r="AT1117" s="159"/>
      <c r="AU1117" s="161"/>
      <c r="AV1117" s="156"/>
      <c r="AW1117" s="162"/>
      <c r="AX1117" s="163"/>
      <c r="AY1117" s="164"/>
      <c r="AZ1117" s="159"/>
      <c r="BA1117" s="161"/>
      <c r="BB1117" s="165"/>
      <c r="BF1117" s="155"/>
      <c r="BG1117" s="154" t="s">
        <v>4617</v>
      </c>
    </row>
    <row r="1118" spans="1:59" s="154" customFormat="1" ht="15" customHeight="1">
      <c r="A1118" s="168" t="s">
        <v>4078</v>
      </c>
      <c r="B1118" s="23" t="s">
        <v>4161</v>
      </c>
      <c r="C1118" s="23" t="s">
        <v>4080</v>
      </c>
      <c r="D1118" s="170">
        <v>136</v>
      </c>
      <c r="E1118" s="154">
        <v>1</v>
      </c>
      <c r="F1118" s="154" t="s">
        <v>4106</v>
      </c>
      <c r="G1118" s="154" t="s">
        <v>4160</v>
      </c>
      <c r="J1118" s="154" t="s">
        <v>621</v>
      </c>
      <c r="K1118" s="154" t="s">
        <v>2426</v>
      </c>
      <c r="L1118" s="154">
        <v>2</v>
      </c>
      <c r="N1118" s="155"/>
      <c r="O1118" s="156"/>
      <c r="P1118" s="157"/>
      <c r="Q1118" s="158"/>
      <c r="R1118" s="159"/>
      <c r="S1118" s="160"/>
      <c r="T1118" s="161"/>
      <c r="U1118" s="156"/>
      <c r="V1118" s="162"/>
      <c r="W1118" s="163"/>
      <c r="X1118" s="164"/>
      <c r="Y1118" s="159" t="s">
        <v>1111</v>
      </c>
      <c r="Z1118" s="161"/>
      <c r="AA1118" s="165"/>
      <c r="AE1118" s="155"/>
      <c r="AF1118" s="154" t="s">
        <v>4544</v>
      </c>
      <c r="AI1118" s="171" t="s">
        <v>4612</v>
      </c>
      <c r="AJ1118" s="171"/>
      <c r="AL1118" s="154" t="s">
        <v>621</v>
      </c>
      <c r="AM1118" s="154" t="s">
        <v>2426</v>
      </c>
      <c r="AN1118" s="154">
        <v>2</v>
      </c>
      <c r="AO1118" s="155"/>
      <c r="AQ1118" s="173"/>
      <c r="AR1118" s="174"/>
      <c r="AS1118" s="175"/>
      <c r="AT1118" s="159"/>
      <c r="AU1118" s="161"/>
      <c r="AV1118" s="173"/>
      <c r="AW1118" s="176"/>
      <c r="AX1118" s="177"/>
      <c r="AY1118" s="178"/>
      <c r="AZ1118" s="159"/>
      <c r="BA1118" s="161"/>
      <c r="BB1118" s="160"/>
      <c r="BE1118" s="155"/>
      <c r="BG1118" s="154" t="s">
        <v>4545</v>
      </c>
    </row>
    <row r="1119" spans="1:59" s="154" customFormat="1" ht="15" customHeight="1">
      <c r="A1119" s="168" t="s">
        <v>4078</v>
      </c>
      <c r="B1119" s="23" t="s">
        <v>4162</v>
      </c>
      <c r="C1119" s="23" t="s">
        <v>4080</v>
      </c>
      <c r="D1119" s="170">
        <v>137</v>
      </c>
      <c r="E1119" s="154">
        <v>1</v>
      </c>
      <c r="F1119" s="154" t="s">
        <v>4106</v>
      </c>
      <c r="G1119" s="154" t="s">
        <v>4163</v>
      </c>
      <c r="J1119" s="154" t="s">
        <v>621</v>
      </c>
      <c r="K1119" s="154" t="s">
        <v>2426</v>
      </c>
      <c r="L1119" s="154">
        <v>2</v>
      </c>
      <c r="N1119" s="155"/>
      <c r="O1119" s="156"/>
      <c r="P1119" s="157"/>
      <c r="Q1119" s="158"/>
      <c r="R1119" s="159"/>
      <c r="S1119" s="160"/>
      <c r="T1119" s="161"/>
      <c r="U1119" s="156"/>
      <c r="V1119" s="162"/>
      <c r="W1119" s="163"/>
      <c r="X1119" s="164"/>
      <c r="Y1119" s="159" t="s">
        <v>38</v>
      </c>
      <c r="Z1119" s="161"/>
      <c r="AA1119" s="165"/>
      <c r="AE1119" s="155"/>
      <c r="AF1119" s="154" t="s">
        <v>4613</v>
      </c>
      <c r="AI1119" s="154" t="s">
        <v>4157</v>
      </c>
      <c r="AJ1119" s="154" t="s">
        <v>4164</v>
      </c>
      <c r="AK1119" s="154" t="s">
        <v>223</v>
      </c>
      <c r="AL1119" s="154" t="s">
        <v>29</v>
      </c>
      <c r="AM1119" s="154" t="s">
        <v>2426</v>
      </c>
      <c r="AP1119" s="155"/>
      <c r="AQ1119" s="156"/>
      <c r="AR1119" s="157"/>
      <c r="AS1119" s="158">
        <v>3</v>
      </c>
      <c r="AT1119" s="159">
        <v>2</v>
      </c>
      <c r="AU1119" s="161">
        <v>4</v>
      </c>
      <c r="AV1119" s="156"/>
      <c r="AW1119" s="162">
        <v>1</v>
      </c>
      <c r="AX1119" s="163">
        <v>1</v>
      </c>
      <c r="AY1119" s="164"/>
      <c r="AZ1119" s="159"/>
      <c r="BA1119" s="161"/>
      <c r="BB1119" s="165">
        <v>1</v>
      </c>
      <c r="BE1119" s="154" t="s">
        <v>4149</v>
      </c>
      <c r="BF1119" s="155"/>
      <c r="BG1119" s="154" t="s">
        <v>4546</v>
      </c>
    </row>
    <row r="1120" spans="1:59" s="154" customFormat="1" ht="15" customHeight="1">
      <c r="A1120" s="168" t="s">
        <v>4078</v>
      </c>
      <c r="B1120" s="23" t="s">
        <v>4165</v>
      </c>
      <c r="C1120" s="23" t="s">
        <v>4080</v>
      </c>
      <c r="D1120" s="170">
        <v>138</v>
      </c>
      <c r="E1120" s="154">
        <v>1</v>
      </c>
      <c r="F1120" s="154" t="s">
        <v>4106</v>
      </c>
      <c r="G1120" s="154" t="s">
        <v>4163</v>
      </c>
      <c r="J1120" s="154" t="s">
        <v>621</v>
      </c>
      <c r="K1120" s="154" t="s">
        <v>2426</v>
      </c>
      <c r="L1120" s="154">
        <v>2</v>
      </c>
      <c r="N1120" s="155"/>
      <c r="O1120" s="156"/>
      <c r="P1120" s="157"/>
      <c r="Q1120" s="158"/>
      <c r="R1120" s="159"/>
      <c r="S1120" s="160"/>
      <c r="T1120" s="161"/>
      <c r="U1120" s="156"/>
      <c r="V1120" s="162"/>
      <c r="W1120" s="163"/>
      <c r="X1120" s="164"/>
      <c r="Y1120" s="159" t="s">
        <v>38</v>
      </c>
      <c r="Z1120" s="161"/>
      <c r="AA1120" s="165"/>
      <c r="AE1120" s="155"/>
      <c r="AF1120" s="154" t="s">
        <v>4613</v>
      </c>
      <c r="AI1120" s="154" t="s">
        <v>4614</v>
      </c>
      <c r="AL1120" s="154" t="s">
        <v>621</v>
      </c>
      <c r="AM1120" s="154" t="s">
        <v>2426</v>
      </c>
      <c r="AN1120" s="154">
        <v>2</v>
      </c>
      <c r="AP1120" s="155"/>
      <c r="AQ1120" s="156"/>
      <c r="AR1120" s="157"/>
      <c r="AS1120" s="158"/>
      <c r="AT1120" s="159"/>
      <c r="AU1120" s="161"/>
      <c r="AV1120" s="156"/>
      <c r="AW1120" s="162"/>
      <c r="AX1120" s="163"/>
      <c r="AY1120" s="164"/>
      <c r="AZ1120" s="159"/>
      <c r="BA1120" s="161"/>
      <c r="BB1120" s="165"/>
      <c r="BF1120" s="155"/>
      <c r="BG1120" s="154" t="s">
        <v>4547</v>
      </c>
    </row>
    <row r="1121" spans="1:59" s="154" customFormat="1" ht="15" customHeight="1">
      <c r="A1121" s="168" t="s">
        <v>4078</v>
      </c>
      <c r="B1121" s="23" t="s">
        <v>4166</v>
      </c>
      <c r="C1121" s="23" t="s">
        <v>4080</v>
      </c>
      <c r="D1121" s="170">
        <v>139</v>
      </c>
      <c r="E1121" s="154">
        <v>1</v>
      </c>
      <c r="F1121" s="154" t="s">
        <v>4106</v>
      </c>
      <c r="G1121" s="154" t="s">
        <v>4167</v>
      </c>
      <c r="J1121" s="154" t="s">
        <v>621</v>
      </c>
      <c r="K1121" s="154" t="s">
        <v>2426</v>
      </c>
      <c r="L1121" s="154">
        <v>3</v>
      </c>
      <c r="N1121" s="155"/>
      <c r="O1121" s="156"/>
      <c r="P1121" s="157"/>
      <c r="Q1121" s="158"/>
      <c r="R1121" s="159"/>
      <c r="S1121" s="160"/>
      <c r="T1121" s="161"/>
      <c r="U1121" s="156"/>
      <c r="V1121" s="162"/>
      <c r="W1121" s="163"/>
      <c r="X1121" s="164"/>
      <c r="Y1121" s="159" t="s">
        <v>38</v>
      </c>
      <c r="Z1121" s="161"/>
      <c r="AA1121" s="165"/>
      <c r="AE1121" s="155"/>
      <c r="AF1121" s="154" t="s">
        <v>4548</v>
      </c>
      <c r="AI1121" s="154" t="s">
        <v>735</v>
      </c>
      <c r="AL1121" s="154" t="s">
        <v>621</v>
      </c>
      <c r="AM1121" s="154" t="s">
        <v>2426</v>
      </c>
      <c r="AN1121" s="154">
        <v>3</v>
      </c>
      <c r="AP1121" s="155"/>
      <c r="AQ1121" s="156"/>
      <c r="AR1121" s="157"/>
      <c r="AS1121" s="158"/>
      <c r="AT1121" s="159"/>
      <c r="AU1121" s="161"/>
      <c r="AV1121" s="156"/>
      <c r="AW1121" s="162"/>
      <c r="AX1121" s="163"/>
      <c r="AY1121" s="164"/>
      <c r="AZ1121" s="159"/>
      <c r="BA1121" s="161"/>
      <c r="BB1121" s="165"/>
      <c r="BF1121" s="155"/>
      <c r="BG1121" s="154" t="s">
        <v>4615</v>
      </c>
    </row>
    <row r="1122" spans="1:59" s="154" customFormat="1" ht="15" customHeight="1">
      <c r="A1122" s="168" t="s">
        <v>4078</v>
      </c>
      <c r="B1122" s="23" t="s">
        <v>4168</v>
      </c>
      <c r="C1122" s="23" t="s">
        <v>4080</v>
      </c>
      <c r="D1122" s="170">
        <v>140</v>
      </c>
      <c r="E1122" s="154">
        <v>1</v>
      </c>
      <c r="F1122" s="154" t="s">
        <v>4106</v>
      </c>
      <c r="G1122" s="154" t="s">
        <v>4169</v>
      </c>
      <c r="J1122" s="154" t="s">
        <v>621</v>
      </c>
      <c r="K1122" s="154" t="s">
        <v>2426</v>
      </c>
      <c r="L1122" s="154">
        <v>3</v>
      </c>
      <c r="N1122" s="155"/>
      <c r="O1122" s="156"/>
      <c r="P1122" s="157"/>
      <c r="Q1122" s="158"/>
      <c r="R1122" s="159"/>
      <c r="S1122" s="160"/>
      <c r="T1122" s="161"/>
      <c r="U1122" s="156"/>
      <c r="V1122" s="162"/>
      <c r="W1122" s="163"/>
      <c r="X1122" s="164"/>
      <c r="Y1122" s="159" t="s">
        <v>38</v>
      </c>
      <c r="Z1122" s="161"/>
      <c r="AA1122" s="165"/>
      <c r="AE1122" s="155"/>
      <c r="AF1122" s="154" t="s">
        <v>4616</v>
      </c>
      <c r="AI1122" s="154" t="s">
        <v>414</v>
      </c>
      <c r="AL1122" s="154" t="s">
        <v>621</v>
      </c>
      <c r="AM1122" s="154" t="s">
        <v>2426</v>
      </c>
      <c r="AN1122" s="154">
        <v>3</v>
      </c>
      <c r="AP1122" s="155"/>
      <c r="AQ1122" s="156"/>
      <c r="AR1122" s="157"/>
      <c r="AS1122" s="158"/>
      <c r="AT1122" s="159"/>
      <c r="AU1122" s="161"/>
      <c r="AV1122" s="156"/>
      <c r="AW1122" s="162"/>
      <c r="AX1122" s="163"/>
      <c r="AY1122" s="164"/>
      <c r="AZ1122" s="159"/>
      <c r="BA1122" s="161"/>
      <c r="BB1122" s="165"/>
      <c r="BF1122" s="155"/>
      <c r="BG1122" s="154" t="s">
        <v>4618</v>
      </c>
    </row>
    <row r="1123" spans="1:59" s="154" customFormat="1" ht="15" customHeight="1">
      <c r="A1123" s="168" t="s">
        <v>4078</v>
      </c>
      <c r="B1123" s="23" t="s">
        <v>4170</v>
      </c>
      <c r="C1123" s="23" t="s">
        <v>4080</v>
      </c>
      <c r="D1123" s="170">
        <v>141</v>
      </c>
      <c r="E1123" s="154">
        <v>1</v>
      </c>
      <c r="F1123" s="154" t="s">
        <v>4106</v>
      </c>
      <c r="G1123" s="154" t="s">
        <v>4171</v>
      </c>
      <c r="J1123" s="154" t="s">
        <v>31</v>
      </c>
      <c r="K1123" s="154" t="s">
        <v>2426</v>
      </c>
      <c r="N1123" s="155"/>
      <c r="O1123" s="156"/>
      <c r="P1123" s="157"/>
      <c r="Q1123" s="158"/>
      <c r="R1123" s="159"/>
      <c r="S1123" s="160"/>
      <c r="T1123" s="161"/>
      <c r="U1123" s="156"/>
      <c r="V1123" s="162"/>
      <c r="W1123" s="163"/>
      <c r="X1123" s="164"/>
      <c r="Y1123" s="159"/>
      <c r="Z1123" s="161"/>
      <c r="AA1123" s="165"/>
      <c r="AD1123" s="154" t="s">
        <v>463</v>
      </c>
      <c r="AE1123" s="155"/>
      <c r="AF1123" s="154" t="s">
        <v>4549</v>
      </c>
      <c r="AI1123" s="154" t="s">
        <v>4171</v>
      </c>
      <c r="AL1123" s="154" t="s">
        <v>31</v>
      </c>
      <c r="AM1123" s="154" t="s">
        <v>2426</v>
      </c>
      <c r="AP1123" s="155"/>
      <c r="AQ1123" s="156"/>
      <c r="AR1123" s="157"/>
      <c r="AS1123" s="158"/>
      <c r="AT1123" s="159"/>
      <c r="AU1123" s="161"/>
      <c r="AV1123" s="156"/>
      <c r="AW1123" s="162"/>
      <c r="AX1123" s="163"/>
      <c r="AY1123" s="164">
        <v>2</v>
      </c>
      <c r="AZ1123" s="159">
        <v>0</v>
      </c>
      <c r="BA1123" s="161"/>
      <c r="BB1123" s="165"/>
      <c r="BE1123" s="154" t="s">
        <v>463</v>
      </c>
      <c r="BF1123" s="155"/>
      <c r="BG1123" s="154" t="s">
        <v>4619</v>
      </c>
    </row>
    <row r="1124" spans="1:59" s="154" customFormat="1" ht="15" customHeight="1">
      <c r="A1124" s="168" t="s">
        <v>4078</v>
      </c>
      <c r="B1124" s="23" t="s">
        <v>4172</v>
      </c>
      <c r="C1124" s="23" t="s">
        <v>4080</v>
      </c>
      <c r="D1124" s="155">
        <v>142</v>
      </c>
      <c r="E1124" s="154">
        <v>1</v>
      </c>
      <c r="F1124" s="154" t="s">
        <v>4106</v>
      </c>
      <c r="G1124" s="154" t="s">
        <v>4173</v>
      </c>
      <c r="J1124" s="154" t="s">
        <v>31</v>
      </c>
      <c r="K1124" s="154" t="s">
        <v>2426</v>
      </c>
      <c r="N1124" s="155"/>
      <c r="O1124" s="156"/>
      <c r="P1124" s="157"/>
      <c r="Q1124" s="158"/>
      <c r="R1124" s="159"/>
      <c r="S1124" s="160"/>
      <c r="T1124" s="161"/>
      <c r="U1124" s="156"/>
      <c r="V1124" s="162"/>
      <c r="W1124" s="163"/>
      <c r="X1124" s="164"/>
      <c r="Y1124" s="159"/>
      <c r="Z1124" s="161"/>
      <c r="AA1124" s="165"/>
      <c r="AD1124" s="154" t="s">
        <v>463</v>
      </c>
      <c r="AE1124" s="155"/>
      <c r="AF1124" s="154" t="s">
        <v>4174</v>
      </c>
      <c r="AI1124" s="154" t="s">
        <v>4173</v>
      </c>
      <c r="AL1124" s="154" t="s">
        <v>31</v>
      </c>
      <c r="AM1124" s="154" t="s">
        <v>2426</v>
      </c>
      <c r="AP1124" s="155"/>
      <c r="AQ1124" s="156"/>
      <c r="AR1124" s="157"/>
      <c r="AS1124" s="158"/>
      <c r="AT1124" s="159"/>
      <c r="AU1124" s="161"/>
      <c r="AV1124" s="156"/>
      <c r="AW1124" s="162"/>
      <c r="AX1124" s="163"/>
      <c r="AY1124" s="164">
        <v>2</v>
      </c>
      <c r="AZ1124" s="159" t="s">
        <v>1111</v>
      </c>
      <c r="BA1124" s="161"/>
      <c r="BB1124" s="165">
        <v>1</v>
      </c>
      <c r="BE1124" s="154" t="s">
        <v>463</v>
      </c>
      <c r="BF1124" s="155"/>
      <c r="BG1124" s="154" t="s">
        <v>4620</v>
      </c>
    </row>
    <row r="1125" spans="1:59" s="154" customFormat="1" ht="15" customHeight="1">
      <c r="A1125" s="168" t="s">
        <v>4078</v>
      </c>
      <c r="B1125" s="23" t="s">
        <v>4175</v>
      </c>
      <c r="C1125" s="23" t="s">
        <v>4080</v>
      </c>
      <c r="D1125" s="155">
        <v>143</v>
      </c>
      <c r="E1125" s="154">
        <v>1</v>
      </c>
      <c r="F1125" s="154" t="s">
        <v>4106</v>
      </c>
      <c r="G1125" s="154" t="s">
        <v>4176</v>
      </c>
      <c r="J1125" s="154" t="s">
        <v>31</v>
      </c>
      <c r="K1125" s="154" t="s">
        <v>2426</v>
      </c>
      <c r="N1125" s="155"/>
      <c r="O1125" s="156"/>
      <c r="P1125" s="157"/>
      <c r="Q1125" s="158"/>
      <c r="R1125" s="159"/>
      <c r="S1125" s="160"/>
      <c r="T1125" s="161"/>
      <c r="U1125" s="156"/>
      <c r="V1125" s="162"/>
      <c r="W1125" s="163"/>
      <c r="X1125" s="164"/>
      <c r="Y1125" s="159"/>
      <c r="Z1125" s="161"/>
      <c r="AA1125" s="165"/>
      <c r="AD1125" s="154" t="s">
        <v>463</v>
      </c>
      <c r="AE1125" s="155"/>
      <c r="AF1125" s="154" t="s">
        <v>4177</v>
      </c>
      <c r="AI1125" s="154" t="s">
        <v>4176</v>
      </c>
      <c r="AL1125" s="154" t="s">
        <v>31</v>
      </c>
      <c r="AM1125" s="154" t="s">
        <v>2426</v>
      </c>
      <c r="AP1125" s="155"/>
      <c r="AQ1125" s="156"/>
      <c r="AR1125" s="157"/>
      <c r="AS1125" s="158"/>
      <c r="AT1125" s="159"/>
      <c r="AU1125" s="161"/>
      <c r="AV1125" s="156"/>
      <c r="AW1125" s="162"/>
      <c r="AX1125" s="163"/>
      <c r="AY1125" s="164">
        <v>4</v>
      </c>
      <c r="AZ1125" s="159" t="s">
        <v>1073</v>
      </c>
      <c r="BA1125" s="161"/>
      <c r="BB1125" s="165">
        <v>1</v>
      </c>
      <c r="BE1125" s="154" t="s">
        <v>463</v>
      </c>
      <c r="BF1125" s="155"/>
      <c r="BG1125" s="154" t="s">
        <v>4621</v>
      </c>
    </row>
    <row r="1126" spans="1:59" s="154" customFormat="1" ht="15" customHeight="1">
      <c r="A1126" s="168" t="s">
        <v>4078</v>
      </c>
      <c r="B1126" s="23" t="s">
        <v>4178</v>
      </c>
      <c r="C1126" s="23" t="s">
        <v>4080</v>
      </c>
      <c r="D1126" s="155">
        <v>144</v>
      </c>
      <c r="E1126" s="154">
        <v>3</v>
      </c>
      <c r="F1126" s="154" t="s">
        <v>4106</v>
      </c>
      <c r="G1126" s="154" t="s">
        <v>4179</v>
      </c>
      <c r="J1126" s="154" t="s">
        <v>28</v>
      </c>
      <c r="K1126" s="154" t="s">
        <v>2426</v>
      </c>
      <c r="N1126" s="155"/>
      <c r="O1126" s="156"/>
      <c r="P1126" s="157"/>
      <c r="Q1126" s="158"/>
      <c r="R1126" s="159"/>
      <c r="S1126" s="160"/>
      <c r="T1126" s="161"/>
      <c r="U1126" s="156"/>
      <c r="V1126" s="162"/>
      <c r="W1126" s="163"/>
      <c r="X1126" s="164"/>
      <c r="Y1126" s="159"/>
      <c r="Z1126" s="161"/>
      <c r="AA1126" s="165"/>
      <c r="AD1126" s="154" t="s">
        <v>1196</v>
      </c>
      <c r="AE1126" s="155"/>
      <c r="AF1126" s="154" t="s">
        <v>4550</v>
      </c>
      <c r="AP1126" s="155"/>
      <c r="AQ1126" s="156"/>
      <c r="AR1126" s="157"/>
      <c r="AS1126" s="158"/>
      <c r="AT1126" s="159"/>
      <c r="AU1126" s="161"/>
      <c r="AV1126" s="156"/>
      <c r="AW1126" s="162"/>
      <c r="AX1126" s="163"/>
      <c r="AY1126" s="164"/>
      <c r="AZ1126" s="159"/>
      <c r="BA1126" s="161"/>
      <c r="BB1126" s="165"/>
      <c r="BF1126" s="155"/>
    </row>
    <row r="1127" spans="1:59" s="154" customFormat="1" ht="15" customHeight="1">
      <c r="A1127" s="168" t="s">
        <v>4078</v>
      </c>
      <c r="B1127" s="23" t="s">
        <v>4180</v>
      </c>
      <c r="C1127" s="23" t="s">
        <v>4080</v>
      </c>
      <c r="D1127" s="155">
        <v>145</v>
      </c>
      <c r="E1127" s="154">
        <v>2</v>
      </c>
      <c r="F1127" s="154" t="s">
        <v>4106</v>
      </c>
      <c r="G1127" s="154" t="s">
        <v>4181</v>
      </c>
      <c r="J1127" s="154" t="s">
        <v>28</v>
      </c>
      <c r="K1127" s="154" t="s">
        <v>2426</v>
      </c>
      <c r="N1127" s="155"/>
      <c r="O1127" s="156"/>
      <c r="P1127" s="157"/>
      <c r="Q1127" s="158"/>
      <c r="R1127" s="159"/>
      <c r="S1127" s="160"/>
      <c r="T1127" s="161"/>
      <c r="U1127" s="156"/>
      <c r="V1127" s="162"/>
      <c r="W1127" s="163"/>
      <c r="X1127" s="164"/>
      <c r="Y1127" s="159"/>
      <c r="Z1127" s="161"/>
      <c r="AA1127" s="165"/>
      <c r="AD1127" s="154" t="s">
        <v>4182</v>
      </c>
      <c r="AE1127" s="155"/>
      <c r="AF1127" s="154" t="s">
        <v>4551</v>
      </c>
      <c r="AP1127" s="155"/>
      <c r="AQ1127" s="156"/>
      <c r="AR1127" s="157"/>
      <c r="AS1127" s="158"/>
      <c r="AT1127" s="159"/>
      <c r="AU1127" s="161"/>
      <c r="AV1127" s="156"/>
      <c r="AW1127" s="162"/>
      <c r="AX1127" s="163"/>
      <c r="AY1127" s="164"/>
      <c r="AZ1127" s="159"/>
      <c r="BA1127" s="161"/>
      <c r="BB1127" s="165"/>
      <c r="BF1127" s="155"/>
    </row>
    <row r="1128" spans="1:59" s="154" customFormat="1" ht="15" customHeight="1">
      <c r="A1128" s="168" t="s">
        <v>4078</v>
      </c>
      <c r="B1128" s="23" t="s">
        <v>4183</v>
      </c>
      <c r="C1128" s="23" t="s">
        <v>4080</v>
      </c>
      <c r="D1128" s="155">
        <v>146</v>
      </c>
      <c r="E1128" s="154">
        <v>2</v>
      </c>
      <c r="F1128" s="154" t="s">
        <v>4106</v>
      </c>
      <c r="G1128" s="154" t="s">
        <v>4184</v>
      </c>
      <c r="J1128" s="154" t="s">
        <v>28</v>
      </c>
      <c r="K1128" s="154" t="s">
        <v>2426</v>
      </c>
      <c r="N1128" s="155"/>
      <c r="O1128" s="156"/>
      <c r="P1128" s="157"/>
      <c r="Q1128" s="158"/>
      <c r="R1128" s="159"/>
      <c r="S1128" s="160"/>
      <c r="T1128" s="161"/>
      <c r="U1128" s="156"/>
      <c r="V1128" s="162"/>
      <c r="W1128" s="163"/>
      <c r="X1128" s="164"/>
      <c r="Y1128" s="159"/>
      <c r="Z1128" s="161"/>
      <c r="AA1128" s="165"/>
      <c r="AD1128" s="154" t="s">
        <v>486</v>
      </c>
      <c r="AE1128" s="155"/>
      <c r="AF1128" s="154" t="s">
        <v>4622</v>
      </c>
      <c r="AJ1128" s="171"/>
      <c r="AP1128" s="155"/>
      <c r="AQ1128" s="156"/>
      <c r="AR1128" s="157"/>
      <c r="AS1128" s="158"/>
      <c r="AT1128" s="159"/>
      <c r="AU1128" s="161"/>
      <c r="AV1128" s="156"/>
      <c r="AW1128" s="162"/>
      <c r="AX1128" s="163"/>
      <c r="AY1128" s="164"/>
      <c r="AZ1128" s="159"/>
      <c r="BA1128" s="161"/>
      <c r="BB1128" s="165"/>
      <c r="BF1128" s="155"/>
    </row>
    <row r="1129" spans="1:59" s="154" customFormat="1" ht="15" customHeight="1">
      <c r="A1129" s="168" t="s">
        <v>4078</v>
      </c>
      <c r="B1129" s="23" t="s">
        <v>4185</v>
      </c>
      <c r="C1129" s="23" t="s">
        <v>4080</v>
      </c>
      <c r="D1129" s="155">
        <v>147</v>
      </c>
      <c r="E1129" s="154">
        <v>1</v>
      </c>
      <c r="F1129" s="154" t="s">
        <v>4106</v>
      </c>
      <c r="G1129" s="154" t="s">
        <v>3955</v>
      </c>
      <c r="H1129" s="154" t="s">
        <v>4552</v>
      </c>
      <c r="I1129" s="154" t="s">
        <v>223</v>
      </c>
      <c r="J1129" s="154" t="s">
        <v>257</v>
      </c>
      <c r="K1129" s="154" t="s">
        <v>26</v>
      </c>
      <c r="N1129" s="155">
        <v>4</v>
      </c>
      <c r="O1129" s="156"/>
      <c r="P1129" s="157"/>
      <c r="Q1129" s="158">
        <v>1</v>
      </c>
      <c r="R1129" s="159">
        <v>1</v>
      </c>
      <c r="S1129" s="160">
        <v>1</v>
      </c>
      <c r="T1129" s="161">
        <v>3</v>
      </c>
      <c r="U1129" s="156">
        <v>2</v>
      </c>
      <c r="V1129" s="162"/>
      <c r="W1129" s="163"/>
      <c r="X1129" s="164"/>
      <c r="Y1129" s="159"/>
      <c r="Z1129" s="161"/>
      <c r="AA1129" s="165"/>
      <c r="AB1129" s="154" t="s">
        <v>1078</v>
      </c>
      <c r="AC1129" s="154" t="s">
        <v>25</v>
      </c>
      <c r="AD1129" s="154" t="s">
        <v>4186</v>
      </c>
      <c r="AE1129" s="155"/>
      <c r="AF1129" s="154" t="s">
        <v>4553</v>
      </c>
      <c r="AP1129" s="155"/>
      <c r="AQ1129" s="156"/>
      <c r="AR1129" s="157"/>
      <c r="AS1129" s="158"/>
      <c r="AT1129" s="159"/>
      <c r="AU1129" s="161"/>
      <c r="AV1129" s="156"/>
      <c r="AW1129" s="162"/>
      <c r="AX1129" s="163"/>
      <c r="AY1129" s="164"/>
      <c r="AZ1129" s="159"/>
      <c r="BA1129" s="161"/>
      <c r="BB1129" s="165"/>
      <c r="BF1129" s="155"/>
    </row>
    <row r="1130" spans="1:59" s="154" customFormat="1" ht="15" customHeight="1">
      <c r="A1130" s="168" t="s">
        <v>4078</v>
      </c>
      <c r="B1130" s="30" t="s">
        <v>4187</v>
      </c>
      <c r="C1130" s="23" t="s">
        <v>4080</v>
      </c>
      <c r="D1130" s="155">
        <v>148</v>
      </c>
      <c r="E1130" s="154">
        <v>1</v>
      </c>
      <c r="F1130" s="154" t="s">
        <v>4106</v>
      </c>
      <c r="G1130" s="154" t="s">
        <v>4188</v>
      </c>
      <c r="I1130" s="154" t="s">
        <v>223</v>
      </c>
      <c r="J1130" s="154" t="s">
        <v>257</v>
      </c>
      <c r="K1130" s="154" t="s">
        <v>26</v>
      </c>
      <c r="N1130" s="155">
        <v>2</v>
      </c>
      <c r="O1130" s="156"/>
      <c r="P1130" s="157">
        <v>2</v>
      </c>
      <c r="Q1130" s="158"/>
      <c r="R1130" s="159"/>
      <c r="S1130" s="160"/>
      <c r="T1130" s="161"/>
      <c r="U1130" s="156"/>
      <c r="V1130" s="162"/>
      <c r="W1130" s="163"/>
      <c r="X1130" s="164"/>
      <c r="Y1130" s="159"/>
      <c r="Z1130" s="161"/>
      <c r="AA1130" s="165"/>
      <c r="AB1130" s="154" t="s">
        <v>1084</v>
      </c>
      <c r="AD1130" s="154" t="s">
        <v>269</v>
      </c>
      <c r="AE1130" s="155"/>
      <c r="AF1130" s="154" t="s">
        <v>4189</v>
      </c>
      <c r="AP1130" s="155"/>
      <c r="AQ1130" s="156"/>
      <c r="AR1130" s="157"/>
      <c r="AS1130" s="158"/>
      <c r="AT1130" s="159"/>
      <c r="AU1130" s="161"/>
      <c r="AV1130" s="156"/>
      <c r="AW1130" s="162"/>
      <c r="AX1130" s="163"/>
      <c r="AY1130" s="164"/>
      <c r="AZ1130" s="159"/>
      <c r="BA1130" s="161"/>
      <c r="BB1130" s="165"/>
      <c r="BF1130" s="155"/>
    </row>
    <row r="1131" spans="1:59" s="171" customFormat="1" ht="15" customHeight="1">
      <c r="A1131" s="153" t="s">
        <v>4192</v>
      </c>
      <c r="B1131" s="154" t="s">
        <v>4193</v>
      </c>
      <c r="C1131" s="154" t="s">
        <v>4194</v>
      </c>
      <c r="D1131" s="170">
        <v>1</v>
      </c>
      <c r="E1131" s="171">
        <v>2</v>
      </c>
      <c r="F1131" s="154"/>
      <c r="G1131" s="171" t="s">
        <v>288</v>
      </c>
      <c r="J1131" s="171" t="s">
        <v>257</v>
      </c>
      <c r="K1131" s="171" t="s">
        <v>198</v>
      </c>
      <c r="L1131" s="171">
        <v>2</v>
      </c>
      <c r="N1131" s="170">
        <v>0</v>
      </c>
      <c r="O1131" s="156">
        <v>2</v>
      </c>
      <c r="P1131" s="157"/>
      <c r="Q1131" s="158">
        <v>2</v>
      </c>
      <c r="R1131" s="159"/>
      <c r="S1131" s="160"/>
      <c r="T1131" s="161"/>
      <c r="U1131" s="156"/>
      <c r="V1131" s="162"/>
      <c r="W1131" s="163"/>
      <c r="X1131" s="164"/>
      <c r="Y1131" s="159"/>
      <c r="Z1131" s="161"/>
      <c r="AA1131" s="165"/>
      <c r="AB1131" s="171" t="s">
        <v>4623</v>
      </c>
      <c r="AD1131" s="171" t="s">
        <v>289</v>
      </c>
      <c r="AE1131" s="170"/>
      <c r="AF1131" s="171" t="s">
        <v>290</v>
      </c>
      <c r="AQ1131" s="156"/>
      <c r="AR1131" s="157"/>
      <c r="AS1131" s="158"/>
      <c r="AT1131" s="159"/>
      <c r="AU1131" s="161"/>
      <c r="AV1131" s="156"/>
      <c r="AW1131" s="162"/>
      <c r="AX1131" s="163"/>
      <c r="AY1131" s="164"/>
      <c r="AZ1131" s="159"/>
      <c r="BA1131" s="161"/>
      <c r="BB1131" s="165"/>
      <c r="BF1131" s="170"/>
    </row>
    <row r="1132" spans="1:59" s="154" customFormat="1" ht="15" customHeight="1">
      <c r="A1132" s="153" t="s">
        <v>4192</v>
      </c>
      <c r="B1132" s="154" t="s">
        <v>4195</v>
      </c>
      <c r="C1132" s="154" t="s">
        <v>4194</v>
      </c>
      <c r="D1132" s="170">
        <v>2</v>
      </c>
      <c r="E1132" s="154">
        <v>2</v>
      </c>
      <c r="G1132" s="154" t="s">
        <v>309</v>
      </c>
      <c r="J1132" s="171" t="s">
        <v>27</v>
      </c>
      <c r="K1132" s="154" t="s">
        <v>198</v>
      </c>
      <c r="L1132" s="154">
        <v>2</v>
      </c>
      <c r="N1132" s="155">
        <v>4</v>
      </c>
      <c r="O1132" s="156">
        <v>1</v>
      </c>
      <c r="P1132" s="157"/>
      <c r="Q1132" s="158">
        <v>1</v>
      </c>
      <c r="R1132" s="159"/>
      <c r="S1132" s="160"/>
      <c r="T1132" s="161"/>
      <c r="U1132" s="156"/>
      <c r="V1132" s="162"/>
      <c r="W1132" s="163"/>
      <c r="X1132" s="164"/>
      <c r="Y1132" s="159"/>
      <c r="Z1132" s="161"/>
      <c r="AA1132" s="165"/>
      <c r="AB1132" s="154" t="s">
        <v>1083</v>
      </c>
      <c r="AD1132" s="154" t="s">
        <v>307</v>
      </c>
      <c r="AE1132" s="155"/>
      <c r="AF1132" s="154" t="s">
        <v>4196</v>
      </c>
      <c r="AL1132" s="171"/>
      <c r="AO1132" s="155"/>
      <c r="AP1132" s="155"/>
      <c r="AQ1132" s="156"/>
      <c r="AR1132" s="157"/>
      <c r="AS1132" s="158"/>
      <c r="AT1132" s="159"/>
      <c r="AU1132" s="161"/>
      <c r="AV1132" s="156"/>
      <c r="AW1132" s="162"/>
      <c r="AX1132" s="163"/>
      <c r="AY1132" s="164"/>
      <c r="AZ1132" s="159"/>
      <c r="BA1132" s="161"/>
      <c r="BB1132" s="165"/>
      <c r="BE1132" s="155"/>
    </row>
    <row r="1133" spans="1:59" s="154" customFormat="1" ht="15" customHeight="1">
      <c r="A1133" s="153" t="s">
        <v>4192</v>
      </c>
      <c r="B1133" s="154" t="s">
        <v>4197</v>
      </c>
      <c r="C1133" s="154" t="s">
        <v>4194</v>
      </c>
      <c r="D1133" s="170">
        <v>3</v>
      </c>
      <c r="E1133" s="154">
        <v>2</v>
      </c>
      <c r="G1133" s="154" t="s">
        <v>335</v>
      </c>
      <c r="J1133" s="171" t="s">
        <v>257</v>
      </c>
      <c r="K1133" s="154" t="s">
        <v>199</v>
      </c>
      <c r="L1133" s="154">
        <v>2</v>
      </c>
      <c r="N1133" s="155">
        <v>0</v>
      </c>
      <c r="O1133" s="156"/>
      <c r="P1133" s="157">
        <v>2</v>
      </c>
      <c r="Q1133" s="158"/>
      <c r="R1133" s="159">
        <v>2</v>
      </c>
      <c r="S1133" s="160"/>
      <c r="T1133" s="161"/>
      <c r="U1133" s="156"/>
      <c r="V1133" s="162"/>
      <c r="W1133" s="163"/>
      <c r="X1133" s="164"/>
      <c r="Y1133" s="159"/>
      <c r="Z1133" s="161"/>
      <c r="AA1133" s="165"/>
      <c r="AB1133" s="154" t="s">
        <v>4624</v>
      </c>
      <c r="AD1133" s="154" t="s">
        <v>289</v>
      </c>
      <c r="AE1133" s="155"/>
      <c r="AF1133" s="154" t="s">
        <v>336</v>
      </c>
      <c r="AL1133" s="171"/>
      <c r="AO1133" s="155"/>
      <c r="AP1133" s="155"/>
      <c r="AQ1133" s="156"/>
      <c r="AR1133" s="157"/>
      <c r="AS1133" s="158"/>
      <c r="AT1133" s="159"/>
      <c r="AU1133" s="161"/>
      <c r="AV1133" s="156"/>
      <c r="AW1133" s="162"/>
      <c r="AX1133" s="163"/>
      <c r="AY1133" s="164"/>
      <c r="AZ1133" s="159"/>
      <c r="BA1133" s="161"/>
      <c r="BB1133" s="165"/>
      <c r="BE1133" s="155"/>
    </row>
    <row r="1134" spans="1:59" s="154" customFormat="1" ht="15" customHeight="1">
      <c r="A1134" s="153" t="s">
        <v>4192</v>
      </c>
      <c r="B1134" s="154" t="s">
        <v>4198</v>
      </c>
      <c r="C1134" s="154" t="s">
        <v>4194</v>
      </c>
      <c r="D1134" s="170">
        <v>4</v>
      </c>
      <c r="E1134" s="154">
        <v>2</v>
      </c>
      <c r="G1134" s="154" t="s">
        <v>343</v>
      </c>
      <c r="J1134" s="171" t="s">
        <v>27</v>
      </c>
      <c r="K1134" s="154" t="s">
        <v>199</v>
      </c>
      <c r="L1134" s="154">
        <v>3</v>
      </c>
      <c r="N1134" s="155">
        <v>0</v>
      </c>
      <c r="O1134" s="156">
        <v>1</v>
      </c>
      <c r="P1134" s="157">
        <v>1</v>
      </c>
      <c r="Q1134" s="158"/>
      <c r="R1134" s="159">
        <v>1</v>
      </c>
      <c r="S1134" s="160"/>
      <c r="T1134" s="161"/>
      <c r="U1134" s="156"/>
      <c r="V1134" s="162"/>
      <c r="W1134" s="163"/>
      <c r="X1134" s="164"/>
      <c r="Y1134" s="159"/>
      <c r="Z1134" s="161"/>
      <c r="AA1134" s="165"/>
      <c r="AB1134" s="154" t="s">
        <v>1090</v>
      </c>
      <c r="AD1134" s="154" t="s">
        <v>344</v>
      </c>
      <c r="AE1134" s="155"/>
      <c r="AF1134" s="154" t="s">
        <v>4625</v>
      </c>
      <c r="AL1134" s="171"/>
      <c r="AO1134" s="155"/>
      <c r="AP1134" s="155"/>
      <c r="AQ1134" s="156"/>
      <c r="AR1134" s="157"/>
      <c r="AS1134" s="158"/>
      <c r="AT1134" s="159"/>
      <c r="AU1134" s="161"/>
      <c r="AV1134" s="156"/>
      <c r="AW1134" s="162"/>
      <c r="AX1134" s="163"/>
      <c r="AY1134" s="164"/>
      <c r="AZ1134" s="159"/>
      <c r="BA1134" s="161"/>
      <c r="BB1134" s="165"/>
      <c r="BE1134" s="155"/>
    </row>
    <row r="1135" spans="1:59" s="154" customFormat="1" ht="15" customHeight="1">
      <c r="A1135" s="153" t="s">
        <v>4192</v>
      </c>
      <c r="B1135" s="154" t="s">
        <v>4199</v>
      </c>
      <c r="C1135" s="154" t="s">
        <v>4194</v>
      </c>
      <c r="D1135" s="170">
        <v>5</v>
      </c>
      <c r="E1135" s="154">
        <v>2</v>
      </c>
      <c r="G1135" s="154" t="s">
        <v>364</v>
      </c>
      <c r="J1135" s="154" t="s">
        <v>257</v>
      </c>
      <c r="K1135" s="154" t="s">
        <v>201</v>
      </c>
      <c r="L1135" s="154">
        <v>2</v>
      </c>
      <c r="N1135" s="154">
        <v>0</v>
      </c>
      <c r="O1135" s="156"/>
      <c r="P1135" s="157"/>
      <c r="Q1135" s="158">
        <v>2</v>
      </c>
      <c r="R1135" s="159">
        <v>2</v>
      </c>
      <c r="S1135" s="160"/>
      <c r="T1135" s="161"/>
      <c r="U1135" s="156"/>
      <c r="V1135" s="162"/>
      <c r="W1135" s="163"/>
      <c r="X1135" s="164"/>
      <c r="Y1135" s="159"/>
      <c r="Z1135" s="161"/>
      <c r="AA1135" s="165"/>
      <c r="AB1135" s="154" t="s">
        <v>4626</v>
      </c>
      <c r="AD1135" s="154" t="s">
        <v>289</v>
      </c>
      <c r="AF1135" s="154" t="s">
        <v>365</v>
      </c>
      <c r="AO1135" s="155"/>
      <c r="AQ1135" s="156"/>
      <c r="AR1135" s="157"/>
      <c r="AS1135" s="158"/>
      <c r="AT1135" s="159"/>
      <c r="AU1135" s="161"/>
      <c r="AV1135" s="156"/>
      <c r="AW1135" s="162"/>
      <c r="AX1135" s="163"/>
      <c r="AY1135" s="164"/>
      <c r="AZ1135" s="159"/>
      <c r="BA1135" s="161"/>
      <c r="BB1135" s="165"/>
      <c r="BE1135" s="155"/>
    </row>
    <row r="1136" spans="1:59" s="154" customFormat="1" ht="15" customHeight="1">
      <c r="A1136" s="153" t="s">
        <v>4192</v>
      </c>
      <c r="B1136" s="154" t="s">
        <v>4200</v>
      </c>
      <c r="C1136" s="154" t="s">
        <v>4194</v>
      </c>
      <c r="D1136" s="170">
        <v>6</v>
      </c>
      <c r="E1136" s="154">
        <v>2</v>
      </c>
      <c r="G1136" s="154" t="s">
        <v>371</v>
      </c>
      <c r="J1136" s="154" t="s">
        <v>27</v>
      </c>
      <c r="K1136" s="154" t="s">
        <v>201</v>
      </c>
      <c r="L1136" s="154">
        <v>2</v>
      </c>
      <c r="N1136" s="154">
        <v>5</v>
      </c>
      <c r="O1136" s="156">
        <v>1</v>
      </c>
      <c r="P1136" s="157"/>
      <c r="Q1136" s="158"/>
      <c r="R1136" s="159"/>
      <c r="S1136" s="160"/>
      <c r="T1136" s="161"/>
      <c r="U1136" s="156"/>
      <c r="V1136" s="162"/>
      <c r="W1136" s="163"/>
      <c r="X1136" s="164"/>
      <c r="Y1136" s="159"/>
      <c r="Z1136" s="161"/>
      <c r="AA1136" s="165"/>
      <c r="AB1136" s="154" t="s">
        <v>204</v>
      </c>
      <c r="AD1136" s="154" t="s">
        <v>372</v>
      </c>
      <c r="AF1136" s="154" t="s">
        <v>373</v>
      </c>
      <c r="AO1136" s="155"/>
      <c r="AQ1136" s="156"/>
      <c r="AR1136" s="157"/>
      <c r="AS1136" s="158"/>
      <c r="AT1136" s="159"/>
      <c r="AU1136" s="161"/>
      <c r="AV1136" s="156"/>
      <c r="AW1136" s="162"/>
      <c r="AX1136" s="163"/>
      <c r="AY1136" s="164"/>
      <c r="AZ1136" s="159"/>
      <c r="BA1136" s="161"/>
      <c r="BB1136" s="165"/>
      <c r="BE1136" s="155"/>
    </row>
    <row r="1137" spans="1:59" s="154" customFormat="1" ht="15" customHeight="1">
      <c r="A1137" s="153" t="s">
        <v>4192</v>
      </c>
      <c r="B1137" s="154" t="s">
        <v>4201</v>
      </c>
      <c r="C1137" s="154" t="s">
        <v>4194</v>
      </c>
      <c r="D1137" s="170">
        <v>7</v>
      </c>
      <c r="E1137" s="154">
        <v>2</v>
      </c>
      <c r="G1137" s="154" t="s">
        <v>382</v>
      </c>
      <c r="J1137" s="154" t="s">
        <v>257</v>
      </c>
      <c r="K1137" s="154" t="s">
        <v>200</v>
      </c>
      <c r="L1137" s="154">
        <v>2</v>
      </c>
      <c r="N1137" s="154">
        <v>0</v>
      </c>
      <c r="O1137" s="156">
        <v>2</v>
      </c>
      <c r="P1137" s="157">
        <v>2</v>
      </c>
      <c r="Q1137" s="158"/>
      <c r="R1137" s="159"/>
      <c r="S1137" s="160"/>
      <c r="T1137" s="161"/>
      <c r="U1137" s="156"/>
      <c r="V1137" s="162"/>
      <c r="W1137" s="163"/>
      <c r="X1137" s="164"/>
      <c r="Y1137" s="159"/>
      <c r="Z1137" s="161"/>
      <c r="AA1137" s="165"/>
      <c r="AB1137" s="154" t="s">
        <v>4627</v>
      </c>
      <c r="AD1137" s="154" t="s">
        <v>289</v>
      </c>
      <c r="AF1137" s="154" t="s">
        <v>383</v>
      </c>
      <c r="AO1137" s="155"/>
      <c r="AQ1137" s="156"/>
      <c r="AR1137" s="157"/>
      <c r="AS1137" s="158"/>
      <c r="AT1137" s="159"/>
      <c r="AU1137" s="161"/>
      <c r="AV1137" s="156"/>
      <c r="AW1137" s="162"/>
      <c r="AX1137" s="163"/>
      <c r="AY1137" s="164"/>
      <c r="AZ1137" s="159"/>
      <c r="BA1137" s="161"/>
      <c r="BB1137" s="165"/>
      <c r="BE1137" s="155"/>
    </row>
    <row r="1138" spans="1:59" s="154" customFormat="1" ht="15" customHeight="1">
      <c r="A1138" s="153" t="s">
        <v>4192</v>
      </c>
      <c r="B1138" s="154" t="s">
        <v>4202</v>
      </c>
      <c r="C1138" s="154" t="s">
        <v>4194</v>
      </c>
      <c r="D1138" s="170">
        <v>8</v>
      </c>
      <c r="E1138" s="154">
        <v>2</v>
      </c>
      <c r="G1138" s="154" t="s">
        <v>680</v>
      </c>
      <c r="J1138" s="154" t="s">
        <v>27</v>
      </c>
      <c r="K1138" s="154" t="s">
        <v>200</v>
      </c>
      <c r="L1138" s="154">
        <v>3</v>
      </c>
      <c r="N1138" s="154">
        <v>1</v>
      </c>
      <c r="O1138" s="156">
        <v>1</v>
      </c>
      <c r="P1138" s="157"/>
      <c r="Q1138" s="158">
        <v>1</v>
      </c>
      <c r="R1138" s="159"/>
      <c r="S1138" s="160"/>
      <c r="T1138" s="161"/>
      <c r="U1138" s="156"/>
      <c r="V1138" s="162"/>
      <c r="W1138" s="163"/>
      <c r="X1138" s="164"/>
      <c r="Y1138" s="159"/>
      <c r="Z1138" s="161"/>
      <c r="AA1138" s="165"/>
      <c r="AB1138" s="154" t="s">
        <v>1083</v>
      </c>
      <c r="AD1138" s="154" t="s">
        <v>279</v>
      </c>
      <c r="AF1138" s="154" t="s">
        <v>4628</v>
      </c>
      <c r="AO1138" s="155"/>
      <c r="AQ1138" s="156"/>
      <c r="AR1138" s="157"/>
      <c r="AS1138" s="158"/>
      <c r="AT1138" s="159"/>
      <c r="AU1138" s="161"/>
      <c r="AV1138" s="156"/>
      <c r="AW1138" s="162"/>
      <c r="AX1138" s="163"/>
      <c r="AY1138" s="164"/>
      <c r="AZ1138" s="159"/>
      <c r="BA1138" s="161"/>
      <c r="BB1138" s="165"/>
      <c r="BE1138" s="155"/>
    </row>
    <row r="1139" spans="1:59" s="154" customFormat="1" ht="15" customHeight="1">
      <c r="A1139" s="153" t="s">
        <v>4192</v>
      </c>
      <c r="B1139" s="154" t="s">
        <v>4203</v>
      </c>
      <c r="C1139" s="154" t="s">
        <v>4194</v>
      </c>
      <c r="D1139" s="170">
        <v>9</v>
      </c>
      <c r="E1139" s="154">
        <v>2</v>
      </c>
      <c r="G1139" s="154" t="s">
        <v>403</v>
      </c>
      <c r="J1139" s="154" t="s">
        <v>257</v>
      </c>
      <c r="K1139" s="154" t="s">
        <v>202</v>
      </c>
      <c r="L1139" s="154">
        <v>2</v>
      </c>
      <c r="N1139" s="172">
        <v>0</v>
      </c>
      <c r="O1139" s="156">
        <v>2</v>
      </c>
      <c r="P1139" s="157"/>
      <c r="Q1139" s="158"/>
      <c r="R1139" s="159">
        <v>2</v>
      </c>
      <c r="S1139" s="160"/>
      <c r="T1139" s="161"/>
      <c r="U1139" s="156"/>
      <c r="V1139" s="162"/>
      <c r="W1139" s="163"/>
      <c r="X1139" s="164"/>
      <c r="Y1139" s="159"/>
      <c r="Z1139" s="161"/>
      <c r="AA1139" s="165"/>
      <c r="AB1139" s="154" t="s">
        <v>4629</v>
      </c>
      <c r="AD1139" s="154" t="s">
        <v>289</v>
      </c>
      <c r="AF1139" s="154" t="s">
        <v>404</v>
      </c>
      <c r="AO1139" s="155"/>
      <c r="AQ1139" s="156"/>
      <c r="AR1139" s="157"/>
      <c r="AS1139" s="158"/>
      <c r="AT1139" s="159"/>
      <c r="AU1139" s="161"/>
      <c r="AV1139" s="156"/>
      <c r="AW1139" s="162"/>
      <c r="AX1139" s="163"/>
      <c r="AY1139" s="164"/>
      <c r="AZ1139" s="159"/>
      <c r="BA1139" s="161"/>
      <c r="BB1139" s="165"/>
      <c r="BE1139" s="155"/>
    </row>
    <row r="1140" spans="1:59" s="154" customFormat="1" ht="15" customHeight="1">
      <c r="A1140" s="153" t="s">
        <v>4192</v>
      </c>
      <c r="B1140" s="154" t="s">
        <v>4204</v>
      </c>
      <c r="C1140" s="154" t="s">
        <v>4194</v>
      </c>
      <c r="D1140" s="170">
        <v>10</v>
      </c>
      <c r="E1140" s="154">
        <v>2</v>
      </c>
      <c r="G1140" s="154" t="s">
        <v>399</v>
      </c>
      <c r="J1140" s="154" t="s">
        <v>257</v>
      </c>
      <c r="K1140" s="154" t="s">
        <v>202</v>
      </c>
      <c r="L1140" s="154">
        <v>3</v>
      </c>
      <c r="N1140" s="154">
        <v>1</v>
      </c>
      <c r="O1140" s="156"/>
      <c r="P1140" s="157"/>
      <c r="Q1140" s="158"/>
      <c r="R1140" s="159"/>
      <c r="S1140" s="160">
        <v>1</v>
      </c>
      <c r="T1140" s="161"/>
      <c r="U1140" s="156"/>
      <c r="V1140" s="162"/>
      <c r="W1140" s="163"/>
      <c r="X1140" s="164"/>
      <c r="Y1140" s="159"/>
      <c r="Z1140" s="161"/>
      <c r="AA1140" s="165"/>
      <c r="AB1140" s="154" t="s">
        <v>208</v>
      </c>
      <c r="AC1140" s="154" t="s">
        <v>275</v>
      </c>
      <c r="AD1140" s="154" t="s">
        <v>375</v>
      </c>
      <c r="AF1140" s="154" t="s">
        <v>4630</v>
      </c>
      <c r="AO1140" s="155"/>
      <c r="AQ1140" s="156"/>
      <c r="AR1140" s="157"/>
      <c r="AS1140" s="158"/>
      <c r="AT1140" s="159"/>
      <c r="AU1140" s="161"/>
      <c r="AV1140" s="156"/>
      <c r="AW1140" s="162"/>
      <c r="AX1140" s="163"/>
      <c r="AY1140" s="164"/>
      <c r="AZ1140" s="159"/>
      <c r="BA1140" s="161"/>
      <c r="BB1140" s="165"/>
      <c r="BE1140" s="155"/>
    </row>
    <row r="1141" spans="1:59" s="154" customFormat="1" ht="15" customHeight="1">
      <c r="A1141" s="153" t="s">
        <v>4192</v>
      </c>
      <c r="B1141" s="154" t="s">
        <v>4205</v>
      </c>
      <c r="C1141" s="154" t="s">
        <v>4194</v>
      </c>
      <c r="D1141" s="170">
        <v>11</v>
      </c>
      <c r="E1141" s="154">
        <v>1</v>
      </c>
      <c r="F1141" s="154" t="s">
        <v>4206</v>
      </c>
      <c r="G1141" s="154" t="s">
        <v>4206</v>
      </c>
      <c r="J1141" s="154" t="s">
        <v>618</v>
      </c>
      <c r="K1141" s="154" t="s">
        <v>2426</v>
      </c>
      <c r="O1141" s="156"/>
      <c r="P1141" s="157"/>
      <c r="Q1141" s="158"/>
      <c r="R1141" s="159"/>
      <c r="S1141" s="160"/>
      <c r="T1141" s="161"/>
      <c r="U1141" s="156"/>
      <c r="V1141" s="162"/>
      <c r="W1141" s="163"/>
      <c r="X1141" s="164"/>
      <c r="Y1141" s="159"/>
      <c r="Z1141" s="161"/>
      <c r="AA1141" s="165"/>
      <c r="AF1141" s="154" t="s">
        <v>4631</v>
      </c>
      <c r="AI1141" s="154" t="s">
        <v>4206</v>
      </c>
      <c r="AL1141" s="154" t="s">
        <v>618</v>
      </c>
      <c r="AM1141" s="154" t="s">
        <v>2426</v>
      </c>
      <c r="AO1141" s="155"/>
      <c r="AQ1141" s="156"/>
      <c r="AR1141" s="157"/>
      <c r="AS1141" s="158"/>
      <c r="AT1141" s="159"/>
      <c r="AU1141" s="161"/>
      <c r="AV1141" s="156"/>
      <c r="AW1141" s="162"/>
      <c r="AX1141" s="163"/>
      <c r="AY1141" s="164"/>
      <c r="AZ1141" s="159"/>
      <c r="BA1141" s="161"/>
      <c r="BB1141" s="165"/>
      <c r="BE1141" s="155"/>
      <c r="BG1141" s="154" t="s">
        <v>4686</v>
      </c>
    </row>
    <row r="1142" spans="1:59" s="154" customFormat="1" ht="15" customHeight="1">
      <c r="A1142" s="153" t="s">
        <v>4192</v>
      </c>
      <c r="B1142" s="153" t="s">
        <v>4207</v>
      </c>
      <c r="C1142" s="153" t="s">
        <v>4194</v>
      </c>
      <c r="D1142" s="170">
        <v>12</v>
      </c>
      <c r="E1142" s="154">
        <v>1</v>
      </c>
      <c r="F1142" s="153" t="s">
        <v>4206</v>
      </c>
      <c r="G1142" s="154" t="s">
        <v>4208</v>
      </c>
      <c r="J1142" s="154" t="s">
        <v>621</v>
      </c>
      <c r="K1142" s="154" t="s">
        <v>2426</v>
      </c>
      <c r="L1142" s="154">
        <v>1</v>
      </c>
      <c r="O1142" s="156"/>
      <c r="P1142" s="157"/>
      <c r="Q1142" s="158"/>
      <c r="R1142" s="159"/>
      <c r="S1142" s="160"/>
      <c r="T1142" s="161"/>
      <c r="U1142" s="156"/>
      <c r="V1142" s="162"/>
      <c r="W1142" s="163"/>
      <c r="X1142" s="164"/>
      <c r="Y1142" s="159" t="s">
        <v>1112</v>
      </c>
      <c r="Z1142" s="161"/>
      <c r="AA1142" s="165"/>
      <c r="AF1142" s="154" t="s">
        <v>4209</v>
      </c>
      <c r="AI1142" s="154" t="s">
        <v>4210</v>
      </c>
      <c r="AL1142" s="154" t="s">
        <v>621</v>
      </c>
      <c r="AM1142" s="154" t="s">
        <v>2426</v>
      </c>
      <c r="AN1142" s="154">
        <v>1</v>
      </c>
      <c r="AO1142" s="155"/>
      <c r="AQ1142" s="156"/>
      <c r="AR1142" s="157"/>
      <c r="AS1142" s="158"/>
      <c r="AT1142" s="159"/>
      <c r="AU1142" s="161"/>
      <c r="AV1142" s="156"/>
      <c r="AW1142" s="162"/>
      <c r="AX1142" s="163"/>
      <c r="AY1142" s="164"/>
      <c r="AZ1142" s="159"/>
      <c r="BA1142" s="161"/>
      <c r="BB1142" s="165"/>
      <c r="BE1142" s="155"/>
      <c r="BG1142" s="154" t="s">
        <v>4211</v>
      </c>
    </row>
    <row r="1143" spans="1:59" s="154" customFormat="1" ht="15" customHeight="1">
      <c r="A1143" s="153" t="s">
        <v>4192</v>
      </c>
      <c r="B1143" s="153" t="s">
        <v>4212</v>
      </c>
      <c r="C1143" s="153" t="s">
        <v>4194</v>
      </c>
      <c r="D1143" s="170">
        <v>13</v>
      </c>
      <c r="E1143" s="154">
        <v>1</v>
      </c>
      <c r="F1143" s="153" t="s">
        <v>4206</v>
      </c>
      <c r="G1143" s="154" t="s">
        <v>449</v>
      </c>
      <c r="J1143" s="154" t="s">
        <v>31</v>
      </c>
      <c r="K1143" s="154" t="s">
        <v>2426</v>
      </c>
      <c r="O1143" s="156"/>
      <c r="P1143" s="157"/>
      <c r="Q1143" s="158"/>
      <c r="R1143" s="159"/>
      <c r="S1143" s="160"/>
      <c r="T1143" s="161"/>
      <c r="U1143" s="156"/>
      <c r="V1143" s="162"/>
      <c r="W1143" s="163"/>
      <c r="X1143" s="164"/>
      <c r="Y1143" s="159"/>
      <c r="Z1143" s="161"/>
      <c r="AA1143" s="165"/>
      <c r="AI1143" s="154" t="s">
        <v>449</v>
      </c>
      <c r="AJ1143" s="154" t="s">
        <v>4213</v>
      </c>
      <c r="AL1143" s="154" t="s">
        <v>31</v>
      </c>
      <c r="AM1143" s="154" t="s">
        <v>2426</v>
      </c>
      <c r="AO1143" s="155"/>
      <c r="AQ1143" s="156"/>
      <c r="AR1143" s="157"/>
      <c r="AS1143" s="158"/>
      <c r="AT1143" s="159"/>
      <c r="AU1143" s="161"/>
      <c r="AV1143" s="156"/>
      <c r="AW1143" s="162"/>
      <c r="AX1143" s="163"/>
      <c r="AY1143" s="164">
        <v>3</v>
      </c>
      <c r="AZ1143" s="159" t="s">
        <v>1073</v>
      </c>
      <c r="BA1143" s="161"/>
      <c r="BB1143" s="165"/>
      <c r="BE1143" s="155"/>
      <c r="BG1143" s="154" t="s">
        <v>4632</v>
      </c>
    </row>
    <row r="1144" spans="1:59" s="154" customFormat="1" ht="15" customHeight="1">
      <c r="A1144" s="153" t="s">
        <v>4192</v>
      </c>
      <c r="B1144" s="153" t="s">
        <v>4214</v>
      </c>
      <c r="C1144" s="153" t="s">
        <v>4194</v>
      </c>
      <c r="D1144" s="170">
        <v>14</v>
      </c>
      <c r="E1144" s="154">
        <v>1</v>
      </c>
      <c r="F1144" s="153" t="s">
        <v>4206</v>
      </c>
      <c r="G1144" s="154" t="s">
        <v>4215</v>
      </c>
      <c r="J1144" s="154" t="s">
        <v>31</v>
      </c>
      <c r="K1144" s="154" t="s">
        <v>2426</v>
      </c>
      <c r="O1144" s="156"/>
      <c r="P1144" s="157"/>
      <c r="Q1144" s="158"/>
      <c r="R1144" s="159"/>
      <c r="S1144" s="160"/>
      <c r="T1144" s="161"/>
      <c r="U1144" s="156"/>
      <c r="V1144" s="162"/>
      <c r="W1144" s="163"/>
      <c r="X1144" s="164"/>
      <c r="Y1144" s="159"/>
      <c r="Z1144" s="161"/>
      <c r="AA1144" s="165"/>
      <c r="AI1144" s="154" t="s">
        <v>4215</v>
      </c>
      <c r="AL1144" s="154" t="s">
        <v>31</v>
      </c>
      <c r="AM1144" s="154" t="s">
        <v>2426</v>
      </c>
      <c r="AO1144" s="155"/>
      <c r="AQ1144" s="156"/>
      <c r="AR1144" s="157"/>
      <c r="AS1144" s="158"/>
      <c r="AT1144" s="159"/>
      <c r="AU1144" s="161"/>
      <c r="AV1144" s="156"/>
      <c r="AW1144" s="162"/>
      <c r="AX1144" s="163"/>
      <c r="AY1144" s="164">
        <v>1</v>
      </c>
      <c r="AZ1144" s="159">
        <v>0</v>
      </c>
      <c r="BA1144" s="161"/>
      <c r="BB1144" s="165"/>
      <c r="BE1144" s="155"/>
      <c r="BG1144" s="154" t="s">
        <v>4216</v>
      </c>
    </row>
    <row r="1145" spans="1:59" s="154" customFormat="1" ht="15" customHeight="1">
      <c r="A1145" s="153" t="s">
        <v>4192</v>
      </c>
      <c r="B1145" s="153" t="s">
        <v>4217</v>
      </c>
      <c r="C1145" s="153" t="s">
        <v>4194</v>
      </c>
      <c r="D1145" s="170">
        <v>15</v>
      </c>
      <c r="E1145" s="154">
        <v>1</v>
      </c>
      <c r="F1145" s="153" t="s">
        <v>4206</v>
      </c>
      <c r="G1145" s="154" t="s">
        <v>4218</v>
      </c>
      <c r="J1145" s="154" t="s">
        <v>31</v>
      </c>
      <c r="K1145" s="154" t="s">
        <v>2426</v>
      </c>
      <c r="O1145" s="156"/>
      <c r="P1145" s="157"/>
      <c r="Q1145" s="158"/>
      <c r="R1145" s="159"/>
      <c r="S1145" s="160"/>
      <c r="T1145" s="161"/>
      <c r="U1145" s="156"/>
      <c r="V1145" s="162"/>
      <c r="W1145" s="163"/>
      <c r="X1145" s="164"/>
      <c r="Y1145" s="159"/>
      <c r="Z1145" s="161"/>
      <c r="AA1145" s="165"/>
      <c r="AI1145" s="154" t="s">
        <v>4218</v>
      </c>
      <c r="AL1145" s="154" t="s">
        <v>31</v>
      </c>
      <c r="AM1145" s="154" t="s">
        <v>2426</v>
      </c>
      <c r="AO1145" s="155"/>
      <c r="AQ1145" s="156"/>
      <c r="AR1145" s="157"/>
      <c r="AS1145" s="158"/>
      <c r="AT1145" s="159"/>
      <c r="AU1145" s="161"/>
      <c r="AV1145" s="156"/>
      <c r="AW1145" s="162"/>
      <c r="AX1145" s="163"/>
      <c r="AY1145" s="164">
        <v>2</v>
      </c>
      <c r="AZ1145" s="159" t="s">
        <v>1073</v>
      </c>
      <c r="BA1145" s="161"/>
      <c r="BB1145" s="165"/>
      <c r="BG1145" s="154" t="s">
        <v>4633</v>
      </c>
    </row>
    <row r="1146" spans="1:59" s="154" customFormat="1" ht="15" customHeight="1">
      <c r="A1146" s="153" t="s">
        <v>4192</v>
      </c>
      <c r="B1146" s="153" t="s">
        <v>4219</v>
      </c>
      <c r="C1146" s="153" t="s">
        <v>4194</v>
      </c>
      <c r="D1146" s="170">
        <v>16</v>
      </c>
      <c r="E1146" s="154">
        <v>1</v>
      </c>
      <c r="F1146" s="153" t="s">
        <v>4206</v>
      </c>
      <c r="G1146" s="154" t="s">
        <v>4220</v>
      </c>
      <c r="J1146" s="154" t="s">
        <v>31</v>
      </c>
      <c r="K1146" s="171" t="s">
        <v>2426</v>
      </c>
      <c r="O1146" s="156"/>
      <c r="P1146" s="157"/>
      <c r="Q1146" s="158"/>
      <c r="R1146" s="159"/>
      <c r="S1146" s="160"/>
      <c r="T1146" s="161"/>
      <c r="U1146" s="156"/>
      <c r="V1146" s="162"/>
      <c r="W1146" s="163"/>
      <c r="X1146" s="164"/>
      <c r="Y1146" s="159"/>
      <c r="Z1146" s="161"/>
      <c r="AA1146" s="165"/>
      <c r="AI1146" s="154" t="s">
        <v>4220</v>
      </c>
      <c r="AL1146" s="154" t="s">
        <v>31</v>
      </c>
      <c r="AM1146" s="171" t="s">
        <v>2426</v>
      </c>
      <c r="AO1146" s="155"/>
      <c r="AQ1146" s="156"/>
      <c r="AR1146" s="157"/>
      <c r="AS1146" s="158"/>
      <c r="AT1146" s="159"/>
      <c r="AU1146" s="161"/>
      <c r="AV1146" s="156"/>
      <c r="AW1146" s="162"/>
      <c r="AX1146" s="163"/>
      <c r="AY1146" s="164">
        <v>1</v>
      </c>
      <c r="AZ1146" s="159" t="s">
        <v>1073</v>
      </c>
      <c r="BA1146" s="161"/>
      <c r="BB1146" s="165"/>
      <c r="BG1146" s="154" t="s">
        <v>4634</v>
      </c>
    </row>
    <row r="1147" spans="1:59" s="154" customFormat="1" ht="15" customHeight="1">
      <c r="A1147" s="153" t="s">
        <v>4192</v>
      </c>
      <c r="B1147" s="153" t="s">
        <v>4221</v>
      </c>
      <c r="C1147" s="153" t="s">
        <v>4194</v>
      </c>
      <c r="D1147" s="170">
        <v>17</v>
      </c>
      <c r="E1147" s="154">
        <v>1</v>
      </c>
      <c r="F1147" s="153" t="s">
        <v>4206</v>
      </c>
      <c r="G1147" s="154" t="s">
        <v>450</v>
      </c>
      <c r="J1147" s="154" t="s">
        <v>31</v>
      </c>
      <c r="K1147" s="171" t="s">
        <v>2426</v>
      </c>
      <c r="O1147" s="156"/>
      <c r="P1147" s="157"/>
      <c r="Q1147" s="158"/>
      <c r="R1147" s="159"/>
      <c r="S1147" s="160"/>
      <c r="T1147" s="161"/>
      <c r="U1147" s="156"/>
      <c r="V1147" s="162"/>
      <c r="W1147" s="163"/>
      <c r="X1147" s="164"/>
      <c r="Y1147" s="159"/>
      <c r="Z1147" s="161"/>
      <c r="AA1147" s="165"/>
      <c r="AI1147" s="154" t="s">
        <v>4222</v>
      </c>
      <c r="AL1147" s="154" t="s">
        <v>31</v>
      </c>
      <c r="AM1147" s="154" t="s">
        <v>2426</v>
      </c>
      <c r="AO1147" s="155"/>
      <c r="AQ1147" s="156"/>
      <c r="AR1147" s="157"/>
      <c r="AS1147" s="158"/>
      <c r="AT1147" s="159"/>
      <c r="AU1147" s="161"/>
      <c r="AV1147" s="156"/>
      <c r="AW1147" s="162"/>
      <c r="AX1147" s="163"/>
      <c r="AY1147" s="164">
        <v>1</v>
      </c>
      <c r="AZ1147" s="159">
        <v>0</v>
      </c>
      <c r="BA1147" s="161"/>
      <c r="BB1147" s="165"/>
      <c r="BE1147" s="155"/>
      <c r="BG1147" s="154" t="s">
        <v>4635</v>
      </c>
    </row>
    <row r="1148" spans="1:59" s="154" customFormat="1" ht="15" customHeight="1">
      <c r="A1148" s="153" t="s">
        <v>4192</v>
      </c>
      <c r="B1148" s="153" t="s">
        <v>4223</v>
      </c>
      <c r="C1148" s="153" t="s">
        <v>4194</v>
      </c>
      <c r="D1148" s="170">
        <v>18</v>
      </c>
      <c r="E1148" s="154">
        <v>1</v>
      </c>
      <c r="F1148" s="153" t="s">
        <v>4206</v>
      </c>
      <c r="G1148" s="154" t="s">
        <v>451</v>
      </c>
      <c r="J1148" s="154" t="s">
        <v>31</v>
      </c>
      <c r="K1148" s="171" t="s">
        <v>2426</v>
      </c>
      <c r="O1148" s="156"/>
      <c r="P1148" s="157"/>
      <c r="Q1148" s="158"/>
      <c r="R1148" s="159"/>
      <c r="S1148" s="160"/>
      <c r="T1148" s="161"/>
      <c r="U1148" s="156"/>
      <c r="V1148" s="162"/>
      <c r="W1148" s="163"/>
      <c r="X1148" s="164"/>
      <c r="Y1148" s="159"/>
      <c r="Z1148" s="161"/>
      <c r="AA1148" s="165"/>
      <c r="AI1148" s="154" t="s">
        <v>451</v>
      </c>
      <c r="AL1148" s="154" t="s">
        <v>31</v>
      </c>
      <c r="AM1148" s="154" t="s">
        <v>2426</v>
      </c>
      <c r="AO1148" s="155"/>
      <c r="AQ1148" s="156"/>
      <c r="AR1148" s="157"/>
      <c r="AS1148" s="158"/>
      <c r="AT1148" s="159"/>
      <c r="AU1148" s="161"/>
      <c r="AV1148" s="156"/>
      <c r="AW1148" s="162"/>
      <c r="AX1148" s="163"/>
      <c r="AY1148" s="164">
        <v>3</v>
      </c>
      <c r="AZ1148" s="159" t="s">
        <v>1073</v>
      </c>
      <c r="BA1148" s="161"/>
      <c r="BB1148" s="165"/>
      <c r="BE1148" s="155"/>
      <c r="BG1148" s="154" t="s">
        <v>4636</v>
      </c>
    </row>
    <row r="1149" spans="1:59" s="154" customFormat="1" ht="15" customHeight="1">
      <c r="A1149" s="153" t="s">
        <v>4192</v>
      </c>
      <c r="B1149" s="153" t="s">
        <v>4224</v>
      </c>
      <c r="C1149" s="153" t="s">
        <v>4194</v>
      </c>
      <c r="D1149" s="170">
        <v>19</v>
      </c>
      <c r="E1149" s="154">
        <v>1</v>
      </c>
      <c r="F1149" s="153" t="s">
        <v>4206</v>
      </c>
      <c r="G1149" s="154" t="s">
        <v>4225</v>
      </c>
      <c r="J1149" s="154" t="s">
        <v>31</v>
      </c>
      <c r="K1149" s="154" t="s">
        <v>2426</v>
      </c>
      <c r="O1149" s="156"/>
      <c r="P1149" s="157"/>
      <c r="Q1149" s="158"/>
      <c r="R1149" s="159"/>
      <c r="S1149" s="160"/>
      <c r="T1149" s="161"/>
      <c r="U1149" s="156"/>
      <c r="V1149" s="162"/>
      <c r="W1149" s="163"/>
      <c r="X1149" s="164"/>
      <c r="Y1149" s="159"/>
      <c r="Z1149" s="161"/>
      <c r="AA1149" s="165"/>
      <c r="AI1149" s="154" t="s">
        <v>4227</v>
      </c>
      <c r="AL1149" s="154" t="s">
        <v>31</v>
      </c>
      <c r="AM1149" s="154" t="s">
        <v>2426</v>
      </c>
      <c r="AO1149" s="155"/>
      <c r="AQ1149" s="156"/>
      <c r="AR1149" s="157"/>
      <c r="AS1149" s="158"/>
      <c r="AT1149" s="159"/>
      <c r="AU1149" s="161"/>
      <c r="AV1149" s="156"/>
      <c r="AW1149" s="162"/>
      <c r="AX1149" s="163"/>
      <c r="AY1149" s="164">
        <v>2</v>
      </c>
      <c r="AZ1149" s="159" t="s">
        <v>1073</v>
      </c>
      <c r="BA1149" s="161"/>
      <c r="BB1149" s="165">
        <v>1</v>
      </c>
      <c r="BE1149" s="155"/>
      <c r="BG1149" s="154" t="s">
        <v>4637</v>
      </c>
    </row>
    <row r="1150" spans="1:59" s="154" customFormat="1" ht="15" customHeight="1">
      <c r="A1150" s="153" t="s">
        <v>4192</v>
      </c>
      <c r="B1150" s="153" t="s">
        <v>4226</v>
      </c>
      <c r="C1150" s="153" t="s">
        <v>4194</v>
      </c>
      <c r="D1150" s="170">
        <v>20</v>
      </c>
      <c r="E1150" s="154">
        <v>1</v>
      </c>
      <c r="F1150" s="153" t="s">
        <v>4206</v>
      </c>
      <c r="G1150" s="154" t="s">
        <v>452</v>
      </c>
      <c r="J1150" s="154" t="s">
        <v>31</v>
      </c>
      <c r="K1150" s="154" t="s">
        <v>2426</v>
      </c>
      <c r="O1150" s="156"/>
      <c r="P1150" s="157"/>
      <c r="Q1150" s="158"/>
      <c r="R1150" s="159"/>
      <c r="S1150" s="160"/>
      <c r="T1150" s="161"/>
      <c r="U1150" s="156"/>
      <c r="V1150" s="162"/>
      <c r="W1150" s="163"/>
      <c r="X1150" s="164"/>
      <c r="Y1150" s="159"/>
      <c r="Z1150" s="161"/>
      <c r="AA1150" s="165"/>
      <c r="AI1150" s="154" t="s">
        <v>452</v>
      </c>
      <c r="AL1150" s="154" t="s">
        <v>31</v>
      </c>
      <c r="AM1150" s="154" t="s">
        <v>2426</v>
      </c>
      <c r="AP1150" s="155"/>
      <c r="AQ1150" s="156"/>
      <c r="AR1150" s="157"/>
      <c r="AS1150" s="158"/>
      <c r="AT1150" s="159"/>
      <c r="AU1150" s="161"/>
      <c r="AV1150" s="156"/>
      <c r="AW1150" s="162"/>
      <c r="AX1150" s="163"/>
      <c r="AY1150" s="164">
        <v>2</v>
      </c>
      <c r="AZ1150" s="159" t="s">
        <v>1073</v>
      </c>
      <c r="BA1150" s="161"/>
      <c r="BB1150" s="165"/>
      <c r="BF1150" s="155"/>
      <c r="BG1150" s="154" t="s">
        <v>4638</v>
      </c>
    </row>
    <row r="1151" spans="1:59" s="154" customFormat="1" ht="15" customHeight="1">
      <c r="A1151" s="153" t="s">
        <v>4192</v>
      </c>
      <c r="B1151" s="153" t="s">
        <v>4228</v>
      </c>
      <c r="C1151" s="153" t="s">
        <v>4194</v>
      </c>
      <c r="D1151" s="170">
        <v>21</v>
      </c>
      <c r="E1151" s="154">
        <v>1</v>
      </c>
      <c r="F1151" s="153" t="s">
        <v>4206</v>
      </c>
      <c r="G1151" s="154" t="s">
        <v>4229</v>
      </c>
      <c r="J1151" s="154" t="s">
        <v>31</v>
      </c>
      <c r="K1151" s="154" t="s">
        <v>2426</v>
      </c>
      <c r="N1151" s="155"/>
      <c r="O1151" s="156"/>
      <c r="P1151" s="157"/>
      <c r="Q1151" s="158"/>
      <c r="R1151" s="159"/>
      <c r="S1151" s="160"/>
      <c r="T1151" s="161"/>
      <c r="U1151" s="156"/>
      <c r="V1151" s="162"/>
      <c r="W1151" s="163"/>
      <c r="X1151" s="164"/>
      <c r="Y1151" s="159"/>
      <c r="Z1151" s="161"/>
      <c r="AA1151" s="165"/>
      <c r="AE1151" s="155"/>
      <c r="AI1151" s="154" t="s">
        <v>4230</v>
      </c>
      <c r="AL1151" s="154" t="s">
        <v>31</v>
      </c>
      <c r="AM1151" s="154" t="s">
        <v>2426</v>
      </c>
      <c r="AP1151" s="155"/>
      <c r="AQ1151" s="156"/>
      <c r="AR1151" s="157"/>
      <c r="AS1151" s="158"/>
      <c r="AT1151" s="159"/>
      <c r="AU1151" s="161"/>
      <c r="AV1151" s="156"/>
      <c r="AW1151" s="162"/>
      <c r="AX1151" s="163"/>
      <c r="AY1151" s="164">
        <v>4</v>
      </c>
      <c r="AZ1151" s="159" t="s">
        <v>1073</v>
      </c>
      <c r="BA1151" s="161"/>
      <c r="BB1151" s="165">
        <v>1</v>
      </c>
      <c r="BF1151" s="155"/>
      <c r="BG1151" s="154" t="s">
        <v>4639</v>
      </c>
    </row>
    <row r="1152" spans="1:59" s="154" customFormat="1" ht="15" customHeight="1">
      <c r="A1152" s="153" t="s">
        <v>4192</v>
      </c>
      <c r="B1152" s="153" t="s">
        <v>4231</v>
      </c>
      <c r="C1152" s="153" t="s">
        <v>4194</v>
      </c>
      <c r="D1152" s="170">
        <v>22</v>
      </c>
      <c r="E1152" s="154">
        <v>1</v>
      </c>
      <c r="F1152" s="153" t="s">
        <v>4206</v>
      </c>
      <c r="G1152" s="154" t="s">
        <v>4640</v>
      </c>
      <c r="J1152" s="154" t="s">
        <v>29</v>
      </c>
      <c r="K1152" s="154" t="s">
        <v>2426</v>
      </c>
      <c r="N1152" s="155"/>
      <c r="O1152" s="156"/>
      <c r="P1152" s="157"/>
      <c r="Q1152" s="158">
        <v>4</v>
      </c>
      <c r="R1152" s="159">
        <v>3</v>
      </c>
      <c r="S1152" s="160"/>
      <c r="T1152" s="161">
        <v>3</v>
      </c>
      <c r="U1152" s="156"/>
      <c r="V1152" s="162">
        <v>2</v>
      </c>
      <c r="W1152" s="163">
        <v>2</v>
      </c>
      <c r="X1152" s="164"/>
      <c r="Y1152" s="159"/>
      <c r="Z1152" s="161"/>
      <c r="AA1152" s="165">
        <v>1</v>
      </c>
      <c r="AD1152" s="154" t="s">
        <v>460</v>
      </c>
      <c r="AE1152" s="155"/>
      <c r="AF1152" s="154" t="s">
        <v>4641</v>
      </c>
      <c r="AP1152" s="155"/>
      <c r="AQ1152" s="156"/>
      <c r="AR1152" s="157"/>
      <c r="AS1152" s="158"/>
      <c r="AT1152" s="159"/>
      <c r="AU1152" s="161"/>
      <c r="AV1152" s="156"/>
      <c r="AW1152" s="162"/>
      <c r="AX1152" s="163"/>
      <c r="AY1152" s="164"/>
      <c r="AZ1152" s="159"/>
      <c r="BA1152" s="161"/>
      <c r="BB1152" s="165"/>
      <c r="BF1152" s="155"/>
    </row>
    <row r="1153" spans="1:59" s="154" customFormat="1" ht="15" customHeight="1">
      <c r="A1153" s="153" t="s">
        <v>4192</v>
      </c>
      <c r="B1153" s="153" t="s">
        <v>4232</v>
      </c>
      <c r="C1153" s="153" t="s">
        <v>4194</v>
      </c>
      <c r="D1153" s="170">
        <v>23</v>
      </c>
      <c r="E1153" s="154">
        <v>1</v>
      </c>
      <c r="F1153" s="153" t="s">
        <v>4206</v>
      </c>
      <c r="G1153" s="154" t="s">
        <v>4233</v>
      </c>
      <c r="J1153" s="154" t="s">
        <v>29</v>
      </c>
      <c r="K1153" s="154" t="s">
        <v>2426</v>
      </c>
      <c r="N1153" s="155"/>
      <c r="O1153" s="156"/>
      <c r="P1153" s="157"/>
      <c r="Q1153" s="158">
        <v>3</v>
      </c>
      <c r="R1153" s="159">
        <v>2</v>
      </c>
      <c r="S1153" s="160"/>
      <c r="T1153" s="161">
        <v>4</v>
      </c>
      <c r="U1153" s="156"/>
      <c r="V1153" s="162">
        <v>1</v>
      </c>
      <c r="W1153" s="163">
        <v>1</v>
      </c>
      <c r="X1153" s="164"/>
      <c r="Y1153" s="159"/>
      <c r="Z1153" s="161"/>
      <c r="AA1153" s="165">
        <v>1</v>
      </c>
      <c r="AD1153" s="154" t="s">
        <v>460</v>
      </c>
      <c r="AE1153" s="155"/>
      <c r="AF1153" s="154" t="s">
        <v>4642</v>
      </c>
      <c r="AP1153" s="155"/>
      <c r="AQ1153" s="156"/>
      <c r="AR1153" s="157"/>
      <c r="AS1153" s="158"/>
      <c r="AT1153" s="159"/>
      <c r="AU1153" s="161"/>
      <c r="AV1153" s="156"/>
      <c r="AW1153" s="162"/>
      <c r="AX1153" s="163"/>
      <c r="AY1153" s="164"/>
      <c r="AZ1153" s="159"/>
      <c r="BA1153" s="161"/>
      <c r="BB1153" s="165"/>
      <c r="BF1153" s="155"/>
    </row>
    <row r="1154" spans="1:59" s="154" customFormat="1" ht="15" customHeight="1">
      <c r="A1154" s="153" t="s">
        <v>4192</v>
      </c>
      <c r="B1154" s="153" t="s">
        <v>4234</v>
      </c>
      <c r="C1154" s="153" t="s">
        <v>4194</v>
      </c>
      <c r="D1154" s="170">
        <v>24</v>
      </c>
      <c r="E1154" s="154">
        <v>2</v>
      </c>
      <c r="F1154" s="153" t="s">
        <v>4206</v>
      </c>
      <c r="G1154" s="154" t="s">
        <v>4235</v>
      </c>
      <c r="J1154" s="154" t="s">
        <v>28</v>
      </c>
      <c r="K1154" s="154" t="s">
        <v>2426</v>
      </c>
      <c r="N1154" s="155"/>
      <c r="O1154" s="156"/>
      <c r="P1154" s="157"/>
      <c r="Q1154" s="158"/>
      <c r="R1154" s="159"/>
      <c r="S1154" s="160"/>
      <c r="T1154" s="161"/>
      <c r="U1154" s="156"/>
      <c r="V1154" s="162"/>
      <c r="W1154" s="163"/>
      <c r="X1154" s="164"/>
      <c r="Y1154" s="159"/>
      <c r="Z1154" s="161"/>
      <c r="AA1154" s="165"/>
      <c r="AD1154" s="154" t="s">
        <v>486</v>
      </c>
      <c r="AE1154" s="155"/>
      <c r="AF1154" s="154" t="s">
        <v>4236</v>
      </c>
      <c r="AP1154" s="155"/>
      <c r="AQ1154" s="156"/>
      <c r="AR1154" s="157"/>
      <c r="AS1154" s="158"/>
      <c r="AT1154" s="159"/>
      <c r="AU1154" s="161"/>
      <c r="AV1154" s="156"/>
      <c r="AW1154" s="162"/>
      <c r="AX1154" s="163"/>
      <c r="AY1154" s="164"/>
      <c r="AZ1154" s="159"/>
      <c r="BA1154" s="161"/>
      <c r="BB1154" s="165"/>
      <c r="BF1154" s="155"/>
    </row>
    <row r="1155" spans="1:59" s="154" customFormat="1" ht="15" customHeight="1">
      <c r="A1155" s="153" t="s">
        <v>4192</v>
      </c>
      <c r="B1155" s="153" t="s">
        <v>4237</v>
      </c>
      <c r="C1155" s="153" t="s">
        <v>4194</v>
      </c>
      <c r="D1155" s="170">
        <v>25</v>
      </c>
      <c r="E1155" s="154">
        <v>1</v>
      </c>
      <c r="F1155" s="153" t="s">
        <v>4238</v>
      </c>
      <c r="G1155" s="154" t="s">
        <v>4238</v>
      </c>
      <c r="J1155" s="154" t="s">
        <v>618</v>
      </c>
      <c r="K1155" s="154" t="s">
        <v>2426</v>
      </c>
      <c r="N1155" s="155"/>
      <c r="O1155" s="156"/>
      <c r="P1155" s="157"/>
      <c r="Q1155" s="158"/>
      <c r="R1155" s="159"/>
      <c r="S1155" s="160"/>
      <c r="T1155" s="161"/>
      <c r="U1155" s="156"/>
      <c r="V1155" s="162"/>
      <c r="W1155" s="163"/>
      <c r="X1155" s="164"/>
      <c r="Y1155" s="159"/>
      <c r="Z1155" s="161"/>
      <c r="AA1155" s="165"/>
      <c r="AE1155" s="155"/>
      <c r="AF1155" s="154" t="s">
        <v>4643</v>
      </c>
      <c r="AI1155" s="154" t="s">
        <v>4238</v>
      </c>
      <c r="AL1155" s="154" t="s">
        <v>618</v>
      </c>
      <c r="AM1155" s="154" t="s">
        <v>2426</v>
      </c>
      <c r="AP1155" s="155"/>
      <c r="AQ1155" s="156"/>
      <c r="AR1155" s="157"/>
      <c r="AS1155" s="158"/>
      <c r="AT1155" s="159"/>
      <c r="AU1155" s="161"/>
      <c r="AV1155" s="156"/>
      <c r="AW1155" s="162"/>
      <c r="AX1155" s="163"/>
      <c r="AY1155" s="164"/>
      <c r="AZ1155" s="159"/>
      <c r="BA1155" s="161"/>
      <c r="BB1155" s="165"/>
      <c r="BF1155" s="155"/>
      <c r="BG1155" s="154" t="s">
        <v>4644</v>
      </c>
    </row>
    <row r="1156" spans="1:59" s="154" customFormat="1" ht="15" customHeight="1">
      <c r="A1156" s="153" t="s">
        <v>4192</v>
      </c>
      <c r="B1156" s="153" t="s">
        <v>4239</v>
      </c>
      <c r="C1156" s="153" t="s">
        <v>4194</v>
      </c>
      <c r="D1156" s="170">
        <v>26</v>
      </c>
      <c r="E1156" s="154">
        <v>1</v>
      </c>
      <c r="F1156" s="153" t="s">
        <v>4238</v>
      </c>
      <c r="G1156" s="154" t="s">
        <v>4645</v>
      </c>
      <c r="J1156" s="154" t="s">
        <v>619</v>
      </c>
      <c r="K1156" s="154" t="s">
        <v>2426</v>
      </c>
      <c r="L1156" s="154">
        <v>1</v>
      </c>
      <c r="N1156" s="155"/>
      <c r="O1156" s="156"/>
      <c r="P1156" s="157"/>
      <c r="Q1156" s="158"/>
      <c r="R1156" s="159"/>
      <c r="S1156" s="160"/>
      <c r="T1156" s="161"/>
      <c r="U1156" s="156"/>
      <c r="V1156" s="162"/>
      <c r="W1156" s="163"/>
      <c r="X1156" s="164"/>
      <c r="Y1156" s="159"/>
      <c r="Z1156" s="161">
        <v>6</v>
      </c>
      <c r="AA1156" s="165"/>
      <c r="AE1156" s="155"/>
      <c r="AF1156" s="154" t="s">
        <v>727</v>
      </c>
      <c r="AI1156" s="153" t="s">
        <v>4240</v>
      </c>
      <c r="AJ1156" s="154" t="s">
        <v>4241</v>
      </c>
      <c r="AK1156" s="154" t="s">
        <v>223</v>
      </c>
      <c r="AL1156" s="154" t="s">
        <v>29</v>
      </c>
      <c r="AM1156" s="154" t="s">
        <v>2426</v>
      </c>
      <c r="AP1156" s="155"/>
      <c r="AQ1156" s="156"/>
      <c r="AR1156" s="157"/>
      <c r="AS1156" s="158">
        <v>3</v>
      </c>
      <c r="AT1156" s="159">
        <v>3</v>
      </c>
      <c r="AU1156" s="161">
        <v>4</v>
      </c>
      <c r="AV1156" s="156"/>
      <c r="AW1156" s="162">
        <v>1</v>
      </c>
      <c r="AX1156" s="163">
        <v>2</v>
      </c>
      <c r="AY1156" s="164"/>
      <c r="AZ1156" s="159"/>
      <c r="BA1156" s="161"/>
      <c r="BB1156" s="165">
        <v>2</v>
      </c>
      <c r="BE1156" s="154" t="s">
        <v>4646</v>
      </c>
      <c r="BF1156" s="155"/>
      <c r="BG1156" s="154" t="s">
        <v>4647</v>
      </c>
    </row>
    <row r="1157" spans="1:59" s="154" customFormat="1" ht="15" customHeight="1">
      <c r="A1157" s="153" t="s">
        <v>4192</v>
      </c>
      <c r="B1157" s="153" t="s">
        <v>4242</v>
      </c>
      <c r="C1157" s="153" t="s">
        <v>4194</v>
      </c>
      <c r="D1157" s="170">
        <v>27</v>
      </c>
      <c r="E1157" s="154">
        <v>1</v>
      </c>
      <c r="F1157" s="153" t="s">
        <v>4238</v>
      </c>
      <c r="G1157" s="154" t="s">
        <v>4243</v>
      </c>
      <c r="J1157" s="154" t="s">
        <v>31</v>
      </c>
      <c r="K1157" s="154" t="s">
        <v>2426</v>
      </c>
      <c r="N1157" s="155"/>
      <c r="O1157" s="156"/>
      <c r="P1157" s="157"/>
      <c r="Q1157" s="158"/>
      <c r="R1157" s="159"/>
      <c r="S1157" s="160"/>
      <c r="T1157" s="161"/>
      <c r="U1157" s="156"/>
      <c r="V1157" s="162"/>
      <c r="W1157" s="163"/>
      <c r="X1157" s="164"/>
      <c r="Y1157" s="159"/>
      <c r="Z1157" s="161"/>
      <c r="AA1157" s="165"/>
      <c r="AD1157" s="154" t="s">
        <v>463</v>
      </c>
      <c r="AE1157" s="155"/>
      <c r="AI1157" s="154" t="s">
        <v>4243</v>
      </c>
      <c r="AJ1157" s="154" t="s">
        <v>4140</v>
      </c>
      <c r="AL1157" s="154" t="s">
        <v>31</v>
      </c>
      <c r="AM1157" s="154" t="s">
        <v>2426</v>
      </c>
      <c r="AP1157" s="155"/>
      <c r="AQ1157" s="156"/>
      <c r="AR1157" s="157"/>
      <c r="AS1157" s="158"/>
      <c r="AT1157" s="159"/>
      <c r="AU1157" s="161"/>
      <c r="AV1157" s="156"/>
      <c r="AW1157" s="162"/>
      <c r="AX1157" s="163"/>
      <c r="AY1157" s="164">
        <v>4</v>
      </c>
      <c r="AZ1157" s="159" t="s">
        <v>1111</v>
      </c>
      <c r="BA1157" s="161"/>
      <c r="BB1157" s="165">
        <v>1</v>
      </c>
      <c r="BE1157" s="154" t="s">
        <v>463</v>
      </c>
      <c r="BF1157" s="155"/>
      <c r="BG1157" s="154" t="s">
        <v>4648</v>
      </c>
    </row>
    <row r="1158" spans="1:59" s="154" customFormat="1" ht="15" customHeight="1">
      <c r="A1158" s="153" t="s">
        <v>4192</v>
      </c>
      <c r="B1158" s="153" t="s">
        <v>4244</v>
      </c>
      <c r="C1158" s="153" t="s">
        <v>4194</v>
      </c>
      <c r="D1158" s="170">
        <v>28</v>
      </c>
      <c r="E1158" s="154">
        <v>1</v>
      </c>
      <c r="F1158" s="153" t="s">
        <v>4238</v>
      </c>
      <c r="G1158" s="154" t="s">
        <v>758</v>
      </c>
      <c r="J1158" s="154" t="s">
        <v>31</v>
      </c>
      <c r="K1158" s="154" t="s">
        <v>2426</v>
      </c>
      <c r="N1158" s="155"/>
      <c r="O1158" s="156"/>
      <c r="P1158" s="157"/>
      <c r="Q1158" s="158"/>
      <c r="R1158" s="159"/>
      <c r="S1158" s="160"/>
      <c r="T1158" s="161"/>
      <c r="U1158" s="156"/>
      <c r="V1158" s="162"/>
      <c r="W1158" s="163"/>
      <c r="X1158" s="164"/>
      <c r="Y1158" s="159"/>
      <c r="Z1158" s="161"/>
      <c r="AA1158" s="165"/>
      <c r="AD1158" s="154" t="s">
        <v>463</v>
      </c>
      <c r="AE1158" s="155"/>
      <c r="AI1158" s="154" t="s">
        <v>758</v>
      </c>
      <c r="AJ1158" s="154" t="s">
        <v>4649</v>
      </c>
      <c r="AL1158" s="154" t="s">
        <v>31</v>
      </c>
      <c r="AM1158" s="154" t="s">
        <v>2426</v>
      </c>
      <c r="AP1158" s="155"/>
      <c r="AQ1158" s="156"/>
      <c r="AR1158" s="157"/>
      <c r="AS1158" s="158"/>
      <c r="AT1158" s="159"/>
      <c r="AU1158" s="161"/>
      <c r="AV1158" s="156"/>
      <c r="AW1158" s="162"/>
      <c r="AX1158" s="163"/>
      <c r="AY1158" s="164">
        <v>2</v>
      </c>
      <c r="AZ1158" s="159" t="s">
        <v>1073</v>
      </c>
      <c r="BA1158" s="161"/>
      <c r="BB1158" s="165"/>
      <c r="BE1158" s="154" t="s">
        <v>463</v>
      </c>
      <c r="BF1158" s="155"/>
      <c r="BG1158" s="154" t="s">
        <v>4650</v>
      </c>
    </row>
    <row r="1159" spans="1:59" s="154" customFormat="1" ht="15" customHeight="1">
      <c r="A1159" s="153" t="s">
        <v>4192</v>
      </c>
      <c r="B1159" s="153" t="s">
        <v>4245</v>
      </c>
      <c r="C1159" s="153" t="s">
        <v>4194</v>
      </c>
      <c r="D1159" s="170">
        <v>29</v>
      </c>
      <c r="E1159" s="154">
        <v>1</v>
      </c>
      <c r="F1159" s="153" t="s">
        <v>4238</v>
      </c>
      <c r="G1159" s="154" t="s">
        <v>464</v>
      </c>
      <c r="J1159" s="154" t="s">
        <v>31</v>
      </c>
      <c r="K1159" s="154" t="s">
        <v>2426</v>
      </c>
      <c r="N1159" s="155"/>
      <c r="O1159" s="156"/>
      <c r="P1159" s="157"/>
      <c r="Q1159" s="158"/>
      <c r="R1159" s="159"/>
      <c r="S1159" s="160"/>
      <c r="T1159" s="161"/>
      <c r="U1159" s="156"/>
      <c r="V1159" s="162"/>
      <c r="W1159" s="163"/>
      <c r="X1159" s="164"/>
      <c r="Y1159" s="159"/>
      <c r="Z1159" s="161"/>
      <c r="AA1159" s="165"/>
      <c r="AD1159" s="154" t="s">
        <v>463</v>
      </c>
      <c r="AE1159" s="155"/>
      <c r="AI1159" s="154" t="s">
        <v>464</v>
      </c>
      <c r="AJ1159" s="154" t="s">
        <v>4651</v>
      </c>
      <c r="AL1159" s="154" t="s">
        <v>31</v>
      </c>
      <c r="AM1159" s="154" t="s">
        <v>2426</v>
      </c>
      <c r="AP1159" s="155"/>
      <c r="AQ1159" s="156"/>
      <c r="AR1159" s="157"/>
      <c r="AS1159" s="158"/>
      <c r="AT1159" s="159"/>
      <c r="AU1159" s="161"/>
      <c r="AV1159" s="156"/>
      <c r="AW1159" s="162"/>
      <c r="AX1159" s="163"/>
      <c r="AY1159" s="164">
        <v>3</v>
      </c>
      <c r="AZ1159" s="159" t="s">
        <v>1073</v>
      </c>
      <c r="BA1159" s="161"/>
      <c r="BB1159" s="165"/>
      <c r="BE1159" s="154" t="s">
        <v>463</v>
      </c>
      <c r="BF1159" s="155"/>
      <c r="BG1159" s="154" t="s">
        <v>4246</v>
      </c>
    </row>
    <row r="1160" spans="1:59" s="154" customFormat="1" ht="15" customHeight="1">
      <c r="A1160" s="153" t="s">
        <v>4192</v>
      </c>
      <c r="B1160" s="153" t="s">
        <v>4247</v>
      </c>
      <c r="C1160" s="153" t="s">
        <v>4194</v>
      </c>
      <c r="D1160" s="170">
        <v>30</v>
      </c>
      <c r="E1160" s="154">
        <v>1</v>
      </c>
      <c r="F1160" s="153" t="s">
        <v>4238</v>
      </c>
      <c r="G1160" s="154" t="s">
        <v>741</v>
      </c>
      <c r="J1160" s="154" t="s">
        <v>31</v>
      </c>
      <c r="K1160" s="154" t="s">
        <v>2426</v>
      </c>
      <c r="N1160" s="155"/>
      <c r="O1160" s="156"/>
      <c r="P1160" s="157"/>
      <c r="Q1160" s="158"/>
      <c r="R1160" s="159"/>
      <c r="S1160" s="160"/>
      <c r="T1160" s="161"/>
      <c r="U1160" s="156"/>
      <c r="V1160" s="162"/>
      <c r="W1160" s="163"/>
      <c r="X1160" s="164"/>
      <c r="Y1160" s="159"/>
      <c r="Z1160" s="161"/>
      <c r="AA1160" s="165"/>
      <c r="AD1160" s="154" t="s">
        <v>742</v>
      </c>
      <c r="AI1160" s="154" t="s">
        <v>741</v>
      </c>
      <c r="AJ1160" s="154" t="s">
        <v>4652</v>
      </c>
      <c r="AL1160" s="154" t="s">
        <v>31</v>
      </c>
      <c r="AM1160" s="154" t="s">
        <v>2426</v>
      </c>
      <c r="AP1160" s="155"/>
      <c r="AQ1160" s="156"/>
      <c r="AR1160" s="157"/>
      <c r="AS1160" s="158"/>
      <c r="AT1160" s="159"/>
      <c r="AU1160" s="161"/>
      <c r="AV1160" s="156"/>
      <c r="AW1160" s="162"/>
      <c r="AX1160" s="163"/>
      <c r="AY1160" s="164">
        <v>4</v>
      </c>
      <c r="AZ1160" s="159" t="s">
        <v>1073</v>
      </c>
      <c r="BA1160" s="161"/>
      <c r="BB1160" s="165"/>
      <c r="BE1160" s="154" t="s">
        <v>742</v>
      </c>
      <c r="BF1160" s="155"/>
      <c r="BG1160" s="154" t="s">
        <v>4653</v>
      </c>
    </row>
    <row r="1161" spans="1:59" s="154" customFormat="1" ht="15" customHeight="1">
      <c r="A1161" s="153" t="s">
        <v>4192</v>
      </c>
      <c r="B1161" s="153" t="s">
        <v>4248</v>
      </c>
      <c r="C1161" s="153" t="s">
        <v>4194</v>
      </c>
      <c r="D1161" s="170">
        <v>31</v>
      </c>
      <c r="E1161" s="154">
        <v>2</v>
      </c>
      <c r="F1161" s="153" t="s">
        <v>4238</v>
      </c>
      <c r="G1161" s="154" t="s">
        <v>4249</v>
      </c>
      <c r="J1161" s="154" t="s">
        <v>28</v>
      </c>
      <c r="K1161" s="154" t="s">
        <v>2426</v>
      </c>
      <c r="N1161" s="155"/>
      <c r="O1161" s="156"/>
      <c r="P1161" s="157"/>
      <c r="Q1161" s="158"/>
      <c r="R1161" s="159"/>
      <c r="S1161" s="160"/>
      <c r="T1161" s="161"/>
      <c r="U1161" s="156"/>
      <c r="V1161" s="162"/>
      <c r="W1161" s="163"/>
      <c r="X1161" s="164"/>
      <c r="Y1161" s="159"/>
      <c r="Z1161" s="161"/>
      <c r="AA1161" s="165"/>
      <c r="AD1161" s="154" t="s">
        <v>4250</v>
      </c>
      <c r="AE1161" s="155"/>
      <c r="AF1161" s="154" t="s">
        <v>4654</v>
      </c>
      <c r="AP1161" s="155"/>
      <c r="AQ1161" s="156"/>
      <c r="AR1161" s="157"/>
      <c r="AS1161" s="158"/>
      <c r="AT1161" s="159"/>
      <c r="AU1161" s="161"/>
      <c r="AV1161" s="156"/>
      <c r="AW1161" s="162"/>
      <c r="AX1161" s="163"/>
      <c r="AY1161" s="164"/>
      <c r="AZ1161" s="159"/>
      <c r="BA1161" s="161"/>
      <c r="BB1161" s="165"/>
      <c r="BF1161" s="155"/>
    </row>
    <row r="1162" spans="1:59" s="154" customFormat="1" ht="15" customHeight="1">
      <c r="A1162" s="153" t="s">
        <v>4192</v>
      </c>
      <c r="B1162" s="153" t="s">
        <v>4251</v>
      </c>
      <c r="C1162" s="153" t="s">
        <v>4194</v>
      </c>
      <c r="D1162" s="170">
        <v>32</v>
      </c>
      <c r="E1162" s="154">
        <v>1</v>
      </c>
      <c r="F1162" s="153" t="s">
        <v>4252</v>
      </c>
      <c r="G1162" s="154" t="s">
        <v>4252</v>
      </c>
      <c r="J1162" s="154" t="s">
        <v>618</v>
      </c>
      <c r="K1162" s="154" t="s">
        <v>2426</v>
      </c>
      <c r="N1162" s="155"/>
      <c r="O1162" s="156"/>
      <c r="P1162" s="157"/>
      <c r="Q1162" s="158"/>
      <c r="R1162" s="159"/>
      <c r="S1162" s="160"/>
      <c r="T1162" s="161"/>
      <c r="U1162" s="156"/>
      <c r="V1162" s="162"/>
      <c r="W1162" s="163"/>
      <c r="X1162" s="164"/>
      <c r="Y1162" s="159"/>
      <c r="Z1162" s="161"/>
      <c r="AA1162" s="165"/>
      <c r="AE1162" s="155"/>
      <c r="AF1162" s="154" t="s">
        <v>4655</v>
      </c>
      <c r="AI1162" s="154" t="s">
        <v>4253</v>
      </c>
      <c r="AL1162" s="154" t="s">
        <v>28</v>
      </c>
      <c r="AM1162" s="154" t="s">
        <v>2426</v>
      </c>
      <c r="AP1162" s="155"/>
      <c r="AQ1162" s="156"/>
      <c r="AR1162" s="157"/>
      <c r="AS1162" s="158"/>
      <c r="AT1162" s="159"/>
      <c r="AU1162" s="161"/>
      <c r="AV1162" s="156"/>
      <c r="AW1162" s="162"/>
      <c r="AX1162" s="163"/>
      <c r="AY1162" s="164"/>
      <c r="AZ1162" s="159"/>
      <c r="BA1162" s="161"/>
      <c r="BB1162" s="165"/>
      <c r="BE1162" s="154" t="s">
        <v>4254</v>
      </c>
      <c r="BF1162" s="155"/>
      <c r="BG1162" s="154" t="s">
        <v>4656</v>
      </c>
    </row>
    <row r="1163" spans="1:59" s="154" customFormat="1" ht="15" customHeight="1">
      <c r="A1163" s="153" t="s">
        <v>4192</v>
      </c>
      <c r="B1163" s="153" t="s">
        <v>4255</v>
      </c>
      <c r="C1163" s="153" t="s">
        <v>4194</v>
      </c>
      <c r="D1163" s="170">
        <v>33</v>
      </c>
      <c r="E1163" s="154">
        <v>1</v>
      </c>
      <c r="F1163" s="153" t="s">
        <v>4252</v>
      </c>
      <c r="G1163" s="154" t="s">
        <v>805</v>
      </c>
      <c r="J1163" s="154" t="s">
        <v>31</v>
      </c>
      <c r="K1163" s="154" t="s">
        <v>2426</v>
      </c>
      <c r="N1163" s="155"/>
      <c r="O1163" s="156"/>
      <c r="P1163" s="157"/>
      <c r="Q1163" s="158"/>
      <c r="R1163" s="159"/>
      <c r="S1163" s="160"/>
      <c r="T1163" s="161"/>
      <c r="U1163" s="156"/>
      <c r="V1163" s="162"/>
      <c r="W1163" s="163"/>
      <c r="X1163" s="164"/>
      <c r="Y1163" s="159"/>
      <c r="Z1163" s="161"/>
      <c r="AA1163" s="165"/>
      <c r="AD1163" s="154" t="s">
        <v>472</v>
      </c>
      <c r="AE1163" s="155"/>
      <c r="AI1163" s="154" t="s">
        <v>805</v>
      </c>
      <c r="AJ1163" s="154" t="s">
        <v>4657</v>
      </c>
      <c r="AL1163" s="154" t="s">
        <v>31</v>
      </c>
      <c r="AM1163" s="154" t="s">
        <v>2426</v>
      </c>
      <c r="AP1163" s="155"/>
      <c r="AQ1163" s="156"/>
      <c r="AR1163" s="157"/>
      <c r="AS1163" s="158"/>
      <c r="AT1163" s="159"/>
      <c r="AU1163" s="161"/>
      <c r="AV1163" s="156"/>
      <c r="AW1163" s="162"/>
      <c r="AX1163" s="163"/>
      <c r="AY1163" s="164">
        <v>4</v>
      </c>
      <c r="AZ1163" s="159" t="s">
        <v>1073</v>
      </c>
      <c r="BA1163" s="161"/>
      <c r="BB1163" s="165"/>
      <c r="BE1163" s="154" t="s">
        <v>472</v>
      </c>
      <c r="BF1163" s="155"/>
      <c r="BG1163" s="154" t="s">
        <v>4658</v>
      </c>
    </row>
    <row r="1164" spans="1:59" s="154" customFormat="1" ht="15" customHeight="1">
      <c r="A1164" s="153" t="s">
        <v>4192</v>
      </c>
      <c r="B1164" s="153" t="s">
        <v>4256</v>
      </c>
      <c r="C1164" s="153" t="s">
        <v>4194</v>
      </c>
      <c r="D1164" s="170">
        <v>34</v>
      </c>
      <c r="E1164" s="154">
        <v>1</v>
      </c>
      <c r="F1164" s="153" t="s">
        <v>4252</v>
      </c>
      <c r="G1164" s="154" t="s">
        <v>805</v>
      </c>
      <c r="J1164" s="154" t="s">
        <v>31</v>
      </c>
      <c r="K1164" s="154" t="s">
        <v>2426</v>
      </c>
      <c r="N1164" s="155"/>
      <c r="O1164" s="156"/>
      <c r="P1164" s="157"/>
      <c r="Q1164" s="158"/>
      <c r="R1164" s="159"/>
      <c r="S1164" s="160"/>
      <c r="T1164" s="161"/>
      <c r="U1164" s="156"/>
      <c r="V1164" s="162"/>
      <c r="W1164" s="163"/>
      <c r="X1164" s="164"/>
      <c r="Y1164" s="159"/>
      <c r="Z1164" s="161"/>
      <c r="AA1164" s="165"/>
      <c r="AD1164" s="154" t="s">
        <v>472</v>
      </c>
      <c r="AE1164" s="155"/>
      <c r="AI1164" s="154" t="s">
        <v>805</v>
      </c>
      <c r="AJ1164" s="154" t="s">
        <v>4659</v>
      </c>
      <c r="AL1164" s="154" t="s">
        <v>31</v>
      </c>
      <c r="AM1164" s="154" t="s">
        <v>2426</v>
      </c>
      <c r="AP1164" s="155"/>
      <c r="AQ1164" s="156"/>
      <c r="AR1164" s="157"/>
      <c r="AS1164" s="158"/>
      <c r="AT1164" s="159"/>
      <c r="AU1164" s="161"/>
      <c r="AV1164" s="156"/>
      <c r="AW1164" s="162"/>
      <c r="AX1164" s="163"/>
      <c r="AY1164" s="164">
        <v>2</v>
      </c>
      <c r="AZ1164" s="159" t="s">
        <v>1073</v>
      </c>
      <c r="BA1164" s="161"/>
      <c r="BB1164" s="165"/>
      <c r="BE1164" s="154" t="s">
        <v>472</v>
      </c>
      <c r="BF1164" s="155"/>
      <c r="BG1164" s="154" t="s">
        <v>4660</v>
      </c>
    </row>
    <row r="1165" spans="1:59" s="154" customFormat="1" ht="15" customHeight="1">
      <c r="A1165" s="153" t="s">
        <v>4192</v>
      </c>
      <c r="B1165" s="153" t="s">
        <v>4257</v>
      </c>
      <c r="C1165" s="153" t="s">
        <v>4194</v>
      </c>
      <c r="D1165" s="170">
        <v>35</v>
      </c>
      <c r="E1165" s="154">
        <v>1</v>
      </c>
      <c r="F1165" s="153" t="s">
        <v>4252</v>
      </c>
      <c r="G1165" s="154" t="s">
        <v>805</v>
      </c>
      <c r="J1165" s="154" t="s">
        <v>31</v>
      </c>
      <c r="K1165" s="154" t="s">
        <v>2426</v>
      </c>
      <c r="N1165" s="155"/>
      <c r="O1165" s="156"/>
      <c r="P1165" s="157"/>
      <c r="Q1165" s="158"/>
      <c r="R1165" s="159"/>
      <c r="S1165" s="160"/>
      <c r="T1165" s="161"/>
      <c r="U1165" s="156"/>
      <c r="V1165" s="162"/>
      <c r="W1165" s="163"/>
      <c r="X1165" s="164"/>
      <c r="Y1165" s="159"/>
      <c r="Z1165" s="161"/>
      <c r="AA1165" s="165"/>
      <c r="AD1165" s="154" t="s">
        <v>472</v>
      </c>
      <c r="AE1165" s="155"/>
      <c r="AI1165" s="154" t="s">
        <v>805</v>
      </c>
      <c r="AJ1165" s="154" t="s">
        <v>4661</v>
      </c>
      <c r="AL1165" s="154" t="s">
        <v>31</v>
      </c>
      <c r="AM1165" s="154" t="s">
        <v>2426</v>
      </c>
      <c r="AP1165" s="155"/>
      <c r="AQ1165" s="156"/>
      <c r="AR1165" s="157"/>
      <c r="AS1165" s="158"/>
      <c r="AT1165" s="159"/>
      <c r="AU1165" s="161"/>
      <c r="AV1165" s="156"/>
      <c r="AW1165" s="162"/>
      <c r="AX1165" s="163"/>
      <c r="AY1165" s="164">
        <v>3</v>
      </c>
      <c r="AZ1165" s="159" t="s">
        <v>1073</v>
      </c>
      <c r="BA1165" s="161"/>
      <c r="BB1165" s="165"/>
      <c r="BE1165" s="154" t="s">
        <v>472</v>
      </c>
      <c r="BF1165" s="155"/>
      <c r="BG1165" s="154" t="s">
        <v>4258</v>
      </c>
    </row>
    <row r="1166" spans="1:59" s="154" customFormat="1" ht="15" customHeight="1">
      <c r="A1166" s="153" t="s">
        <v>4192</v>
      </c>
      <c r="B1166" s="153" t="s">
        <v>4259</v>
      </c>
      <c r="C1166" s="153" t="s">
        <v>4194</v>
      </c>
      <c r="D1166" s="170">
        <v>36</v>
      </c>
      <c r="E1166" s="154">
        <v>1</v>
      </c>
      <c r="F1166" s="153" t="s">
        <v>4252</v>
      </c>
      <c r="G1166" s="154" t="s">
        <v>805</v>
      </c>
      <c r="J1166" s="154" t="s">
        <v>31</v>
      </c>
      <c r="K1166" s="154" t="s">
        <v>2426</v>
      </c>
      <c r="N1166" s="155"/>
      <c r="O1166" s="156"/>
      <c r="P1166" s="157"/>
      <c r="Q1166" s="158"/>
      <c r="R1166" s="159"/>
      <c r="S1166" s="160"/>
      <c r="T1166" s="161"/>
      <c r="U1166" s="156"/>
      <c r="V1166" s="162"/>
      <c r="W1166" s="163"/>
      <c r="X1166" s="164"/>
      <c r="Y1166" s="159"/>
      <c r="Z1166" s="161"/>
      <c r="AA1166" s="165"/>
      <c r="AD1166" s="154" t="s">
        <v>472</v>
      </c>
      <c r="AE1166" s="155"/>
      <c r="AI1166" s="154" t="s">
        <v>805</v>
      </c>
      <c r="AJ1166" s="154" t="s">
        <v>4662</v>
      </c>
      <c r="AL1166" s="154" t="s">
        <v>31</v>
      </c>
      <c r="AM1166" s="154" t="s">
        <v>2426</v>
      </c>
      <c r="AP1166" s="155"/>
      <c r="AQ1166" s="156"/>
      <c r="AR1166" s="157"/>
      <c r="AS1166" s="158"/>
      <c r="AT1166" s="159"/>
      <c r="AU1166" s="161"/>
      <c r="AV1166" s="156"/>
      <c r="AW1166" s="162"/>
      <c r="AX1166" s="163"/>
      <c r="AY1166" s="164">
        <v>3</v>
      </c>
      <c r="AZ1166" s="159" t="s">
        <v>1073</v>
      </c>
      <c r="BA1166" s="161"/>
      <c r="BB1166" s="165"/>
      <c r="BE1166" s="154" t="s">
        <v>472</v>
      </c>
      <c r="BF1166" s="155"/>
      <c r="BG1166" s="154" t="s">
        <v>4663</v>
      </c>
    </row>
    <row r="1167" spans="1:59" s="154" customFormat="1" ht="15" customHeight="1">
      <c r="A1167" s="153" t="s">
        <v>4192</v>
      </c>
      <c r="B1167" s="153" t="s">
        <v>4260</v>
      </c>
      <c r="C1167" s="153" t="s">
        <v>4194</v>
      </c>
      <c r="D1167" s="170">
        <v>37</v>
      </c>
      <c r="E1167" s="154">
        <v>2</v>
      </c>
      <c r="F1167" s="153" t="s">
        <v>4252</v>
      </c>
      <c r="G1167" s="154" t="s">
        <v>4664</v>
      </c>
      <c r="J1167" s="154" t="s">
        <v>28</v>
      </c>
      <c r="K1167" s="154" t="s">
        <v>2426</v>
      </c>
      <c r="N1167" s="155"/>
      <c r="O1167" s="156"/>
      <c r="P1167" s="157"/>
      <c r="Q1167" s="158"/>
      <c r="R1167" s="159"/>
      <c r="S1167" s="160"/>
      <c r="T1167" s="161"/>
      <c r="U1167" s="156"/>
      <c r="V1167" s="162"/>
      <c r="W1167" s="163"/>
      <c r="X1167" s="164"/>
      <c r="Y1167" s="159"/>
      <c r="Z1167" s="161"/>
      <c r="AA1167" s="165"/>
      <c r="AD1167" s="154" t="s">
        <v>1663</v>
      </c>
      <c r="AE1167" s="155"/>
      <c r="AF1167" s="154" t="s">
        <v>4665</v>
      </c>
      <c r="AP1167" s="155"/>
      <c r="AQ1167" s="156"/>
      <c r="AR1167" s="157"/>
      <c r="AS1167" s="158"/>
      <c r="AT1167" s="159"/>
      <c r="AU1167" s="161"/>
      <c r="AV1167" s="156"/>
      <c r="AW1167" s="162"/>
      <c r="AX1167" s="163"/>
      <c r="AY1167" s="164"/>
      <c r="AZ1167" s="159"/>
      <c r="BA1167" s="161"/>
      <c r="BB1167" s="165"/>
      <c r="BF1167" s="155"/>
    </row>
    <row r="1168" spans="1:59" s="154" customFormat="1" ht="15" customHeight="1">
      <c r="A1168" s="153" t="s">
        <v>4192</v>
      </c>
      <c r="B1168" s="153" t="s">
        <v>4261</v>
      </c>
      <c r="C1168" s="153" t="s">
        <v>4194</v>
      </c>
      <c r="D1168" s="155">
        <v>38</v>
      </c>
      <c r="E1168" s="154">
        <v>3</v>
      </c>
      <c r="F1168" s="153" t="s">
        <v>4262</v>
      </c>
      <c r="G1168" s="154" t="s">
        <v>4263</v>
      </c>
      <c r="J1168" s="154" t="s">
        <v>29</v>
      </c>
      <c r="K1168" s="154" t="s">
        <v>2426</v>
      </c>
      <c r="N1168" s="155"/>
      <c r="O1168" s="156"/>
      <c r="P1168" s="157"/>
      <c r="Q1168" s="158">
        <v>2</v>
      </c>
      <c r="R1168" s="159">
        <v>2</v>
      </c>
      <c r="S1168" s="160"/>
      <c r="T1168" s="161">
        <v>2</v>
      </c>
      <c r="U1168" s="156"/>
      <c r="V1168" s="162">
        <v>1</v>
      </c>
      <c r="W1168" s="163">
        <v>1</v>
      </c>
      <c r="X1168" s="164"/>
      <c r="Y1168" s="159"/>
      <c r="Z1168" s="161"/>
      <c r="AA1168" s="165"/>
      <c r="AD1168" s="154" t="s">
        <v>460</v>
      </c>
      <c r="AE1168" s="155"/>
      <c r="AF1168" s="154" t="s">
        <v>4666</v>
      </c>
      <c r="AP1168" s="155"/>
      <c r="AQ1168" s="156"/>
      <c r="AR1168" s="157"/>
      <c r="AS1168" s="158"/>
      <c r="AT1168" s="159"/>
      <c r="AU1168" s="161"/>
      <c r="AV1168" s="156"/>
      <c r="AW1168" s="162"/>
      <c r="AX1168" s="163"/>
      <c r="AY1168" s="164"/>
      <c r="AZ1168" s="159"/>
      <c r="BA1168" s="161"/>
      <c r="BB1168" s="165"/>
      <c r="BF1168" s="155"/>
    </row>
    <row r="1169" spans="1:58" s="154" customFormat="1" ht="15" customHeight="1">
      <c r="A1169" s="153" t="s">
        <v>4192</v>
      </c>
      <c r="B1169" s="153" t="s">
        <v>4264</v>
      </c>
      <c r="C1169" s="153" t="s">
        <v>4194</v>
      </c>
      <c r="D1169" s="155">
        <v>39</v>
      </c>
      <c r="E1169" s="154">
        <v>1</v>
      </c>
      <c r="F1169" s="153" t="s">
        <v>4262</v>
      </c>
      <c r="G1169" s="154" t="s">
        <v>4265</v>
      </c>
      <c r="J1169" s="154" t="s">
        <v>29</v>
      </c>
      <c r="K1169" s="154" t="s">
        <v>2426</v>
      </c>
      <c r="N1169" s="155"/>
      <c r="O1169" s="156"/>
      <c r="P1169" s="157"/>
      <c r="Q1169" s="158">
        <v>3</v>
      </c>
      <c r="R1169" s="159">
        <v>2</v>
      </c>
      <c r="S1169" s="160"/>
      <c r="T1169" s="161">
        <v>3</v>
      </c>
      <c r="U1169" s="156"/>
      <c r="V1169" s="162">
        <v>1</v>
      </c>
      <c r="W1169" s="163">
        <v>1</v>
      </c>
      <c r="X1169" s="164"/>
      <c r="Y1169" s="159"/>
      <c r="Z1169" s="161"/>
      <c r="AA1169" s="165"/>
      <c r="AD1169" s="154" t="s">
        <v>460</v>
      </c>
      <c r="AE1169" s="155"/>
      <c r="AF1169" s="154" t="s">
        <v>4667</v>
      </c>
      <c r="AP1169" s="155"/>
      <c r="AQ1169" s="156"/>
      <c r="AR1169" s="157"/>
      <c r="AS1169" s="158"/>
      <c r="AT1169" s="159"/>
      <c r="AU1169" s="161"/>
      <c r="AV1169" s="156"/>
      <c r="AW1169" s="162"/>
      <c r="AX1169" s="163"/>
      <c r="AY1169" s="164"/>
      <c r="AZ1169" s="159"/>
      <c r="BA1169" s="161"/>
      <c r="BB1169" s="165"/>
      <c r="BF1169" s="155"/>
    </row>
    <row r="1170" spans="1:58" s="154" customFormat="1" ht="15" customHeight="1">
      <c r="A1170" s="153" t="s">
        <v>4192</v>
      </c>
      <c r="B1170" s="153" t="s">
        <v>4266</v>
      </c>
      <c r="C1170" s="153" t="s">
        <v>4194</v>
      </c>
      <c r="D1170" s="155">
        <v>40</v>
      </c>
      <c r="E1170" s="154">
        <v>3</v>
      </c>
      <c r="F1170" s="153" t="s">
        <v>4262</v>
      </c>
      <c r="G1170" s="154" t="s">
        <v>4267</v>
      </c>
      <c r="J1170" s="154" t="s">
        <v>28</v>
      </c>
      <c r="K1170" s="154" t="s">
        <v>2426</v>
      </c>
      <c r="N1170" s="155"/>
      <c r="O1170" s="156"/>
      <c r="P1170" s="157"/>
      <c r="Q1170" s="158"/>
      <c r="R1170" s="159"/>
      <c r="S1170" s="160"/>
      <c r="T1170" s="161"/>
      <c r="U1170" s="156"/>
      <c r="V1170" s="162"/>
      <c r="W1170" s="163"/>
      <c r="X1170" s="164"/>
      <c r="Y1170" s="159"/>
      <c r="Z1170" s="161"/>
      <c r="AA1170" s="165"/>
      <c r="AD1170" s="154" t="s">
        <v>479</v>
      </c>
      <c r="AE1170" s="155"/>
      <c r="AF1170" s="154" t="s">
        <v>4668</v>
      </c>
      <c r="AP1170" s="155"/>
      <c r="AQ1170" s="156"/>
      <c r="AR1170" s="157"/>
      <c r="AS1170" s="158"/>
      <c r="AT1170" s="159"/>
      <c r="AU1170" s="161"/>
      <c r="AV1170" s="156"/>
      <c r="AW1170" s="162"/>
      <c r="AX1170" s="163"/>
      <c r="AY1170" s="164"/>
      <c r="AZ1170" s="159"/>
      <c r="BA1170" s="161"/>
      <c r="BB1170" s="165"/>
      <c r="BF1170" s="155"/>
    </row>
    <row r="1171" spans="1:58" s="154" customFormat="1" ht="15" customHeight="1">
      <c r="A1171" s="153" t="s">
        <v>4192</v>
      </c>
      <c r="B1171" s="153" t="s">
        <v>4268</v>
      </c>
      <c r="C1171" s="153" t="s">
        <v>4194</v>
      </c>
      <c r="D1171" s="155">
        <v>41</v>
      </c>
      <c r="E1171" s="154">
        <v>3</v>
      </c>
      <c r="F1171" s="153" t="s">
        <v>4269</v>
      </c>
      <c r="G1171" s="154" t="s">
        <v>4270</v>
      </c>
      <c r="J1171" s="154" t="s">
        <v>29</v>
      </c>
      <c r="K1171" s="154" t="s">
        <v>2426</v>
      </c>
      <c r="N1171" s="155"/>
      <c r="O1171" s="156"/>
      <c r="P1171" s="157"/>
      <c r="Q1171" s="158">
        <v>3</v>
      </c>
      <c r="R1171" s="159">
        <v>1</v>
      </c>
      <c r="S1171" s="160"/>
      <c r="T1171" s="161">
        <v>1</v>
      </c>
      <c r="U1171" s="156"/>
      <c r="V1171" s="162">
        <v>1</v>
      </c>
      <c r="W1171" s="163"/>
      <c r="X1171" s="164"/>
      <c r="Y1171" s="159"/>
      <c r="Z1171" s="161"/>
      <c r="AA1171" s="165"/>
      <c r="AD1171" s="154" t="s">
        <v>467</v>
      </c>
      <c r="AE1171" s="155"/>
      <c r="AF1171" s="154" t="s">
        <v>4669</v>
      </c>
      <c r="AP1171" s="155"/>
      <c r="AQ1171" s="156"/>
      <c r="AR1171" s="157"/>
      <c r="AS1171" s="158"/>
      <c r="AT1171" s="159"/>
      <c r="AU1171" s="161"/>
      <c r="AV1171" s="156"/>
      <c r="AW1171" s="162"/>
      <c r="AX1171" s="163"/>
      <c r="AY1171" s="164"/>
      <c r="AZ1171" s="159"/>
      <c r="BA1171" s="161"/>
      <c r="BB1171" s="165"/>
      <c r="BF1171" s="155"/>
    </row>
    <row r="1172" spans="1:58" s="154" customFormat="1" ht="15" customHeight="1">
      <c r="A1172" s="153" t="s">
        <v>4192</v>
      </c>
      <c r="B1172" s="153" t="s">
        <v>4271</v>
      </c>
      <c r="C1172" s="153" t="s">
        <v>4194</v>
      </c>
      <c r="D1172" s="155">
        <v>42</v>
      </c>
      <c r="E1172" s="154">
        <v>1</v>
      </c>
      <c r="F1172" s="153" t="s">
        <v>4269</v>
      </c>
      <c r="G1172" s="154" t="s">
        <v>4272</v>
      </c>
      <c r="J1172" s="154" t="s">
        <v>29</v>
      </c>
      <c r="K1172" s="154" t="s">
        <v>2426</v>
      </c>
      <c r="N1172" s="155"/>
      <c r="O1172" s="156"/>
      <c r="P1172" s="157"/>
      <c r="Q1172" s="158">
        <v>4</v>
      </c>
      <c r="R1172" s="159">
        <v>3</v>
      </c>
      <c r="S1172" s="160"/>
      <c r="T1172" s="161">
        <v>3</v>
      </c>
      <c r="U1172" s="156"/>
      <c r="V1172" s="162">
        <v>1</v>
      </c>
      <c r="W1172" s="163">
        <v>2</v>
      </c>
      <c r="X1172" s="164"/>
      <c r="Y1172" s="159"/>
      <c r="Z1172" s="161"/>
      <c r="AA1172" s="165"/>
      <c r="AD1172" s="154" t="s">
        <v>4670</v>
      </c>
      <c r="AE1172" s="155"/>
      <c r="AF1172" s="154" t="s">
        <v>4671</v>
      </c>
      <c r="AJ1172" s="171"/>
      <c r="AP1172" s="155"/>
      <c r="AQ1172" s="156"/>
      <c r="AR1172" s="157"/>
      <c r="AS1172" s="158"/>
      <c r="AT1172" s="159"/>
      <c r="AU1172" s="161"/>
      <c r="AV1172" s="156"/>
      <c r="AW1172" s="162"/>
      <c r="AX1172" s="163"/>
      <c r="AY1172" s="164"/>
      <c r="AZ1172" s="159"/>
      <c r="BA1172" s="161"/>
      <c r="BB1172" s="165"/>
      <c r="BF1172" s="155"/>
    </row>
    <row r="1173" spans="1:58" s="154" customFormat="1" ht="15" customHeight="1">
      <c r="A1173" s="153" t="s">
        <v>4192</v>
      </c>
      <c r="B1173" s="153" t="s">
        <v>4273</v>
      </c>
      <c r="C1173" s="153" t="s">
        <v>4194</v>
      </c>
      <c r="D1173" s="155">
        <v>43</v>
      </c>
      <c r="E1173" s="154">
        <v>2</v>
      </c>
      <c r="F1173" s="153" t="s">
        <v>4269</v>
      </c>
      <c r="G1173" s="154" t="s">
        <v>4274</v>
      </c>
      <c r="J1173" s="154" t="s">
        <v>28</v>
      </c>
      <c r="K1173" s="154" t="s">
        <v>2426</v>
      </c>
      <c r="N1173" s="155"/>
      <c r="O1173" s="156"/>
      <c r="P1173" s="157"/>
      <c r="Q1173" s="158"/>
      <c r="R1173" s="159"/>
      <c r="S1173" s="160"/>
      <c r="T1173" s="161"/>
      <c r="U1173" s="156"/>
      <c r="V1173" s="162"/>
      <c r="W1173" s="163"/>
      <c r="X1173" s="164"/>
      <c r="Y1173" s="159"/>
      <c r="Z1173" s="161"/>
      <c r="AA1173" s="165"/>
      <c r="AD1173" s="154" t="s">
        <v>1175</v>
      </c>
      <c r="AE1173" s="155"/>
      <c r="AF1173" s="154" t="s">
        <v>4672</v>
      </c>
      <c r="AP1173" s="155"/>
      <c r="AQ1173" s="156"/>
      <c r="AR1173" s="157"/>
      <c r="AS1173" s="158"/>
      <c r="AT1173" s="159"/>
      <c r="AU1173" s="161"/>
      <c r="AV1173" s="156"/>
      <c r="AW1173" s="162"/>
      <c r="AX1173" s="163"/>
      <c r="AY1173" s="164"/>
      <c r="AZ1173" s="159"/>
      <c r="BA1173" s="161"/>
      <c r="BB1173" s="165"/>
      <c r="BF1173" s="155"/>
    </row>
    <row r="1174" spans="1:58" s="154" customFormat="1" ht="15" customHeight="1">
      <c r="A1174" s="153" t="s">
        <v>4192</v>
      </c>
      <c r="B1174" s="153" t="s">
        <v>4275</v>
      </c>
      <c r="C1174" s="153" t="s">
        <v>4194</v>
      </c>
      <c r="D1174" s="155">
        <v>44</v>
      </c>
      <c r="E1174" s="154">
        <v>1</v>
      </c>
      <c r="F1174" s="153" t="s">
        <v>4276</v>
      </c>
      <c r="G1174" s="154" t="s">
        <v>4277</v>
      </c>
      <c r="H1174" s="154" t="s">
        <v>4673</v>
      </c>
      <c r="I1174" s="154" t="s">
        <v>223</v>
      </c>
      <c r="J1174" s="154" t="s">
        <v>29</v>
      </c>
      <c r="K1174" s="154" t="s">
        <v>2426</v>
      </c>
      <c r="N1174" s="155"/>
      <c r="O1174" s="156"/>
      <c r="P1174" s="157"/>
      <c r="Q1174" s="158">
        <v>4</v>
      </c>
      <c r="R1174" s="159">
        <v>4</v>
      </c>
      <c r="S1174" s="160"/>
      <c r="T1174" s="161">
        <v>3</v>
      </c>
      <c r="U1174" s="156"/>
      <c r="V1174" s="162">
        <v>1</v>
      </c>
      <c r="W1174" s="163">
        <v>1</v>
      </c>
      <c r="X1174" s="164"/>
      <c r="Y1174" s="159"/>
      <c r="Z1174" s="161"/>
      <c r="AA1174" s="165">
        <v>1</v>
      </c>
      <c r="AD1174" s="154" t="s">
        <v>467</v>
      </c>
      <c r="AE1174" s="155"/>
      <c r="AF1174" s="154" t="s">
        <v>4674</v>
      </c>
      <c r="AP1174" s="155"/>
      <c r="AQ1174" s="156"/>
      <c r="AR1174" s="157"/>
      <c r="AS1174" s="158"/>
      <c r="AT1174" s="159"/>
      <c r="AU1174" s="161"/>
      <c r="AV1174" s="156"/>
      <c r="AW1174" s="162"/>
      <c r="AX1174" s="163"/>
      <c r="AY1174" s="164"/>
      <c r="AZ1174" s="159"/>
      <c r="BA1174" s="161"/>
      <c r="BB1174" s="165"/>
      <c r="BF1174" s="155"/>
    </row>
    <row r="1175" spans="1:58" s="154" customFormat="1" ht="15" customHeight="1">
      <c r="A1175" s="153" t="s">
        <v>4192</v>
      </c>
      <c r="B1175" s="153" t="s">
        <v>4278</v>
      </c>
      <c r="C1175" s="153" t="s">
        <v>4194</v>
      </c>
      <c r="D1175" s="155">
        <v>45</v>
      </c>
      <c r="E1175" s="154">
        <v>1</v>
      </c>
      <c r="F1175" s="153" t="s">
        <v>4276</v>
      </c>
      <c r="G1175" s="154" t="s">
        <v>4279</v>
      </c>
      <c r="H1175" s="154" t="s">
        <v>4675</v>
      </c>
      <c r="I1175" s="154" t="s">
        <v>223</v>
      </c>
      <c r="J1175" s="154" t="s">
        <v>29</v>
      </c>
      <c r="K1175" s="154" t="s">
        <v>2426</v>
      </c>
      <c r="N1175" s="155"/>
      <c r="O1175" s="156"/>
      <c r="P1175" s="157"/>
      <c r="Q1175" s="158">
        <v>5</v>
      </c>
      <c r="R1175" s="159">
        <v>2</v>
      </c>
      <c r="S1175" s="160"/>
      <c r="T1175" s="161">
        <v>4</v>
      </c>
      <c r="U1175" s="156"/>
      <c r="V1175" s="162">
        <v>2</v>
      </c>
      <c r="W1175" s="163"/>
      <c r="X1175" s="164"/>
      <c r="Y1175" s="159"/>
      <c r="Z1175" s="161"/>
      <c r="AA1175" s="165">
        <v>1</v>
      </c>
      <c r="AD1175" s="154" t="s">
        <v>467</v>
      </c>
      <c r="AE1175" s="155"/>
      <c r="AF1175" s="154" t="s">
        <v>4676</v>
      </c>
      <c r="AP1175" s="155"/>
      <c r="AQ1175" s="156"/>
      <c r="AR1175" s="157"/>
      <c r="AS1175" s="158"/>
      <c r="AT1175" s="159"/>
      <c r="AU1175" s="161"/>
      <c r="AV1175" s="156"/>
      <c r="AW1175" s="162"/>
      <c r="AX1175" s="163"/>
      <c r="AY1175" s="164"/>
      <c r="AZ1175" s="159"/>
      <c r="BA1175" s="161"/>
      <c r="BB1175" s="165"/>
      <c r="BF1175" s="155"/>
    </row>
    <row r="1176" spans="1:58" s="154" customFormat="1" ht="15" customHeight="1">
      <c r="A1176" s="153" t="s">
        <v>4192</v>
      </c>
      <c r="B1176" s="153" t="s">
        <v>4280</v>
      </c>
      <c r="C1176" s="153" t="s">
        <v>4194</v>
      </c>
      <c r="D1176" s="155">
        <v>46</v>
      </c>
      <c r="E1176" s="154">
        <v>1</v>
      </c>
      <c r="F1176" s="153" t="s">
        <v>4276</v>
      </c>
      <c r="G1176" s="154" t="s">
        <v>4281</v>
      </c>
      <c r="H1176" s="154" t="s">
        <v>4677</v>
      </c>
      <c r="I1176" s="154" t="s">
        <v>223</v>
      </c>
      <c r="J1176" s="154" t="s">
        <v>29</v>
      </c>
      <c r="K1176" s="154" t="s">
        <v>2426</v>
      </c>
      <c r="N1176" s="155"/>
      <c r="O1176" s="156"/>
      <c r="P1176" s="157"/>
      <c r="Q1176" s="158">
        <v>3</v>
      </c>
      <c r="R1176" s="159">
        <v>3</v>
      </c>
      <c r="S1176" s="160"/>
      <c r="T1176" s="161">
        <v>3</v>
      </c>
      <c r="U1176" s="156"/>
      <c r="V1176" s="162"/>
      <c r="W1176" s="163">
        <v>2</v>
      </c>
      <c r="X1176" s="164"/>
      <c r="Y1176" s="159"/>
      <c r="Z1176" s="161"/>
      <c r="AA1176" s="165">
        <v>1</v>
      </c>
      <c r="AD1176" s="154" t="s">
        <v>467</v>
      </c>
      <c r="AE1176" s="155"/>
      <c r="AF1176" s="154" t="s">
        <v>4678</v>
      </c>
      <c r="AP1176" s="155"/>
      <c r="AQ1176" s="156"/>
      <c r="AR1176" s="157"/>
      <c r="AS1176" s="158"/>
      <c r="AT1176" s="159"/>
      <c r="AU1176" s="161"/>
      <c r="AV1176" s="156"/>
      <c r="AW1176" s="162"/>
      <c r="AX1176" s="163"/>
      <c r="AY1176" s="164"/>
      <c r="AZ1176" s="159"/>
      <c r="BA1176" s="161"/>
      <c r="BB1176" s="165"/>
      <c r="BF1176" s="155"/>
    </row>
    <row r="1177" spans="1:58" s="171" customFormat="1" ht="15" customHeight="1">
      <c r="A1177" s="168" t="s">
        <v>4285</v>
      </c>
      <c r="B1177" s="154" t="s">
        <v>4288</v>
      </c>
      <c r="C1177" s="154" t="s">
        <v>4289</v>
      </c>
      <c r="D1177" s="170">
        <v>149</v>
      </c>
      <c r="E1177" s="171">
        <v>2</v>
      </c>
      <c r="F1177" s="154"/>
      <c r="G1177" s="171" t="s">
        <v>4290</v>
      </c>
      <c r="J1177" s="171" t="s">
        <v>27</v>
      </c>
      <c r="K1177" s="171" t="s">
        <v>198</v>
      </c>
      <c r="L1177" s="171">
        <v>0</v>
      </c>
      <c r="N1177" s="170">
        <v>1</v>
      </c>
      <c r="O1177" s="156">
        <v>1</v>
      </c>
      <c r="P1177" s="157"/>
      <c r="Q1177" s="158"/>
      <c r="R1177" s="159"/>
      <c r="S1177" s="160"/>
      <c r="T1177" s="161"/>
      <c r="U1177" s="156"/>
      <c r="V1177" s="162"/>
      <c r="W1177" s="163"/>
      <c r="X1177" s="164"/>
      <c r="Y1177" s="159"/>
      <c r="Z1177" s="161"/>
      <c r="AA1177" s="165"/>
      <c r="AB1177" s="171" t="s">
        <v>204</v>
      </c>
      <c r="AD1177" s="171" t="s">
        <v>3384</v>
      </c>
      <c r="AE1177" s="170"/>
      <c r="AF1177" s="171" t="s">
        <v>4687</v>
      </c>
      <c r="AQ1177" s="156"/>
      <c r="AR1177" s="157"/>
      <c r="AS1177" s="158"/>
      <c r="AT1177" s="159"/>
      <c r="AU1177" s="161"/>
      <c r="AV1177" s="156"/>
      <c r="AW1177" s="162"/>
      <c r="AX1177" s="163"/>
      <c r="AY1177" s="164"/>
      <c r="AZ1177" s="159"/>
      <c r="BA1177" s="161"/>
      <c r="BB1177" s="165"/>
      <c r="BF1177" s="170"/>
    </row>
    <row r="1178" spans="1:58" s="154" customFormat="1" ht="15" customHeight="1">
      <c r="A1178" s="153" t="s">
        <v>4285</v>
      </c>
      <c r="B1178" s="154" t="s">
        <v>4291</v>
      </c>
      <c r="C1178" s="154" t="s">
        <v>4289</v>
      </c>
      <c r="D1178" s="170">
        <v>150</v>
      </c>
      <c r="E1178" s="154">
        <v>2</v>
      </c>
      <c r="G1178" s="154" t="s">
        <v>4292</v>
      </c>
      <c r="J1178" s="171" t="s">
        <v>312</v>
      </c>
      <c r="K1178" s="154" t="s">
        <v>198</v>
      </c>
      <c r="L1178" s="154">
        <v>0</v>
      </c>
      <c r="N1178" s="155"/>
      <c r="O1178" s="156"/>
      <c r="P1178" s="157"/>
      <c r="Q1178" s="158"/>
      <c r="R1178" s="159"/>
      <c r="S1178" s="160">
        <v>3</v>
      </c>
      <c r="T1178" s="161"/>
      <c r="U1178" s="156"/>
      <c r="V1178" s="162"/>
      <c r="W1178" s="163"/>
      <c r="X1178" s="164"/>
      <c r="Y1178" s="159"/>
      <c r="Z1178" s="161"/>
      <c r="AA1178" s="165"/>
      <c r="AB1178" s="154" t="s">
        <v>1996</v>
      </c>
      <c r="AD1178" s="154" t="s">
        <v>4293</v>
      </c>
      <c r="AE1178" s="155"/>
      <c r="AF1178" s="154" t="s">
        <v>4688</v>
      </c>
      <c r="AL1178" s="171"/>
      <c r="AO1178" s="155"/>
      <c r="AP1178" s="155"/>
      <c r="AQ1178" s="156"/>
      <c r="AR1178" s="157"/>
      <c r="AS1178" s="158"/>
      <c r="AT1178" s="159"/>
      <c r="AU1178" s="161"/>
      <c r="AV1178" s="156"/>
      <c r="AW1178" s="162"/>
      <c r="AX1178" s="163"/>
      <c r="AY1178" s="164"/>
      <c r="AZ1178" s="159"/>
      <c r="BA1178" s="161"/>
      <c r="BB1178" s="165"/>
      <c r="BE1178" s="155"/>
    </row>
    <row r="1179" spans="1:58" s="154" customFormat="1" ht="15" customHeight="1">
      <c r="A1179" s="168" t="s">
        <v>4285</v>
      </c>
      <c r="B1179" s="154" t="s">
        <v>4294</v>
      </c>
      <c r="C1179" s="154" t="s">
        <v>4289</v>
      </c>
      <c r="D1179" s="170">
        <v>151</v>
      </c>
      <c r="E1179" s="154">
        <v>2</v>
      </c>
      <c r="G1179" s="154" t="s">
        <v>4295</v>
      </c>
      <c r="J1179" s="171" t="s">
        <v>257</v>
      </c>
      <c r="K1179" s="154" t="s">
        <v>198</v>
      </c>
      <c r="L1179" s="154">
        <v>2</v>
      </c>
      <c r="N1179" s="155">
        <v>2</v>
      </c>
      <c r="O1179" s="156"/>
      <c r="P1179" s="157"/>
      <c r="Q1179" s="158"/>
      <c r="R1179" s="159"/>
      <c r="S1179" s="160"/>
      <c r="T1179" s="161"/>
      <c r="U1179" s="156"/>
      <c r="V1179" s="162"/>
      <c r="W1179" s="163"/>
      <c r="X1179" s="164"/>
      <c r="Y1179" s="159"/>
      <c r="Z1179" s="161"/>
      <c r="AA1179" s="165"/>
      <c r="AD1179" s="154" t="s">
        <v>289</v>
      </c>
      <c r="AE1179" s="155"/>
      <c r="AF1179" s="154" t="s">
        <v>4296</v>
      </c>
      <c r="AL1179" s="171"/>
      <c r="AO1179" s="155"/>
      <c r="AP1179" s="155"/>
      <c r="AQ1179" s="156"/>
      <c r="AR1179" s="157"/>
      <c r="AS1179" s="158"/>
      <c r="AT1179" s="159"/>
      <c r="AU1179" s="161"/>
      <c r="AV1179" s="156"/>
      <c r="AW1179" s="162"/>
      <c r="AX1179" s="163"/>
      <c r="AY1179" s="164"/>
      <c r="AZ1179" s="159"/>
      <c r="BA1179" s="161"/>
      <c r="BB1179" s="165"/>
      <c r="BE1179" s="155"/>
    </row>
    <row r="1180" spans="1:58" s="154" customFormat="1" ht="15" customHeight="1">
      <c r="A1180" s="153" t="s">
        <v>4285</v>
      </c>
      <c r="B1180" s="154" t="s">
        <v>4297</v>
      </c>
      <c r="C1180" s="154" t="s">
        <v>4289</v>
      </c>
      <c r="D1180" s="170">
        <v>152</v>
      </c>
      <c r="E1180" s="154">
        <v>2</v>
      </c>
      <c r="G1180" s="154" t="s">
        <v>4298</v>
      </c>
      <c r="J1180" s="171" t="s">
        <v>27</v>
      </c>
      <c r="K1180" s="154" t="s">
        <v>199</v>
      </c>
      <c r="L1180" s="154">
        <v>0</v>
      </c>
      <c r="N1180" s="155">
        <v>2</v>
      </c>
      <c r="O1180" s="156"/>
      <c r="P1180" s="157">
        <v>2</v>
      </c>
      <c r="Q1180" s="158"/>
      <c r="R1180" s="159"/>
      <c r="S1180" s="160"/>
      <c r="T1180" s="161"/>
      <c r="U1180" s="156"/>
      <c r="V1180" s="162"/>
      <c r="W1180" s="163"/>
      <c r="X1180" s="164"/>
      <c r="Y1180" s="159"/>
      <c r="Z1180" s="161"/>
      <c r="AA1180" s="165"/>
      <c r="AB1180" s="154" t="s">
        <v>1084</v>
      </c>
      <c r="AD1180" s="154" t="s">
        <v>340</v>
      </c>
      <c r="AE1180" s="155"/>
      <c r="AF1180" s="154" t="s">
        <v>4689</v>
      </c>
      <c r="AL1180" s="171"/>
      <c r="AO1180" s="155"/>
      <c r="AP1180" s="155"/>
      <c r="AQ1180" s="156"/>
      <c r="AR1180" s="157"/>
      <c r="AS1180" s="158"/>
      <c r="AT1180" s="159"/>
      <c r="AU1180" s="161"/>
      <c r="AV1180" s="156"/>
      <c r="AW1180" s="162"/>
      <c r="AX1180" s="163"/>
      <c r="AY1180" s="164"/>
      <c r="AZ1180" s="159"/>
      <c r="BA1180" s="161"/>
      <c r="BB1180" s="165"/>
      <c r="BE1180" s="155"/>
    </row>
    <row r="1181" spans="1:58" s="154" customFormat="1" ht="15" customHeight="1">
      <c r="A1181" s="168" t="s">
        <v>4285</v>
      </c>
      <c r="B1181" s="154" t="s">
        <v>4299</v>
      </c>
      <c r="C1181" s="154" t="s">
        <v>4289</v>
      </c>
      <c r="D1181" s="170">
        <v>153</v>
      </c>
      <c r="E1181" s="154">
        <v>2</v>
      </c>
      <c r="G1181" s="154" t="s">
        <v>4300</v>
      </c>
      <c r="J1181" s="154" t="s">
        <v>312</v>
      </c>
      <c r="K1181" s="154" t="s">
        <v>199</v>
      </c>
      <c r="L1181" s="154">
        <v>0</v>
      </c>
      <c r="O1181" s="156"/>
      <c r="P1181" s="157"/>
      <c r="Q1181" s="158"/>
      <c r="R1181" s="159"/>
      <c r="S1181" s="160">
        <v>1</v>
      </c>
      <c r="T1181" s="161"/>
      <c r="U1181" s="156"/>
      <c r="V1181" s="162"/>
      <c r="W1181" s="163"/>
      <c r="X1181" s="164"/>
      <c r="Y1181" s="159"/>
      <c r="Z1181" s="161"/>
      <c r="AA1181" s="165"/>
      <c r="AB1181" s="154" t="s">
        <v>208</v>
      </c>
      <c r="AD1181" s="154" t="s">
        <v>412</v>
      </c>
      <c r="AF1181" s="154" t="s">
        <v>4690</v>
      </c>
      <c r="AO1181" s="155"/>
      <c r="AQ1181" s="156"/>
      <c r="AR1181" s="157"/>
      <c r="AS1181" s="158"/>
      <c r="AT1181" s="159"/>
      <c r="AU1181" s="161"/>
      <c r="AV1181" s="156"/>
      <c r="AW1181" s="162"/>
      <c r="AX1181" s="163"/>
      <c r="AY1181" s="164"/>
      <c r="AZ1181" s="159"/>
      <c r="BA1181" s="161"/>
      <c r="BB1181" s="165"/>
      <c r="BE1181" s="155"/>
    </row>
    <row r="1182" spans="1:58" s="154" customFormat="1" ht="15" customHeight="1">
      <c r="A1182" s="153" t="s">
        <v>4285</v>
      </c>
      <c r="B1182" s="154" t="s">
        <v>4301</v>
      </c>
      <c r="C1182" s="154" t="s">
        <v>4289</v>
      </c>
      <c r="D1182" s="170">
        <v>154</v>
      </c>
      <c r="E1182" s="154">
        <v>2</v>
      </c>
      <c r="G1182" s="154" t="s">
        <v>4302</v>
      </c>
      <c r="J1182" s="154" t="s">
        <v>257</v>
      </c>
      <c r="K1182" s="154" t="s">
        <v>199</v>
      </c>
      <c r="L1182" s="154">
        <v>2</v>
      </c>
      <c r="N1182" s="154">
        <v>2</v>
      </c>
      <c r="O1182" s="156">
        <v>1</v>
      </c>
      <c r="P1182" s="157"/>
      <c r="Q1182" s="158"/>
      <c r="R1182" s="159">
        <v>1</v>
      </c>
      <c r="S1182" s="160"/>
      <c r="T1182" s="161"/>
      <c r="U1182" s="156"/>
      <c r="V1182" s="162"/>
      <c r="W1182" s="163"/>
      <c r="X1182" s="164"/>
      <c r="Y1182" s="159"/>
      <c r="Z1182" s="161"/>
      <c r="AA1182" s="165"/>
      <c r="AB1182" s="154" t="s">
        <v>1085</v>
      </c>
      <c r="AD1182" s="154" t="s">
        <v>289</v>
      </c>
      <c r="AF1182" s="154" t="s">
        <v>4303</v>
      </c>
      <c r="AO1182" s="155"/>
      <c r="AQ1182" s="156"/>
      <c r="AR1182" s="157"/>
      <c r="AS1182" s="158"/>
      <c r="AT1182" s="159"/>
      <c r="AU1182" s="161"/>
      <c r="AV1182" s="156"/>
      <c r="AW1182" s="162"/>
      <c r="AX1182" s="163"/>
      <c r="AY1182" s="164"/>
      <c r="AZ1182" s="159"/>
      <c r="BA1182" s="161"/>
      <c r="BB1182" s="165"/>
      <c r="BE1182" s="155"/>
    </row>
    <row r="1183" spans="1:58" s="154" customFormat="1" ht="15" customHeight="1">
      <c r="A1183" s="168" t="s">
        <v>4285</v>
      </c>
      <c r="B1183" s="153" t="s">
        <v>4304</v>
      </c>
      <c r="C1183" s="154" t="s">
        <v>4289</v>
      </c>
      <c r="D1183" s="170">
        <v>155</v>
      </c>
      <c r="E1183" s="154">
        <v>2</v>
      </c>
      <c r="G1183" s="154" t="s">
        <v>4305</v>
      </c>
      <c r="J1183" s="154" t="s">
        <v>312</v>
      </c>
      <c r="K1183" s="154" t="s">
        <v>201</v>
      </c>
      <c r="L1183" s="154">
        <v>0</v>
      </c>
      <c r="O1183" s="156"/>
      <c r="P1183" s="157"/>
      <c r="Q1183" s="158"/>
      <c r="R1183" s="159">
        <v>1</v>
      </c>
      <c r="S1183" s="160"/>
      <c r="T1183" s="161"/>
      <c r="U1183" s="156"/>
      <c r="V1183" s="162"/>
      <c r="W1183" s="163"/>
      <c r="X1183" s="164"/>
      <c r="Y1183" s="159"/>
      <c r="Z1183" s="161"/>
      <c r="AA1183" s="165"/>
      <c r="AB1183" s="154" t="s">
        <v>207</v>
      </c>
      <c r="AD1183" s="154" t="s">
        <v>313</v>
      </c>
      <c r="AF1183" s="154" t="s">
        <v>4306</v>
      </c>
      <c r="AO1183" s="155"/>
      <c r="AQ1183" s="156"/>
      <c r="AR1183" s="157"/>
      <c r="AS1183" s="158"/>
      <c r="AT1183" s="159"/>
      <c r="AU1183" s="161"/>
      <c r="AV1183" s="156"/>
      <c r="AW1183" s="162"/>
      <c r="AX1183" s="163"/>
      <c r="AY1183" s="164"/>
      <c r="AZ1183" s="159"/>
      <c r="BA1183" s="161"/>
      <c r="BB1183" s="165"/>
      <c r="BE1183" s="155"/>
    </row>
    <row r="1184" spans="1:58" s="154" customFormat="1" ht="15" customHeight="1">
      <c r="A1184" s="153" t="s">
        <v>4285</v>
      </c>
      <c r="B1184" s="153" t="s">
        <v>4307</v>
      </c>
      <c r="C1184" s="154" t="s">
        <v>4289</v>
      </c>
      <c r="D1184" s="170">
        <v>156</v>
      </c>
      <c r="E1184" s="154">
        <v>2</v>
      </c>
      <c r="G1184" s="154" t="s">
        <v>1704</v>
      </c>
      <c r="J1184" s="154" t="s">
        <v>257</v>
      </c>
      <c r="K1184" s="154" t="s">
        <v>201</v>
      </c>
      <c r="L1184" s="154">
        <v>2</v>
      </c>
      <c r="N1184" s="154">
        <v>2</v>
      </c>
      <c r="O1184" s="156"/>
      <c r="P1184" s="157">
        <v>1</v>
      </c>
      <c r="Q1184" s="158">
        <v>1</v>
      </c>
      <c r="R1184" s="159"/>
      <c r="S1184" s="160"/>
      <c r="T1184" s="161"/>
      <c r="U1184" s="156"/>
      <c r="V1184" s="162"/>
      <c r="W1184" s="163"/>
      <c r="X1184" s="164"/>
      <c r="Y1184" s="159"/>
      <c r="Z1184" s="161"/>
      <c r="AA1184" s="165"/>
      <c r="AB1184" s="154" t="s">
        <v>1091</v>
      </c>
      <c r="AD1184" s="154" t="s">
        <v>289</v>
      </c>
      <c r="AF1184" s="154" t="s">
        <v>4308</v>
      </c>
      <c r="AO1184" s="155"/>
      <c r="AQ1184" s="156"/>
      <c r="AR1184" s="157"/>
      <c r="AS1184" s="158"/>
      <c r="AT1184" s="159"/>
      <c r="AU1184" s="161"/>
      <c r="AV1184" s="156"/>
      <c r="AW1184" s="162"/>
      <c r="AX1184" s="163"/>
      <c r="AY1184" s="164"/>
      <c r="AZ1184" s="159"/>
      <c r="BA1184" s="161"/>
      <c r="BB1184" s="165"/>
      <c r="BE1184" s="155"/>
    </row>
    <row r="1185" spans="1:59" s="154" customFormat="1" ht="15" customHeight="1">
      <c r="A1185" s="168" t="s">
        <v>4285</v>
      </c>
      <c r="B1185" s="153" t="s">
        <v>4309</v>
      </c>
      <c r="C1185" s="154" t="s">
        <v>4289</v>
      </c>
      <c r="D1185" s="170">
        <v>157</v>
      </c>
      <c r="E1185" s="154">
        <v>2</v>
      </c>
      <c r="G1185" s="154" t="s">
        <v>4310</v>
      </c>
      <c r="J1185" s="154" t="s">
        <v>312</v>
      </c>
      <c r="K1185" s="154" t="s">
        <v>200</v>
      </c>
      <c r="L1185" s="154">
        <v>0</v>
      </c>
      <c r="N1185" s="172"/>
      <c r="O1185" s="156"/>
      <c r="P1185" s="157">
        <v>1</v>
      </c>
      <c r="Q1185" s="158"/>
      <c r="R1185" s="159"/>
      <c r="S1185" s="160"/>
      <c r="T1185" s="161"/>
      <c r="U1185" s="156"/>
      <c r="V1185" s="162"/>
      <c r="W1185" s="163"/>
      <c r="X1185" s="164"/>
      <c r="Y1185" s="159"/>
      <c r="Z1185" s="161"/>
      <c r="AA1185" s="165"/>
      <c r="AB1185" s="154" t="s">
        <v>205</v>
      </c>
      <c r="AD1185" s="154" t="s">
        <v>313</v>
      </c>
      <c r="AF1185" s="154" t="s">
        <v>4311</v>
      </c>
      <c r="AO1185" s="155"/>
      <c r="AQ1185" s="156"/>
      <c r="AR1185" s="157"/>
      <c r="AS1185" s="158"/>
      <c r="AT1185" s="159"/>
      <c r="AU1185" s="161"/>
      <c r="AV1185" s="156"/>
      <c r="AW1185" s="162"/>
      <c r="AX1185" s="163"/>
      <c r="AY1185" s="164"/>
      <c r="AZ1185" s="159"/>
      <c r="BA1185" s="161"/>
      <c r="BB1185" s="165"/>
      <c r="BE1185" s="155"/>
    </row>
    <row r="1186" spans="1:59" s="154" customFormat="1" ht="15" customHeight="1">
      <c r="A1186" s="153" t="s">
        <v>4285</v>
      </c>
      <c r="B1186" s="153" t="s">
        <v>4312</v>
      </c>
      <c r="C1186" s="154" t="s">
        <v>4289</v>
      </c>
      <c r="D1186" s="170">
        <v>158</v>
      </c>
      <c r="E1186" s="154">
        <v>2</v>
      </c>
      <c r="G1186" s="154" t="s">
        <v>4313</v>
      </c>
      <c r="J1186" s="154" t="s">
        <v>257</v>
      </c>
      <c r="K1186" s="154" t="s">
        <v>200</v>
      </c>
      <c r="L1186" s="154">
        <v>2</v>
      </c>
      <c r="N1186" s="154">
        <v>2</v>
      </c>
      <c r="O1186" s="156"/>
      <c r="P1186" s="157">
        <v>1</v>
      </c>
      <c r="Q1186" s="158"/>
      <c r="R1186" s="159">
        <v>1</v>
      </c>
      <c r="S1186" s="160"/>
      <c r="T1186" s="161"/>
      <c r="U1186" s="156"/>
      <c r="V1186" s="162"/>
      <c r="W1186" s="163"/>
      <c r="X1186" s="164"/>
      <c r="Y1186" s="159"/>
      <c r="Z1186" s="161"/>
      <c r="AA1186" s="165"/>
      <c r="AB1186" s="154" t="s">
        <v>1089</v>
      </c>
      <c r="AD1186" s="154" t="s">
        <v>4314</v>
      </c>
      <c r="AF1186" s="154" t="s">
        <v>4315</v>
      </c>
      <c r="AO1186" s="155"/>
      <c r="AQ1186" s="156"/>
      <c r="AR1186" s="157"/>
      <c r="AS1186" s="158"/>
      <c r="AT1186" s="159"/>
      <c r="AU1186" s="161"/>
      <c r="AV1186" s="156"/>
      <c r="AW1186" s="162"/>
      <c r="AX1186" s="163"/>
      <c r="AY1186" s="164"/>
      <c r="AZ1186" s="159"/>
      <c r="BA1186" s="161"/>
      <c r="BB1186" s="165"/>
      <c r="BE1186" s="155"/>
    </row>
    <row r="1187" spans="1:59" s="154" customFormat="1" ht="15" customHeight="1">
      <c r="A1187" s="168" t="s">
        <v>4285</v>
      </c>
      <c r="B1187" s="153" t="s">
        <v>4316</v>
      </c>
      <c r="C1187" s="154" t="s">
        <v>4289</v>
      </c>
      <c r="D1187" s="170">
        <v>159</v>
      </c>
      <c r="E1187" s="154">
        <v>2</v>
      </c>
      <c r="G1187" s="154" t="s">
        <v>2416</v>
      </c>
      <c r="J1187" s="154" t="s">
        <v>257</v>
      </c>
      <c r="K1187" s="154" t="s">
        <v>202</v>
      </c>
      <c r="L1187" s="154">
        <v>1</v>
      </c>
      <c r="N1187" s="154">
        <v>2</v>
      </c>
      <c r="O1187" s="156">
        <v>1</v>
      </c>
      <c r="P1187" s="157"/>
      <c r="Q1187" s="158"/>
      <c r="R1187" s="159"/>
      <c r="S1187" s="160"/>
      <c r="T1187" s="161"/>
      <c r="U1187" s="156"/>
      <c r="V1187" s="162"/>
      <c r="W1187" s="163"/>
      <c r="X1187" s="164"/>
      <c r="Y1187" s="159"/>
      <c r="Z1187" s="161"/>
      <c r="AA1187" s="165"/>
      <c r="AB1187" s="154" t="s">
        <v>204</v>
      </c>
      <c r="AD1187" s="154" t="s">
        <v>289</v>
      </c>
      <c r="AF1187" s="154" t="s">
        <v>4691</v>
      </c>
      <c r="AO1187" s="155"/>
      <c r="AQ1187" s="156"/>
      <c r="AR1187" s="157"/>
      <c r="AS1187" s="158"/>
      <c r="AT1187" s="159"/>
      <c r="AU1187" s="161"/>
      <c r="AV1187" s="156"/>
      <c r="AW1187" s="162"/>
      <c r="AX1187" s="163"/>
      <c r="AY1187" s="164"/>
      <c r="AZ1187" s="159"/>
      <c r="BA1187" s="161"/>
      <c r="BB1187" s="165"/>
      <c r="BE1187" s="155"/>
    </row>
    <row r="1188" spans="1:59" s="154" customFormat="1" ht="15" customHeight="1">
      <c r="A1188" s="153" t="s">
        <v>4285</v>
      </c>
      <c r="B1188" s="153" t="s">
        <v>4317</v>
      </c>
      <c r="C1188" s="154" t="s">
        <v>4289</v>
      </c>
      <c r="D1188" s="170">
        <v>160</v>
      </c>
      <c r="E1188" s="154">
        <v>2</v>
      </c>
      <c r="F1188" s="153"/>
      <c r="G1188" s="154" t="s">
        <v>4318</v>
      </c>
      <c r="J1188" s="154" t="s">
        <v>257</v>
      </c>
      <c r="K1188" s="154" t="s">
        <v>202</v>
      </c>
      <c r="L1188" s="154">
        <v>2</v>
      </c>
      <c r="N1188" s="154">
        <v>2</v>
      </c>
      <c r="O1188" s="156">
        <v>1</v>
      </c>
      <c r="P1188" s="157"/>
      <c r="Q1188" s="158">
        <v>1</v>
      </c>
      <c r="R1188" s="159"/>
      <c r="S1188" s="160"/>
      <c r="T1188" s="161"/>
      <c r="U1188" s="156"/>
      <c r="V1188" s="162"/>
      <c r="W1188" s="163"/>
      <c r="X1188" s="164"/>
      <c r="Y1188" s="159"/>
      <c r="Z1188" s="161"/>
      <c r="AA1188" s="165"/>
      <c r="AB1188" s="154" t="s">
        <v>1083</v>
      </c>
      <c r="AD1188" s="154" t="s">
        <v>289</v>
      </c>
      <c r="AF1188" s="154" t="s">
        <v>4319</v>
      </c>
      <c r="AO1188" s="155"/>
      <c r="AQ1188" s="156"/>
      <c r="AR1188" s="157"/>
      <c r="AS1188" s="158"/>
      <c r="AT1188" s="159"/>
      <c r="AU1188" s="161"/>
      <c r="AV1188" s="156"/>
      <c r="AW1188" s="162"/>
      <c r="AX1188" s="163"/>
      <c r="AY1188" s="164"/>
      <c r="AZ1188" s="159"/>
      <c r="BA1188" s="161"/>
      <c r="BB1188" s="165"/>
      <c r="BE1188" s="155"/>
    </row>
    <row r="1189" spans="1:59" s="154" customFormat="1" ht="15" customHeight="1">
      <c r="A1189" s="168" t="s">
        <v>4285</v>
      </c>
      <c r="B1189" s="153" t="s">
        <v>4320</v>
      </c>
      <c r="C1189" s="154" t="s">
        <v>4289</v>
      </c>
      <c r="D1189" s="170">
        <v>161</v>
      </c>
      <c r="E1189" s="154">
        <v>1</v>
      </c>
      <c r="F1189" s="154" t="s">
        <v>4286</v>
      </c>
      <c r="G1189" s="154" t="s">
        <v>4286</v>
      </c>
      <c r="J1189" s="154" t="s">
        <v>618</v>
      </c>
      <c r="K1189" s="154" t="s">
        <v>2426</v>
      </c>
      <c r="O1189" s="156"/>
      <c r="P1189" s="157"/>
      <c r="Q1189" s="158"/>
      <c r="R1189" s="159"/>
      <c r="S1189" s="160"/>
      <c r="T1189" s="161"/>
      <c r="U1189" s="156"/>
      <c r="V1189" s="162"/>
      <c r="W1189" s="163"/>
      <c r="X1189" s="164"/>
      <c r="Y1189" s="159"/>
      <c r="Z1189" s="161"/>
      <c r="AA1189" s="165"/>
      <c r="AF1189" s="154" t="s">
        <v>4692</v>
      </c>
      <c r="AI1189" s="154" t="s">
        <v>4286</v>
      </c>
      <c r="AL1189" s="154" t="s">
        <v>618</v>
      </c>
      <c r="AM1189" s="154" t="s">
        <v>2426</v>
      </c>
      <c r="AO1189" s="155"/>
      <c r="AQ1189" s="156"/>
      <c r="AR1189" s="157"/>
      <c r="AS1189" s="158"/>
      <c r="AT1189" s="159"/>
      <c r="AU1189" s="161"/>
      <c r="AV1189" s="156"/>
      <c r="AW1189" s="162"/>
      <c r="AX1189" s="163"/>
      <c r="AY1189" s="164"/>
      <c r="AZ1189" s="159"/>
      <c r="BA1189" s="161"/>
      <c r="BB1189" s="165"/>
      <c r="BE1189" s="155"/>
      <c r="BG1189" s="154" t="s">
        <v>4693</v>
      </c>
    </row>
    <row r="1190" spans="1:59" s="154" customFormat="1" ht="15" customHeight="1">
      <c r="A1190" s="153" t="s">
        <v>4285</v>
      </c>
      <c r="B1190" s="153" t="s">
        <v>4321</v>
      </c>
      <c r="C1190" s="154" t="s">
        <v>4289</v>
      </c>
      <c r="D1190" s="170">
        <v>162</v>
      </c>
      <c r="E1190" s="154">
        <v>1</v>
      </c>
      <c r="F1190" s="154" t="s">
        <v>4286</v>
      </c>
      <c r="G1190" s="154" t="s">
        <v>4322</v>
      </c>
      <c r="J1190" s="154" t="s">
        <v>619</v>
      </c>
      <c r="K1190" s="154" t="s">
        <v>2426</v>
      </c>
      <c r="L1190" s="154">
        <v>1</v>
      </c>
      <c r="O1190" s="156"/>
      <c r="P1190" s="157"/>
      <c r="Q1190" s="158"/>
      <c r="R1190" s="159"/>
      <c r="S1190" s="160"/>
      <c r="T1190" s="161"/>
      <c r="U1190" s="156"/>
      <c r="V1190" s="162"/>
      <c r="W1190" s="163"/>
      <c r="X1190" s="164"/>
      <c r="Y1190" s="159"/>
      <c r="Z1190" s="161">
        <v>8</v>
      </c>
      <c r="AA1190" s="165"/>
      <c r="AI1190" s="154" t="s">
        <v>4679</v>
      </c>
      <c r="AL1190" s="154" t="s">
        <v>619</v>
      </c>
      <c r="AM1190" s="154" t="s">
        <v>2426</v>
      </c>
      <c r="AN1190" s="154">
        <v>1</v>
      </c>
      <c r="AO1190" s="155"/>
      <c r="AQ1190" s="156"/>
      <c r="AR1190" s="157"/>
      <c r="AS1190" s="158"/>
      <c r="AT1190" s="159"/>
      <c r="AU1190" s="161"/>
      <c r="AV1190" s="156"/>
      <c r="AW1190" s="162"/>
      <c r="AX1190" s="163"/>
      <c r="AY1190" s="164"/>
      <c r="AZ1190" s="159"/>
      <c r="BA1190" s="161"/>
      <c r="BB1190" s="165"/>
      <c r="BE1190" s="155"/>
      <c r="BG1190" s="154" t="s">
        <v>4680</v>
      </c>
    </row>
    <row r="1191" spans="1:59" s="154" customFormat="1" ht="15" customHeight="1">
      <c r="A1191" s="168" t="s">
        <v>4285</v>
      </c>
      <c r="B1191" s="153" t="s">
        <v>4323</v>
      </c>
      <c r="C1191" s="154" t="s">
        <v>4289</v>
      </c>
      <c r="D1191" s="170">
        <v>163</v>
      </c>
      <c r="E1191" s="154">
        <v>1</v>
      </c>
      <c r="F1191" s="154" t="s">
        <v>4286</v>
      </c>
      <c r="G1191" s="154" t="s">
        <v>4324</v>
      </c>
      <c r="J1191" s="154" t="s">
        <v>619</v>
      </c>
      <c r="K1191" s="154" t="s">
        <v>2426</v>
      </c>
      <c r="L1191" s="154">
        <v>2</v>
      </c>
      <c r="O1191" s="156"/>
      <c r="P1191" s="157"/>
      <c r="Q1191" s="158"/>
      <c r="R1191" s="159"/>
      <c r="S1191" s="160"/>
      <c r="T1191" s="161"/>
      <c r="U1191" s="156"/>
      <c r="V1191" s="162"/>
      <c r="W1191" s="163"/>
      <c r="X1191" s="164"/>
      <c r="Y1191" s="159"/>
      <c r="Z1191" s="161">
        <v>5</v>
      </c>
      <c r="AA1191" s="165"/>
      <c r="AI1191" s="154" t="s">
        <v>4681</v>
      </c>
      <c r="AL1191" s="154" t="s">
        <v>619</v>
      </c>
      <c r="AM1191" s="154" t="s">
        <v>2426</v>
      </c>
      <c r="AN1191" s="154">
        <v>2</v>
      </c>
      <c r="AO1191" s="155"/>
      <c r="AQ1191" s="156"/>
      <c r="AR1191" s="157"/>
      <c r="AS1191" s="158"/>
      <c r="AT1191" s="159"/>
      <c r="AU1191" s="161"/>
      <c r="AV1191" s="156"/>
      <c r="AW1191" s="162"/>
      <c r="AX1191" s="163"/>
      <c r="AY1191" s="164"/>
      <c r="AZ1191" s="159"/>
      <c r="BA1191" s="161"/>
      <c r="BB1191" s="165"/>
      <c r="BG1191" s="154" t="s">
        <v>4325</v>
      </c>
    </row>
    <row r="1192" spans="1:59" s="154" customFormat="1" ht="15" customHeight="1">
      <c r="A1192" s="153" t="s">
        <v>4285</v>
      </c>
      <c r="B1192" s="153" t="s">
        <v>4326</v>
      </c>
      <c r="C1192" s="154" t="s">
        <v>4289</v>
      </c>
      <c r="D1192" s="170">
        <v>164</v>
      </c>
      <c r="E1192" s="154">
        <v>1</v>
      </c>
      <c r="F1192" s="154" t="s">
        <v>4286</v>
      </c>
      <c r="G1192" s="154" t="s">
        <v>4327</v>
      </c>
      <c r="J1192" s="154" t="s">
        <v>619</v>
      </c>
      <c r="K1192" s="171" t="s">
        <v>2426</v>
      </c>
      <c r="L1192" s="154">
        <v>3</v>
      </c>
      <c r="O1192" s="156"/>
      <c r="P1192" s="157"/>
      <c r="Q1192" s="158"/>
      <c r="R1192" s="159"/>
      <c r="S1192" s="160"/>
      <c r="T1192" s="161"/>
      <c r="U1192" s="156"/>
      <c r="V1192" s="162"/>
      <c r="W1192" s="163"/>
      <c r="X1192" s="164"/>
      <c r="Y1192" s="159"/>
      <c r="Z1192" s="161">
        <v>6</v>
      </c>
      <c r="AA1192" s="165"/>
      <c r="AI1192" s="154" t="s">
        <v>4682</v>
      </c>
      <c r="AL1192" s="154" t="s">
        <v>619</v>
      </c>
      <c r="AM1192" s="171" t="s">
        <v>2426</v>
      </c>
      <c r="AN1192" s="154">
        <v>3</v>
      </c>
      <c r="AO1192" s="155"/>
      <c r="AQ1192" s="156"/>
      <c r="AR1192" s="157"/>
      <c r="AS1192" s="158"/>
      <c r="AT1192" s="159"/>
      <c r="AU1192" s="161"/>
      <c r="AV1192" s="156"/>
      <c r="AW1192" s="162"/>
      <c r="AX1192" s="163"/>
      <c r="AY1192" s="164"/>
      <c r="AZ1192" s="159"/>
      <c r="BA1192" s="161"/>
      <c r="BB1192" s="165"/>
      <c r="BG1192" s="154" t="s">
        <v>4556</v>
      </c>
    </row>
    <row r="1193" spans="1:59" s="154" customFormat="1" ht="15" customHeight="1">
      <c r="A1193" s="168" t="s">
        <v>4285</v>
      </c>
      <c r="B1193" s="153" t="s">
        <v>4328</v>
      </c>
      <c r="C1193" s="154" t="s">
        <v>4289</v>
      </c>
      <c r="D1193" s="170">
        <v>165</v>
      </c>
      <c r="E1193" s="154">
        <v>1</v>
      </c>
      <c r="F1193" s="154" t="s">
        <v>4286</v>
      </c>
      <c r="G1193" s="154" t="s">
        <v>4329</v>
      </c>
      <c r="J1193" s="154" t="s">
        <v>621</v>
      </c>
      <c r="K1193" s="171" t="s">
        <v>2426</v>
      </c>
      <c r="L1193" s="154">
        <v>1</v>
      </c>
      <c r="O1193" s="156"/>
      <c r="P1193" s="157"/>
      <c r="Q1193" s="158"/>
      <c r="R1193" s="159"/>
      <c r="S1193" s="160"/>
      <c r="T1193" s="161"/>
      <c r="U1193" s="156"/>
      <c r="V1193" s="162"/>
      <c r="W1193" s="163"/>
      <c r="X1193" s="164"/>
      <c r="Y1193" s="159" t="s">
        <v>38</v>
      </c>
      <c r="Z1193" s="161"/>
      <c r="AA1193" s="165"/>
      <c r="AF1193" s="154" t="s">
        <v>4330</v>
      </c>
      <c r="AI1193" s="154" t="s">
        <v>4683</v>
      </c>
      <c r="AL1193" s="154" t="s">
        <v>621</v>
      </c>
      <c r="AM1193" s="154" t="s">
        <v>2426</v>
      </c>
      <c r="AN1193" s="154">
        <v>1</v>
      </c>
      <c r="AO1193" s="155"/>
      <c r="AQ1193" s="156"/>
      <c r="AR1193" s="157"/>
      <c r="AS1193" s="158"/>
      <c r="AT1193" s="159"/>
      <c r="AU1193" s="161"/>
      <c r="AV1193" s="156"/>
      <c r="AW1193" s="162"/>
      <c r="AX1193" s="163"/>
      <c r="AY1193" s="164"/>
      <c r="AZ1193" s="159"/>
      <c r="BA1193" s="161"/>
      <c r="BB1193" s="165"/>
      <c r="BE1193" s="155"/>
      <c r="BG1193" s="154" t="s">
        <v>4331</v>
      </c>
    </row>
    <row r="1194" spans="1:59" s="154" customFormat="1" ht="15" customHeight="1">
      <c r="A1194" s="153" t="s">
        <v>4285</v>
      </c>
      <c r="B1194" s="153" t="s">
        <v>4332</v>
      </c>
      <c r="C1194" s="154" t="s">
        <v>4289</v>
      </c>
      <c r="D1194" s="170">
        <v>166</v>
      </c>
      <c r="E1194" s="154">
        <v>1</v>
      </c>
      <c r="F1194" s="154" t="s">
        <v>4286</v>
      </c>
      <c r="G1194" s="154" t="s">
        <v>4333</v>
      </c>
      <c r="J1194" s="154" t="s">
        <v>621</v>
      </c>
      <c r="K1194" s="171" t="s">
        <v>2426</v>
      </c>
      <c r="L1194" s="154">
        <v>2</v>
      </c>
      <c r="O1194" s="156"/>
      <c r="P1194" s="157"/>
      <c r="Q1194" s="158"/>
      <c r="R1194" s="159"/>
      <c r="S1194" s="160"/>
      <c r="T1194" s="161"/>
      <c r="U1194" s="156"/>
      <c r="V1194" s="162"/>
      <c r="W1194" s="163"/>
      <c r="X1194" s="164"/>
      <c r="Y1194" s="159" t="s">
        <v>38</v>
      </c>
      <c r="Z1194" s="161"/>
      <c r="AA1194" s="165"/>
      <c r="AF1194" s="154" t="s">
        <v>4334</v>
      </c>
      <c r="AI1194" s="154" t="s">
        <v>4681</v>
      </c>
      <c r="AL1194" s="154" t="s">
        <v>621</v>
      </c>
      <c r="AM1194" s="154" t="s">
        <v>2426</v>
      </c>
      <c r="AN1194" s="154">
        <v>2</v>
      </c>
      <c r="AO1194" s="155"/>
      <c r="AQ1194" s="156"/>
      <c r="AR1194" s="157"/>
      <c r="AS1194" s="158"/>
      <c r="AT1194" s="159"/>
      <c r="AU1194" s="161"/>
      <c r="AV1194" s="156"/>
      <c r="AW1194" s="162"/>
      <c r="AX1194" s="163"/>
      <c r="AY1194" s="164"/>
      <c r="AZ1194" s="159"/>
      <c r="BA1194" s="161"/>
      <c r="BB1194" s="165"/>
      <c r="BE1194" s="155"/>
      <c r="BG1194" s="154" t="s">
        <v>4335</v>
      </c>
    </row>
    <row r="1195" spans="1:59" s="154" customFormat="1" ht="15" customHeight="1">
      <c r="A1195" s="168" t="s">
        <v>4285</v>
      </c>
      <c r="B1195" s="153" t="s">
        <v>4336</v>
      </c>
      <c r="C1195" s="154" t="s">
        <v>4289</v>
      </c>
      <c r="D1195" s="170">
        <v>167</v>
      </c>
      <c r="E1195" s="154">
        <v>1</v>
      </c>
      <c r="F1195" s="154" t="s">
        <v>4286</v>
      </c>
      <c r="G1195" s="154" t="s">
        <v>4337</v>
      </c>
      <c r="J1195" s="154" t="s">
        <v>621</v>
      </c>
      <c r="K1195" s="154" t="s">
        <v>2426</v>
      </c>
      <c r="L1195" s="154">
        <v>3</v>
      </c>
      <c r="O1195" s="156"/>
      <c r="P1195" s="157"/>
      <c r="Q1195" s="158"/>
      <c r="R1195" s="159"/>
      <c r="S1195" s="160"/>
      <c r="T1195" s="161"/>
      <c r="U1195" s="156"/>
      <c r="V1195" s="162"/>
      <c r="W1195" s="163"/>
      <c r="X1195" s="164"/>
      <c r="Y1195" s="159" t="s">
        <v>1111</v>
      </c>
      <c r="Z1195" s="161"/>
      <c r="AA1195" s="165"/>
      <c r="AF1195" s="154" t="s">
        <v>4338</v>
      </c>
      <c r="AI1195" s="154" t="s">
        <v>4684</v>
      </c>
      <c r="AL1195" s="154" t="s">
        <v>621</v>
      </c>
      <c r="AM1195" s="154" t="s">
        <v>2426</v>
      </c>
      <c r="AN1195" s="154">
        <v>3</v>
      </c>
      <c r="AO1195" s="155"/>
      <c r="AQ1195" s="156"/>
      <c r="AR1195" s="157"/>
      <c r="AS1195" s="158"/>
      <c r="AT1195" s="159"/>
      <c r="AU1195" s="161"/>
      <c r="AV1195" s="156"/>
      <c r="AW1195" s="162"/>
      <c r="AX1195" s="163"/>
      <c r="AY1195" s="164"/>
      <c r="AZ1195" s="159"/>
      <c r="BA1195" s="161"/>
      <c r="BB1195" s="165"/>
      <c r="BE1195" s="155"/>
      <c r="BG1195" s="154" t="s">
        <v>4685</v>
      </c>
    </row>
    <row r="1196" spans="1:59" s="154" customFormat="1" ht="15" customHeight="1">
      <c r="A1196" s="153" t="s">
        <v>4285</v>
      </c>
      <c r="B1196" s="153" t="s">
        <v>4339</v>
      </c>
      <c r="C1196" s="154" t="s">
        <v>4289</v>
      </c>
      <c r="D1196" s="170">
        <v>168</v>
      </c>
      <c r="E1196" s="154">
        <v>1</v>
      </c>
      <c r="F1196" s="154" t="s">
        <v>4286</v>
      </c>
      <c r="G1196" s="154" t="s">
        <v>4340</v>
      </c>
      <c r="J1196" s="154" t="s">
        <v>31</v>
      </c>
      <c r="K1196" s="154" t="s">
        <v>2426</v>
      </c>
      <c r="O1196" s="156"/>
      <c r="P1196" s="157"/>
      <c r="Q1196" s="158"/>
      <c r="R1196" s="159"/>
      <c r="S1196" s="160"/>
      <c r="T1196" s="161"/>
      <c r="U1196" s="156"/>
      <c r="V1196" s="162"/>
      <c r="W1196" s="163"/>
      <c r="X1196" s="164"/>
      <c r="Y1196" s="159"/>
      <c r="Z1196" s="161"/>
      <c r="AA1196" s="165"/>
      <c r="AD1196" s="154" t="s">
        <v>4341</v>
      </c>
      <c r="AI1196" s="154" t="s">
        <v>4340</v>
      </c>
      <c r="AL1196" s="154" t="s">
        <v>31</v>
      </c>
      <c r="AM1196" s="154" t="s">
        <v>2426</v>
      </c>
      <c r="AP1196" s="155"/>
      <c r="AQ1196" s="156"/>
      <c r="AR1196" s="157"/>
      <c r="AS1196" s="158"/>
      <c r="AT1196" s="159"/>
      <c r="AU1196" s="161"/>
      <c r="AV1196" s="156"/>
      <c r="AW1196" s="162"/>
      <c r="AX1196" s="163"/>
      <c r="AY1196" s="164">
        <v>4</v>
      </c>
      <c r="AZ1196" s="159">
        <v>0</v>
      </c>
      <c r="BA1196" s="161"/>
      <c r="BB1196" s="165"/>
      <c r="BE1196" s="154" t="s">
        <v>4341</v>
      </c>
      <c r="BF1196" s="155"/>
      <c r="BG1196" s="154" t="s">
        <v>4342</v>
      </c>
    </row>
    <row r="1197" spans="1:59" s="154" customFormat="1" ht="15" customHeight="1">
      <c r="A1197" s="168" t="s">
        <v>4285</v>
      </c>
      <c r="B1197" s="153" t="s">
        <v>4343</v>
      </c>
      <c r="C1197" s="154" t="s">
        <v>4289</v>
      </c>
      <c r="D1197" s="170">
        <v>169</v>
      </c>
      <c r="E1197" s="154">
        <v>1</v>
      </c>
      <c r="F1197" s="154" t="s">
        <v>4286</v>
      </c>
      <c r="G1197" s="154" t="s">
        <v>4344</v>
      </c>
      <c r="J1197" s="154" t="s">
        <v>31</v>
      </c>
      <c r="K1197" s="154" t="s">
        <v>2426</v>
      </c>
      <c r="N1197" s="155"/>
      <c r="O1197" s="156"/>
      <c r="P1197" s="157"/>
      <c r="Q1197" s="158"/>
      <c r="R1197" s="159"/>
      <c r="S1197" s="160"/>
      <c r="T1197" s="161"/>
      <c r="U1197" s="156"/>
      <c r="V1197" s="162"/>
      <c r="W1197" s="163"/>
      <c r="X1197" s="164"/>
      <c r="Y1197" s="159"/>
      <c r="Z1197" s="161"/>
      <c r="AA1197" s="165"/>
      <c r="AD1197" s="154" t="s">
        <v>4341</v>
      </c>
      <c r="AE1197" s="155"/>
      <c r="AI1197" s="154" t="s">
        <v>4344</v>
      </c>
      <c r="AL1197" s="154" t="s">
        <v>31</v>
      </c>
      <c r="AM1197" s="154" t="s">
        <v>2426</v>
      </c>
      <c r="AP1197" s="155"/>
      <c r="AQ1197" s="156"/>
      <c r="AR1197" s="157"/>
      <c r="AS1197" s="158"/>
      <c r="AT1197" s="159"/>
      <c r="AU1197" s="161"/>
      <c r="AV1197" s="156"/>
      <c r="AW1197" s="162"/>
      <c r="AX1197" s="163"/>
      <c r="AY1197" s="164">
        <v>3</v>
      </c>
      <c r="AZ1197" s="159">
        <v>0</v>
      </c>
      <c r="BA1197" s="161"/>
      <c r="BB1197" s="165"/>
      <c r="BE1197" s="154" t="s">
        <v>4341</v>
      </c>
      <c r="BF1197" s="155"/>
      <c r="BG1197" s="154" t="s">
        <v>4345</v>
      </c>
    </row>
    <row r="1198" spans="1:59" s="154" customFormat="1" ht="15" customHeight="1">
      <c r="A1198" s="153" t="s">
        <v>4285</v>
      </c>
      <c r="B1198" s="153" t="s">
        <v>4346</v>
      </c>
      <c r="C1198" s="154" t="s">
        <v>4289</v>
      </c>
      <c r="D1198" s="170">
        <v>170</v>
      </c>
      <c r="E1198" s="154">
        <v>1</v>
      </c>
      <c r="F1198" s="154" t="s">
        <v>4286</v>
      </c>
      <c r="G1198" s="154" t="s">
        <v>4347</v>
      </c>
      <c r="J1198" s="154" t="s">
        <v>31</v>
      </c>
      <c r="K1198" s="154" t="s">
        <v>2426</v>
      </c>
      <c r="N1198" s="155"/>
      <c r="O1198" s="156"/>
      <c r="P1198" s="157"/>
      <c r="Q1198" s="158"/>
      <c r="R1198" s="159"/>
      <c r="S1198" s="160"/>
      <c r="T1198" s="161"/>
      <c r="U1198" s="156"/>
      <c r="V1198" s="162"/>
      <c r="W1198" s="163"/>
      <c r="X1198" s="164"/>
      <c r="Y1198" s="159"/>
      <c r="Z1198" s="161"/>
      <c r="AA1198" s="165"/>
      <c r="AD1198" s="154" t="s">
        <v>4341</v>
      </c>
      <c r="AE1198" s="155"/>
      <c r="AI1198" s="154" t="s">
        <v>4347</v>
      </c>
      <c r="AL1198" s="154" t="s">
        <v>31</v>
      </c>
      <c r="AM1198" s="154" t="s">
        <v>2426</v>
      </c>
      <c r="AP1198" s="155"/>
      <c r="AQ1198" s="156"/>
      <c r="AR1198" s="157"/>
      <c r="AS1198" s="158"/>
      <c r="AT1198" s="159"/>
      <c r="AU1198" s="161"/>
      <c r="AV1198" s="156"/>
      <c r="AW1198" s="162"/>
      <c r="AX1198" s="163"/>
      <c r="AY1198" s="164">
        <v>1</v>
      </c>
      <c r="AZ1198" s="159">
        <v>0</v>
      </c>
      <c r="BA1198" s="161"/>
      <c r="BB1198" s="165"/>
      <c r="BE1198" s="154" t="s">
        <v>4341</v>
      </c>
      <c r="BF1198" s="155"/>
      <c r="BG1198" s="154" t="s">
        <v>4348</v>
      </c>
    </row>
    <row r="1199" spans="1:59" s="154" customFormat="1" ht="15" customHeight="1">
      <c r="A1199" s="168" t="s">
        <v>4285</v>
      </c>
      <c r="B1199" s="153" t="s">
        <v>4349</v>
      </c>
      <c r="C1199" s="154" t="s">
        <v>4289</v>
      </c>
      <c r="D1199" s="170">
        <v>171</v>
      </c>
      <c r="E1199" s="154">
        <v>1</v>
      </c>
      <c r="F1199" s="154" t="s">
        <v>4286</v>
      </c>
      <c r="G1199" s="154" t="s">
        <v>4350</v>
      </c>
      <c r="J1199" s="154" t="s">
        <v>31</v>
      </c>
      <c r="K1199" s="154" t="s">
        <v>2426</v>
      </c>
      <c r="N1199" s="155"/>
      <c r="O1199" s="156"/>
      <c r="P1199" s="157"/>
      <c r="Q1199" s="158"/>
      <c r="R1199" s="159"/>
      <c r="S1199" s="160"/>
      <c r="T1199" s="161"/>
      <c r="U1199" s="156"/>
      <c r="V1199" s="162"/>
      <c r="W1199" s="163"/>
      <c r="X1199" s="164"/>
      <c r="Y1199" s="159"/>
      <c r="Z1199" s="161"/>
      <c r="AA1199" s="165"/>
      <c r="AD1199" s="154" t="s">
        <v>4341</v>
      </c>
      <c r="AE1199" s="155"/>
      <c r="AI1199" s="154" t="s">
        <v>4350</v>
      </c>
      <c r="AL1199" s="154" t="s">
        <v>31</v>
      </c>
      <c r="AM1199" s="154" t="s">
        <v>2426</v>
      </c>
      <c r="AP1199" s="155"/>
      <c r="AQ1199" s="156"/>
      <c r="AR1199" s="157"/>
      <c r="AS1199" s="158"/>
      <c r="AT1199" s="159"/>
      <c r="AU1199" s="161"/>
      <c r="AV1199" s="156"/>
      <c r="AW1199" s="162"/>
      <c r="AX1199" s="163"/>
      <c r="AY1199" s="164">
        <v>3</v>
      </c>
      <c r="AZ1199" s="159">
        <v>0</v>
      </c>
      <c r="BA1199" s="161"/>
      <c r="BB1199" s="165"/>
      <c r="BE1199" s="154" t="s">
        <v>4341</v>
      </c>
      <c r="BF1199" s="155"/>
      <c r="BG1199" s="154" t="s">
        <v>4351</v>
      </c>
    </row>
    <row r="1200" spans="1:59" s="154" customFormat="1" ht="15" customHeight="1">
      <c r="A1200" s="153" t="s">
        <v>4285</v>
      </c>
      <c r="B1200" s="153" t="s">
        <v>4352</v>
      </c>
      <c r="C1200" s="154" t="s">
        <v>4289</v>
      </c>
      <c r="D1200" s="170">
        <v>172</v>
      </c>
      <c r="E1200" s="154">
        <v>1</v>
      </c>
      <c r="F1200" s="154" t="s">
        <v>4286</v>
      </c>
      <c r="G1200" s="154" t="s">
        <v>4353</v>
      </c>
      <c r="J1200" s="154" t="s">
        <v>31</v>
      </c>
      <c r="K1200" s="154" t="s">
        <v>2426</v>
      </c>
      <c r="N1200" s="155"/>
      <c r="O1200" s="156"/>
      <c r="P1200" s="157"/>
      <c r="Q1200" s="158"/>
      <c r="R1200" s="159"/>
      <c r="S1200" s="160"/>
      <c r="T1200" s="161"/>
      <c r="U1200" s="156"/>
      <c r="V1200" s="162"/>
      <c r="W1200" s="163"/>
      <c r="X1200" s="164"/>
      <c r="Y1200" s="159"/>
      <c r="Z1200" s="161"/>
      <c r="AA1200" s="165"/>
      <c r="AD1200" s="154" t="s">
        <v>4341</v>
      </c>
      <c r="AE1200" s="155"/>
      <c r="AI1200" s="154" t="s">
        <v>4353</v>
      </c>
      <c r="AL1200" s="154" t="s">
        <v>31</v>
      </c>
      <c r="AM1200" s="154" t="s">
        <v>2426</v>
      </c>
      <c r="AP1200" s="155"/>
      <c r="AQ1200" s="156"/>
      <c r="AR1200" s="157"/>
      <c r="AS1200" s="158"/>
      <c r="AT1200" s="159"/>
      <c r="AU1200" s="161"/>
      <c r="AV1200" s="156"/>
      <c r="AW1200" s="162"/>
      <c r="AX1200" s="163"/>
      <c r="AY1200" s="164">
        <v>4</v>
      </c>
      <c r="AZ1200" s="159">
        <v>0</v>
      </c>
      <c r="BA1200" s="161"/>
      <c r="BB1200" s="165"/>
      <c r="BE1200" s="154" t="s">
        <v>4341</v>
      </c>
      <c r="BF1200" s="155"/>
      <c r="BG1200" s="154" t="s">
        <v>4354</v>
      </c>
    </row>
    <row r="1201" spans="1:59" s="154" customFormat="1" ht="15" customHeight="1">
      <c r="A1201" s="168" t="s">
        <v>4285</v>
      </c>
      <c r="B1201" s="153" t="s">
        <v>4355</v>
      </c>
      <c r="C1201" s="154" t="s">
        <v>4289</v>
      </c>
      <c r="D1201" s="170">
        <v>173</v>
      </c>
      <c r="E1201" s="154">
        <v>1</v>
      </c>
      <c r="F1201" s="154" t="s">
        <v>4286</v>
      </c>
      <c r="G1201" s="154" t="s">
        <v>4356</v>
      </c>
      <c r="J1201" s="154" t="s">
        <v>31</v>
      </c>
      <c r="K1201" s="154" t="s">
        <v>2426</v>
      </c>
      <c r="N1201" s="155"/>
      <c r="O1201" s="156"/>
      <c r="P1201" s="157"/>
      <c r="Q1201" s="158"/>
      <c r="R1201" s="159"/>
      <c r="S1201" s="160"/>
      <c r="T1201" s="161"/>
      <c r="U1201" s="156"/>
      <c r="V1201" s="162"/>
      <c r="W1201" s="163"/>
      <c r="X1201" s="164"/>
      <c r="Y1201" s="159"/>
      <c r="Z1201" s="161"/>
      <c r="AA1201" s="165"/>
      <c r="AD1201" s="154" t="s">
        <v>4341</v>
      </c>
      <c r="AE1201" s="155"/>
      <c r="AI1201" s="154" t="s">
        <v>4356</v>
      </c>
      <c r="AL1201" s="154" t="s">
        <v>31</v>
      </c>
      <c r="AM1201" s="154" t="s">
        <v>2426</v>
      </c>
      <c r="AP1201" s="155"/>
      <c r="AQ1201" s="156"/>
      <c r="AR1201" s="157"/>
      <c r="AS1201" s="158"/>
      <c r="AT1201" s="159"/>
      <c r="AU1201" s="161"/>
      <c r="AV1201" s="156"/>
      <c r="AW1201" s="162"/>
      <c r="AX1201" s="163"/>
      <c r="AY1201" s="164">
        <v>2</v>
      </c>
      <c r="AZ1201" s="159">
        <v>0</v>
      </c>
      <c r="BA1201" s="161"/>
      <c r="BB1201" s="165"/>
      <c r="BE1201" s="154" t="s">
        <v>4341</v>
      </c>
      <c r="BF1201" s="155"/>
      <c r="BG1201" s="154" t="s">
        <v>4357</v>
      </c>
    </row>
    <row r="1202" spans="1:59" s="154" customFormat="1" ht="15" customHeight="1">
      <c r="A1202" s="153" t="s">
        <v>4285</v>
      </c>
      <c r="B1202" s="153" t="s">
        <v>4358</v>
      </c>
      <c r="C1202" s="154" t="s">
        <v>4289</v>
      </c>
      <c r="D1202" s="170">
        <v>174</v>
      </c>
      <c r="E1202" s="154">
        <v>1</v>
      </c>
      <c r="F1202" s="154" t="s">
        <v>4286</v>
      </c>
      <c r="G1202" s="154" t="s">
        <v>4359</v>
      </c>
      <c r="J1202" s="154" t="s">
        <v>31</v>
      </c>
      <c r="K1202" s="154" t="s">
        <v>2426</v>
      </c>
      <c r="N1202" s="155"/>
      <c r="O1202" s="156"/>
      <c r="P1202" s="157"/>
      <c r="Q1202" s="158"/>
      <c r="R1202" s="159"/>
      <c r="S1202" s="160"/>
      <c r="T1202" s="161"/>
      <c r="U1202" s="156"/>
      <c r="V1202" s="162"/>
      <c r="W1202" s="163"/>
      <c r="X1202" s="164">
        <v>4</v>
      </c>
      <c r="Y1202" s="159" t="s">
        <v>1073</v>
      </c>
      <c r="Z1202" s="161"/>
      <c r="AA1202" s="165"/>
      <c r="AD1202" s="154" t="s">
        <v>4360</v>
      </c>
      <c r="AE1202" s="155"/>
      <c r="AF1202" s="154" t="s">
        <v>4361</v>
      </c>
      <c r="AI1202" s="153"/>
      <c r="AP1202" s="155"/>
      <c r="AQ1202" s="156"/>
      <c r="AR1202" s="157"/>
      <c r="AS1202" s="158"/>
      <c r="AT1202" s="159"/>
      <c r="AU1202" s="161"/>
      <c r="AV1202" s="156"/>
      <c r="AW1202" s="162"/>
      <c r="AX1202" s="163"/>
      <c r="AY1202" s="164"/>
      <c r="AZ1202" s="159"/>
      <c r="BA1202" s="161"/>
      <c r="BB1202" s="165"/>
      <c r="BF1202" s="155"/>
    </row>
    <row r="1203" spans="1:59" s="154" customFormat="1" ht="15" customHeight="1">
      <c r="A1203" s="168" t="s">
        <v>4285</v>
      </c>
      <c r="B1203" s="153" t="s">
        <v>4362</v>
      </c>
      <c r="C1203" s="154" t="s">
        <v>4289</v>
      </c>
      <c r="D1203" s="170">
        <v>175</v>
      </c>
      <c r="E1203" s="154">
        <v>1</v>
      </c>
      <c r="F1203" s="154" t="s">
        <v>4286</v>
      </c>
      <c r="G1203" s="154" t="s">
        <v>4359</v>
      </c>
      <c r="J1203" s="154" t="s">
        <v>31</v>
      </c>
      <c r="K1203" s="154" t="s">
        <v>2426</v>
      </c>
      <c r="N1203" s="155"/>
      <c r="O1203" s="156"/>
      <c r="P1203" s="157"/>
      <c r="Q1203" s="158"/>
      <c r="R1203" s="159"/>
      <c r="S1203" s="160"/>
      <c r="T1203" s="161"/>
      <c r="U1203" s="156"/>
      <c r="V1203" s="162"/>
      <c r="W1203" s="163"/>
      <c r="X1203" s="164">
        <v>2</v>
      </c>
      <c r="Y1203" s="159" t="s">
        <v>1111</v>
      </c>
      <c r="Z1203" s="161"/>
      <c r="AA1203" s="165"/>
      <c r="AD1203" s="154" t="s">
        <v>4360</v>
      </c>
      <c r="AE1203" s="155"/>
      <c r="AF1203" s="154" t="s">
        <v>4363</v>
      </c>
      <c r="AP1203" s="155"/>
      <c r="AQ1203" s="156"/>
      <c r="AR1203" s="157"/>
      <c r="AS1203" s="158"/>
      <c r="AT1203" s="159"/>
      <c r="AU1203" s="161"/>
      <c r="AV1203" s="156"/>
      <c r="AW1203" s="162"/>
      <c r="AX1203" s="163"/>
      <c r="AY1203" s="164"/>
      <c r="AZ1203" s="159"/>
      <c r="BA1203" s="161"/>
      <c r="BB1203" s="165"/>
      <c r="BF1203" s="155"/>
    </row>
    <row r="1204" spans="1:59" s="154" customFormat="1" ht="15" customHeight="1">
      <c r="A1204" s="153" t="s">
        <v>4285</v>
      </c>
      <c r="B1204" s="153" t="s">
        <v>4364</v>
      </c>
      <c r="C1204" s="154" t="s">
        <v>4289</v>
      </c>
      <c r="D1204" s="170">
        <v>176</v>
      </c>
      <c r="E1204" s="154">
        <v>1</v>
      </c>
      <c r="F1204" s="154" t="s">
        <v>4286</v>
      </c>
      <c r="G1204" s="154" t="s">
        <v>4365</v>
      </c>
      <c r="J1204" s="154" t="s">
        <v>31</v>
      </c>
      <c r="K1204" s="154" t="s">
        <v>2426</v>
      </c>
      <c r="N1204" s="155"/>
      <c r="O1204" s="156"/>
      <c r="P1204" s="157"/>
      <c r="Q1204" s="158"/>
      <c r="R1204" s="159"/>
      <c r="S1204" s="160"/>
      <c r="T1204" s="161"/>
      <c r="U1204" s="156"/>
      <c r="V1204" s="162"/>
      <c r="W1204" s="163"/>
      <c r="X1204" s="164">
        <v>3</v>
      </c>
      <c r="Y1204" s="159" t="s">
        <v>1073</v>
      </c>
      <c r="Z1204" s="161"/>
      <c r="AA1204" s="165"/>
      <c r="AD1204" s="154" t="s">
        <v>4360</v>
      </c>
      <c r="AE1204" s="155"/>
      <c r="AF1204" s="154" t="s">
        <v>4366</v>
      </c>
      <c r="AP1204" s="155"/>
      <c r="AQ1204" s="156"/>
      <c r="AR1204" s="157"/>
      <c r="AS1204" s="158"/>
      <c r="AT1204" s="159"/>
      <c r="AU1204" s="161"/>
      <c r="AV1204" s="156"/>
      <c r="AW1204" s="162"/>
      <c r="AX1204" s="163"/>
      <c r="AY1204" s="164"/>
      <c r="AZ1204" s="159"/>
      <c r="BA1204" s="161"/>
      <c r="BB1204" s="165"/>
      <c r="BF1204" s="155"/>
    </row>
    <row r="1205" spans="1:59" s="154" customFormat="1" ht="15" customHeight="1">
      <c r="A1205" s="168" t="s">
        <v>4285</v>
      </c>
      <c r="B1205" s="153" t="s">
        <v>4367</v>
      </c>
      <c r="C1205" s="154" t="s">
        <v>4289</v>
      </c>
      <c r="D1205" s="170">
        <v>177</v>
      </c>
      <c r="E1205" s="154">
        <v>1</v>
      </c>
      <c r="F1205" s="154" t="s">
        <v>4286</v>
      </c>
      <c r="G1205" s="154" t="s">
        <v>4365</v>
      </c>
      <c r="J1205" s="154" t="s">
        <v>31</v>
      </c>
      <c r="K1205" s="154" t="s">
        <v>2426</v>
      </c>
      <c r="N1205" s="155"/>
      <c r="O1205" s="156"/>
      <c r="P1205" s="157"/>
      <c r="Q1205" s="158"/>
      <c r="R1205" s="159"/>
      <c r="S1205" s="160"/>
      <c r="T1205" s="161"/>
      <c r="U1205" s="156"/>
      <c r="V1205" s="162"/>
      <c r="W1205" s="163"/>
      <c r="X1205" s="164">
        <v>2</v>
      </c>
      <c r="Y1205" s="159" t="s">
        <v>1111</v>
      </c>
      <c r="Z1205" s="161"/>
      <c r="AA1205" s="165"/>
      <c r="AD1205" s="154" t="s">
        <v>4360</v>
      </c>
      <c r="AE1205" s="155"/>
      <c r="AF1205" s="154" t="s">
        <v>4368</v>
      </c>
      <c r="AP1205" s="155"/>
      <c r="AQ1205" s="156"/>
      <c r="AR1205" s="157"/>
      <c r="AS1205" s="158"/>
      <c r="AT1205" s="159"/>
      <c r="AU1205" s="161"/>
      <c r="AV1205" s="156"/>
      <c r="AW1205" s="162"/>
      <c r="AX1205" s="163"/>
      <c r="AY1205" s="164"/>
      <c r="AZ1205" s="159"/>
      <c r="BA1205" s="161"/>
      <c r="BB1205" s="165"/>
      <c r="BF1205" s="155"/>
    </row>
    <row r="1206" spans="1:59" s="154" customFormat="1" ht="15" customHeight="1">
      <c r="A1206" s="153" t="s">
        <v>4285</v>
      </c>
      <c r="B1206" s="153" t="s">
        <v>4369</v>
      </c>
      <c r="C1206" s="154" t="s">
        <v>4289</v>
      </c>
      <c r="D1206" s="170">
        <v>178</v>
      </c>
      <c r="E1206" s="154">
        <v>1</v>
      </c>
      <c r="F1206" s="154" t="s">
        <v>4286</v>
      </c>
      <c r="G1206" s="154" t="s">
        <v>4370</v>
      </c>
      <c r="J1206" s="154" t="s">
        <v>31</v>
      </c>
      <c r="K1206" s="154" t="s">
        <v>2426</v>
      </c>
      <c r="N1206" s="155"/>
      <c r="O1206" s="156"/>
      <c r="P1206" s="157"/>
      <c r="Q1206" s="158"/>
      <c r="R1206" s="159"/>
      <c r="S1206" s="160"/>
      <c r="T1206" s="161"/>
      <c r="U1206" s="156"/>
      <c r="V1206" s="162"/>
      <c r="W1206" s="163"/>
      <c r="X1206" s="164">
        <v>2</v>
      </c>
      <c r="Y1206" s="159" t="s">
        <v>1111</v>
      </c>
      <c r="Z1206" s="161"/>
      <c r="AA1206" s="165"/>
      <c r="AD1206" s="154" t="s">
        <v>4360</v>
      </c>
      <c r="AF1206" s="154" t="s">
        <v>4371</v>
      </c>
      <c r="AP1206" s="155"/>
      <c r="AQ1206" s="156"/>
      <c r="AR1206" s="157"/>
      <c r="AS1206" s="158"/>
      <c r="AT1206" s="159"/>
      <c r="AU1206" s="161"/>
      <c r="AV1206" s="156"/>
      <c r="AW1206" s="162"/>
      <c r="AX1206" s="163"/>
      <c r="AY1206" s="164"/>
      <c r="AZ1206" s="159"/>
      <c r="BA1206" s="161"/>
      <c r="BB1206" s="165"/>
      <c r="BF1206" s="155"/>
    </row>
    <row r="1207" spans="1:59" s="154" customFormat="1" ht="15" customHeight="1">
      <c r="A1207" s="168" t="s">
        <v>4285</v>
      </c>
      <c r="B1207" s="153" t="s">
        <v>4372</v>
      </c>
      <c r="C1207" s="154" t="s">
        <v>4289</v>
      </c>
      <c r="D1207" s="170">
        <v>179</v>
      </c>
      <c r="E1207" s="154">
        <v>1</v>
      </c>
      <c r="F1207" s="154" t="s">
        <v>4286</v>
      </c>
      <c r="G1207" s="154" t="s">
        <v>4370</v>
      </c>
      <c r="J1207" s="154" t="s">
        <v>31</v>
      </c>
      <c r="K1207" s="154" t="s">
        <v>2426</v>
      </c>
      <c r="N1207" s="155"/>
      <c r="O1207" s="156"/>
      <c r="P1207" s="157"/>
      <c r="Q1207" s="158"/>
      <c r="R1207" s="159"/>
      <c r="S1207" s="160"/>
      <c r="T1207" s="161"/>
      <c r="U1207" s="156"/>
      <c r="V1207" s="162"/>
      <c r="W1207" s="163"/>
      <c r="X1207" s="164">
        <v>4</v>
      </c>
      <c r="Y1207" s="159" t="s">
        <v>1073</v>
      </c>
      <c r="Z1207" s="161"/>
      <c r="AA1207" s="165"/>
      <c r="AD1207" s="154" t="s">
        <v>4360</v>
      </c>
      <c r="AE1207" s="155"/>
      <c r="AF1207" s="154" t="s">
        <v>4373</v>
      </c>
      <c r="AP1207" s="155"/>
      <c r="AQ1207" s="156"/>
      <c r="AR1207" s="157"/>
      <c r="AS1207" s="158"/>
      <c r="AT1207" s="159"/>
      <c r="AU1207" s="161"/>
      <c r="AV1207" s="156"/>
      <c r="AW1207" s="162"/>
      <c r="AX1207" s="163"/>
      <c r="AY1207" s="164"/>
      <c r="AZ1207" s="159"/>
      <c r="BA1207" s="161"/>
      <c r="BB1207" s="165"/>
      <c r="BF1207" s="155"/>
    </row>
    <row r="1208" spans="1:59" s="154" customFormat="1" ht="15" customHeight="1">
      <c r="A1208" s="153" t="s">
        <v>4285</v>
      </c>
      <c r="B1208" s="153" t="s">
        <v>4374</v>
      </c>
      <c r="C1208" s="154" t="s">
        <v>4289</v>
      </c>
      <c r="D1208" s="170">
        <v>180</v>
      </c>
      <c r="E1208" s="154">
        <v>1</v>
      </c>
      <c r="F1208" s="154" t="s">
        <v>4286</v>
      </c>
      <c r="G1208" s="154" t="s">
        <v>4375</v>
      </c>
      <c r="J1208" s="154" t="s">
        <v>31</v>
      </c>
      <c r="K1208" s="154" t="s">
        <v>2426</v>
      </c>
      <c r="N1208" s="155"/>
      <c r="O1208" s="156"/>
      <c r="P1208" s="157"/>
      <c r="Q1208" s="158"/>
      <c r="R1208" s="159"/>
      <c r="S1208" s="160"/>
      <c r="T1208" s="161"/>
      <c r="U1208" s="156"/>
      <c r="V1208" s="162"/>
      <c r="W1208" s="163"/>
      <c r="X1208" s="164">
        <v>5</v>
      </c>
      <c r="Y1208" s="159" t="s">
        <v>1073</v>
      </c>
      <c r="Z1208" s="161"/>
      <c r="AA1208" s="165"/>
      <c r="AD1208" s="154" t="s">
        <v>4360</v>
      </c>
      <c r="AE1208" s="155"/>
      <c r="AF1208" s="154" t="s">
        <v>4376</v>
      </c>
      <c r="AP1208" s="155"/>
      <c r="AQ1208" s="156"/>
      <c r="AR1208" s="157"/>
      <c r="AS1208" s="158"/>
      <c r="AT1208" s="159"/>
      <c r="AU1208" s="161"/>
      <c r="AV1208" s="156"/>
      <c r="AW1208" s="162"/>
      <c r="AX1208" s="163"/>
      <c r="AY1208" s="164"/>
      <c r="AZ1208" s="159"/>
      <c r="BA1208" s="161"/>
      <c r="BB1208" s="165"/>
      <c r="BF1208" s="155"/>
    </row>
    <row r="1209" spans="1:59" s="154" customFormat="1" ht="15" customHeight="1">
      <c r="A1209" s="168" t="s">
        <v>4285</v>
      </c>
      <c r="B1209" s="153" t="s">
        <v>4377</v>
      </c>
      <c r="C1209" s="154" t="s">
        <v>4289</v>
      </c>
      <c r="D1209" s="170">
        <v>181</v>
      </c>
      <c r="E1209" s="154">
        <v>1</v>
      </c>
      <c r="F1209" s="154" t="s">
        <v>4286</v>
      </c>
      <c r="G1209" s="154" t="s">
        <v>4375</v>
      </c>
      <c r="J1209" s="154" t="s">
        <v>31</v>
      </c>
      <c r="K1209" s="154" t="s">
        <v>2426</v>
      </c>
      <c r="N1209" s="155"/>
      <c r="O1209" s="156"/>
      <c r="P1209" s="157"/>
      <c r="Q1209" s="158"/>
      <c r="R1209" s="159"/>
      <c r="S1209" s="160"/>
      <c r="T1209" s="161"/>
      <c r="U1209" s="156"/>
      <c r="V1209" s="162"/>
      <c r="W1209" s="163"/>
      <c r="X1209" s="164">
        <v>2</v>
      </c>
      <c r="Y1209" s="159" t="s">
        <v>1073</v>
      </c>
      <c r="Z1209" s="161"/>
      <c r="AA1209" s="165"/>
      <c r="AD1209" s="154" t="s">
        <v>4360</v>
      </c>
      <c r="AE1209" s="155"/>
      <c r="AF1209" s="154" t="s">
        <v>4378</v>
      </c>
      <c r="AP1209" s="155"/>
      <c r="AQ1209" s="156"/>
      <c r="AR1209" s="157"/>
      <c r="AS1209" s="158"/>
      <c r="AT1209" s="159"/>
      <c r="AU1209" s="161"/>
      <c r="AV1209" s="156"/>
      <c r="AW1209" s="162"/>
      <c r="AX1209" s="163"/>
      <c r="AY1209" s="164"/>
      <c r="AZ1209" s="159"/>
      <c r="BA1209" s="161"/>
      <c r="BB1209" s="165"/>
      <c r="BF1209" s="155"/>
    </row>
    <row r="1210" spans="1:59" s="154" customFormat="1" ht="15" customHeight="1">
      <c r="A1210" s="153" t="s">
        <v>4285</v>
      </c>
      <c r="B1210" s="153" t="s">
        <v>4379</v>
      </c>
      <c r="C1210" s="154" t="s">
        <v>4289</v>
      </c>
      <c r="D1210" s="170">
        <v>182</v>
      </c>
      <c r="E1210" s="154">
        <v>1</v>
      </c>
      <c r="F1210" s="154" t="s">
        <v>4286</v>
      </c>
      <c r="G1210" s="154" t="s">
        <v>4380</v>
      </c>
      <c r="J1210" s="154" t="s">
        <v>31</v>
      </c>
      <c r="K1210" s="154" t="s">
        <v>2426</v>
      </c>
      <c r="N1210" s="155"/>
      <c r="O1210" s="156"/>
      <c r="P1210" s="157"/>
      <c r="Q1210" s="158"/>
      <c r="R1210" s="159"/>
      <c r="S1210" s="160"/>
      <c r="T1210" s="161"/>
      <c r="U1210" s="156"/>
      <c r="V1210" s="162"/>
      <c r="W1210" s="163"/>
      <c r="X1210" s="164">
        <v>2</v>
      </c>
      <c r="Y1210" s="159" t="s">
        <v>1073</v>
      </c>
      <c r="Z1210" s="161"/>
      <c r="AA1210" s="165"/>
      <c r="AD1210" s="154" t="s">
        <v>4360</v>
      </c>
      <c r="AE1210" s="155"/>
      <c r="AF1210" s="154" t="s">
        <v>4381</v>
      </c>
      <c r="AP1210" s="155"/>
      <c r="AQ1210" s="156"/>
      <c r="AR1210" s="157"/>
      <c r="AS1210" s="158"/>
      <c r="AT1210" s="159"/>
      <c r="AU1210" s="161"/>
      <c r="AV1210" s="156"/>
      <c r="AW1210" s="162"/>
      <c r="AX1210" s="163"/>
      <c r="AY1210" s="164"/>
      <c r="AZ1210" s="159"/>
      <c r="BA1210" s="161"/>
      <c r="BB1210" s="165"/>
      <c r="BF1210" s="155"/>
    </row>
    <row r="1211" spans="1:59" s="154" customFormat="1" ht="15" customHeight="1">
      <c r="A1211" s="168" t="s">
        <v>4285</v>
      </c>
      <c r="B1211" s="153" t="s">
        <v>4382</v>
      </c>
      <c r="C1211" s="154" t="s">
        <v>4289</v>
      </c>
      <c r="D1211" s="170">
        <v>183</v>
      </c>
      <c r="E1211" s="154">
        <v>1</v>
      </c>
      <c r="F1211" s="154" t="s">
        <v>4286</v>
      </c>
      <c r="G1211" s="154" t="s">
        <v>4380</v>
      </c>
      <c r="J1211" s="154" t="s">
        <v>31</v>
      </c>
      <c r="K1211" s="154" t="s">
        <v>2426</v>
      </c>
      <c r="N1211" s="155"/>
      <c r="O1211" s="156"/>
      <c r="P1211" s="157"/>
      <c r="Q1211" s="158"/>
      <c r="R1211" s="159"/>
      <c r="S1211" s="160"/>
      <c r="T1211" s="161"/>
      <c r="U1211" s="156"/>
      <c r="V1211" s="162"/>
      <c r="W1211" s="163"/>
      <c r="X1211" s="164">
        <v>4</v>
      </c>
      <c r="Y1211" s="159" t="s">
        <v>1111</v>
      </c>
      <c r="Z1211" s="161"/>
      <c r="AA1211" s="165"/>
      <c r="AD1211" s="154" t="s">
        <v>4360</v>
      </c>
      <c r="AE1211" s="155"/>
      <c r="AF1211" s="154" t="s">
        <v>4383</v>
      </c>
      <c r="AP1211" s="155"/>
      <c r="AQ1211" s="156"/>
      <c r="AR1211" s="157"/>
      <c r="AS1211" s="158"/>
      <c r="AT1211" s="159"/>
      <c r="AU1211" s="161"/>
      <c r="AV1211" s="156"/>
      <c r="AW1211" s="162"/>
      <c r="AX1211" s="163"/>
      <c r="AY1211" s="164"/>
      <c r="AZ1211" s="159"/>
      <c r="BA1211" s="161"/>
      <c r="BB1211" s="165"/>
      <c r="BF1211" s="155"/>
    </row>
    <row r="1212" spans="1:59" s="154" customFormat="1" ht="15" customHeight="1">
      <c r="A1212" s="153" t="s">
        <v>4285</v>
      </c>
      <c r="B1212" s="153" t="s">
        <v>4384</v>
      </c>
      <c r="C1212" s="154" t="s">
        <v>4289</v>
      </c>
      <c r="D1212" s="170">
        <v>184</v>
      </c>
      <c r="E1212" s="154">
        <v>1</v>
      </c>
      <c r="F1212" s="154" t="s">
        <v>4286</v>
      </c>
      <c r="G1212" s="154" t="s">
        <v>4385</v>
      </c>
      <c r="J1212" s="154" t="s">
        <v>31</v>
      </c>
      <c r="K1212" s="154" t="s">
        <v>2426</v>
      </c>
      <c r="N1212" s="155"/>
      <c r="O1212" s="156"/>
      <c r="P1212" s="157"/>
      <c r="Q1212" s="158"/>
      <c r="R1212" s="159"/>
      <c r="S1212" s="160"/>
      <c r="T1212" s="161"/>
      <c r="U1212" s="156"/>
      <c r="V1212" s="162"/>
      <c r="W1212" s="163"/>
      <c r="X1212" s="164">
        <v>4</v>
      </c>
      <c r="Y1212" s="159" t="s">
        <v>1073</v>
      </c>
      <c r="Z1212" s="161"/>
      <c r="AA1212" s="165"/>
      <c r="AD1212" s="154" t="s">
        <v>4360</v>
      </c>
      <c r="AE1212" s="155"/>
      <c r="AF1212" s="154" t="s">
        <v>4386</v>
      </c>
      <c r="AP1212" s="155"/>
      <c r="AQ1212" s="156"/>
      <c r="AR1212" s="157"/>
      <c r="AS1212" s="158"/>
      <c r="AT1212" s="159"/>
      <c r="AU1212" s="161"/>
      <c r="AV1212" s="156"/>
      <c r="AW1212" s="162"/>
      <c r="AX1212" s="163"/>
      <c r="AY1212" s="164"/>
      <c r="AZ1212" s="159"/>
      <c r="BA1212" s="161"/>
      <c r="BB1212" s="165"/>
      <c r="BF1212" s="155"/>
    </row>
    <row r="1213" spans="1:59" s="154" customFormat="1" ht="15" customHeight="1">
      <c r="A1213" s="168" t="s">
        <v>4285</v>
      </c>
      <c r="B1213" s="169" t="s">
        <v>4387</v>
      </c>
      <c r="C1213" s="154" t="s">
        <v>4289</v>
      </c>
      <c r="D1213" s="170">
        <v>185</v>
      </c>
      <c r="E1213" s="154">
        <v>1</v>
      </c>
      <c r="F1213" s="154" t="s">
        <v>4286</v>
      </c>
      <c r="G1213" s="154" t="s">
        <v>4385</v>
      </c>
      <c r="J1213" s="154" t="s">
        <v>31</v>
      </c>
      <c r="K1213" s="154" t="s">
        <v>2426</v>
      </c>
      <c r="N1213" s="155"/>
      <c r="O1213" s="156"/>
      <c r="P1213" s="157"/>
      <c r="Q1213" s="158"/>
      <c r="R1213" s="159"/>
      <c r="S1213" s="160"/>
      <c r="T1213" s="161"/>
      <c r="U1213" s="156"/>
      <c r="V1213" s="162"/>
      <c r="W1213" s="163"/>
      <c r="X1213" s="164">
        <v>6</v>
      </c>
      <c r="Y1213" s="159" t="s">
        <v>1073</v>
      </c>
      <c r="Z1213" s="161"/>
      <c r="AA1213" s="165"/>
      <c r="AD1213" s="154" t="s">
        <v>4360</v>
      </c>
      <c r="AE1213" s="155"/>
      <c r="AF1213" s="154" t="s">
        <v>4388</v>
      </c>
      <c r="AP1213" s="155"/>
      <c r="AQ1213" s="156"/>
      <c r="AR1213" s="157"/>
      <c r="AS1213" s="158"/>
      <c r="AT1213" s="159"/>
      <c r="AU1213" s="161"/>
      <c r="AV1213" s="156"/>
      <c r="AW1213" s="162"/>
      <c r="AX1213" s="163"/>
      <c r="AY1213" s="164"/>
      <c r="AZ1213" s="159"/>
      <c r="BA1213" s="161"/>
      <c r="BB1213" s="165"/>
      <c r="BF1213" s="155"/>
    </row>
    <row r="1214" spans="1:59" s="154" customFormat="1" ht="15" customHeight="1">
      <c r="A1214" s="153" t="s">
        <v>4285</v>
      </c>
      <c r="B1214" s="153" t="s">
        <v>4389</v>
      </c>
      <c r="C1214" s="154" t="s">
        <v>4289</v>
      </c>
      <c r="D1214" s="155">
        <v>186</v>
      </c>
      <c r="E1214" s="154">
        <v>1</v>
      </c>
      <c r="F1214" s="154" t="s">
        <v>4286</v>
      </c>
      <c r="G1214" s="154" t="s">
        <v>4390</v>
      </c>
      <c r="H1214" s="154" t="s">
        <v>4391</v>
      </c>
      <c r="I1214" s="154" t="s">
        <v>223</v>
      </c>
      <c r="J1214" s="154" t="s">
        <v>29</v>
      </c>
      <c r="K1214" s="154" t="s">
        <v>2426</v>
      </c>
      <c r="N1214" s="155"/>
      <c r="O1214" s="156"/>
      <c r="P1214" s="157"/>
      <c r="Q1214" s="158">
        <v>5</v>
      </c>
      <c r="R1214" s="159">
        <v>3</v>
      </c>
      <c r="S1214" s="160"/>
      <c r="T1214" s="161" t="s">
        <v>1112</v>
      </c>
      <c r="U1214" s="156"/>
      <c r="V1214" s="162"/>
      <c r="W1214" s="163"/>
      <c r="X1214" s="164"/>
      <c r="Y1214" s="159"/>
      <c r="Z1214" s="161"/>
      <c r="AA1214" s="165">
        <v>2</v>
      </c>
      <c r="AD1214" s="154" t="s">
        <v>4392</v>
      </c>
      <c r="AE1214" s="155"/>
      <c r="AF1214" s="154" t="s">
        <v>4694</v>
      </c>
      <c r="AP1214" s="155"/>
      <c r="AQ1214" s="156"/>
      <c r="AR1214" s="157"/>
      <c r="AS1214" s="158"/>
      <c r="AT1214" s="159"/>
      <c r="AU1214" s="161"/>
      <c r="AV1214" s="156"/>
      <c r="AW1214" s="162"/>
      <c r="AX1214" s="163"/>
      <c r="AY1214" s="164"/>
      <c r="AZ1214" s="159"/>
      <c r="BA1214" s="161"/>
      <c r="BB1214" s="165"/>
      <c r="BF1214" s="155"/>
    </row>
    <row r="1215" spans="1:59" s="154" customFormat="1" ht="15" customHeight="1">
      <c r="A1215" s="168" t="s">
        <v>4285</v>
      </c>
      <c r="B1215" s="153" t="s">
        <v>4393</v>
      </c>
      <c r="C1215" s="154" t="s">
        <v>4289</v>
      </c>
      <c r="D1215" s="155">
        <v>187</v>
      </c>
      <c r="E1215" s="154">
        <v>1</v>
      </c>
      <c r="F1215" s="154" t="s">
        <v>4286</v>
      </c>
      <c r="G1215" s="154" t="s">
        <v>4394</v>
      </c>
      <c r="J1215" s="154" t="s">
        <v>29</v>
      </c>
      <c r="K1215" s="154" t="s">
        <v>2426</v>
      </c>
      <c r="N1215" s="155"/>
      <c r="O1215" s="156"/>
      <c r="P1215" s="157"/>
      <c r="Q1215" s="158">
        <v>3</v>
      </c>
      <c r="R1215" s="159">
        <v>3</v>
      </c>
      <c r="S1215" s="160"/>
      <c r="T1215" s="161">
        <v>5</v>
      </c>
      <c r="U1215" s="156"/>
      <c r="V1215" s="162">
        <v>1</v>
      </c>
      <c r="W1215" s="163">
        <v>1</v>
      </c>
      <c r="X1215" s="164"/>
      <c r="Y1215" s="159"/>
      <c r="Z1215" s="161"/>
      <c r="AA1215" s="165">
        <v>1</v>
      </c>
      <c r="AD1215" s="154" t="s">
        <v>3861</v>
      </c>
      <c r="AE1215" s="155"/>
      <c r="AF1215" s="154" t="s">
        <v>4695</v>
      </c>
      <c r="AP1215" s="155"/>
      <c r="AQ1215" s="156"/>
      <c r="AR1215" s="157"/>
      <c r="AS1215" s="158"/>
      <c r="AT1215" s="159"/>
      <c r="AU1215" s="161"/>
      <c r="AV1215" s="156"/>
      <c r="AW1215" s="162"/>
      <c r="AX1215" s="163"/>
      <c r="AY1215" s="164"/>
      <c r="AZ1215" s="159"/>
      <c r="BA1215" s="161"/>
      <c r="BB1215" s="165"/>
      <c r="BF1215" s="155"/>
    </row>
    <row r="1216" spans="1:59" s="154" customFormat="1" ht="15" customHeight="1">
      <c r="A1216" s="153" t="s">
        <v>4285</v>
      </c>
      <c r="B1216" s="153" t="s">
        <v>4395</v>
      </c>
      <c r="C1216" s="154" t="s">
        <v>4289</v>
      </c>
      <c r="D1216" s="155">
        <v>188</v>
      </c>
      <c r="E1216" s="154">
        <v>2</v>
      </c>
      <c r="F1216" s="154" t="s">
        <v>4286</v>
      </c>
      <c r="G1216" s="154" t="s">
        <v>4396</v>
      </c>
      <c r="J1216" s="154" t="s">
        <v>29</v>
      </c>
      <c r="K1216" s="154" t="s">
        <v>2426</v>
      </c>
      <c r="N1216" s="155"/>
      <c r="O1216" s="156"/>
      <c r="P1216" s="157"/>
      <c r="Q1216" s="158">
        <v>2</v>
      </c>
      <c r="R1216" s="159">
        <v>2</v>
      </c>
      <c r="S1216" s="160"/>
      <c r="T1216" s="161">
        <v>2</v>
      </c>
      <c r="U1216" s="156"/>
      <c r="V1216" s="162"/>
      <c r="W1216" s="163">
        <v>1</v>
      </c>
      <c r="X1216" s="164"/>
      <c r="Y1216" s="159"/>
      <c r="Z1216" s="161"/>
      <c r="AA1216" s="165"/>
      <c r="AD1216" s="154" t="s">
        <v>467</v>
      </c>
      <c r="AE1216" s="155"/>
      <c r="AF1216" s="154" t="s">
        <v>4397</v>
      </c>
      <c r="AP1216" s="155"/>
      <c r="AQ1216" s="156"/>
      <c r="AR1216" s="157"/>
      <c r="AS1216" s="158"/>
      <c r="AT1216" s="159"/>
      <c r="AU1216" s="161"/>
      <c r="AV1216" s="156"/>
      <c r="AW1216" s="162"/>
      <c r="AX1216" s="163"/>
      <c r="AY1216" s="164"/>
      <c r="AZ1216" s="159"/>
      <c r="BA1216" s="161"/>
      <c r="BB1216" s="165"/>
      <c r="BF1216" s="155"/>
    </row>
    <row r="1217" spans="1:58" s="154" customFormat="1" ht="15" customHeight="1">
      <c r="A1217" s="168" t="s">
        <v>4285</v>
      </c>
      <c r="B1217" s="153" t="s">
        <v>4398</v>
      </c>
      <c r="C1217" s="154" t="s">
        <v>4289</v>
      </c>
      <c r="D1217" s="155">
        <v>189</v>
      </c>
      <c r="E1217" s="154">
        <v>3</v>
      </c>
      <c r="F1217" s="154" t="s">
        <v>4286</v>
      </c>
      <c r="G1217" s="154" t="s">
        <v>4399</v>
      </c>
      <c r="J1217" s="154" t="s">
        <v>28</v>
      </c>
      <c r="K1217" s="154" t="s">
        <v>2426</v>
      </c>
      <c r="N1217" s="155"/>
      <c r="O1217" s="156"/>
      <c r="P1217" s="157"/>
      <c r="Q1217" s="158"/>
      <c r="R1217" s="159"/>
      <c r="S1217" s="160"/>
      <c r="T1217" s="161"/>
      <c r="U1217" s="156"/>
      <c r="V1217" s="162"/>
      <c r="W1217" s="163"/>
      <c r="X1217" s="164"/>
      <c r="Y1217" s="159"/>
      <c r="Z1217" s="161"/>
      <c r="AA1217" s="165"/>
      <c r="AD1217" s="154" t="s">
        <v>486</v>
      </c>
      <c r="AE1217" s="155"/>
      <c r="AF1217" s="154" t="s">
        <v>4400</v>
      </c>
      <c r="AP1217" s="155"/>
      <c r="AQ1217" s="156"/>
      <c r="AR1217" s="157"/>
      <c r="AS1217" s="158"/>
      <c r="AT1217" s="159"/>
      <c r="AU1217" s="161"/>
      <c r="AV1217" s="156"/>
      <c r="AW1217" s="162"/>
      <c r="AX1217" s="163"/>
      <c r="AY1217" s="164"/>
      <c r="AZ1217" s="159"/>
      <c r="BA1217" s="161"/>
      <c r="BB1217" s="165"/>
      <c r="BF1217" s="155"/>
    </row>
    <row r="1218" spans="1:58" s="154" customFormat="1" ht="15" customHeight="1">
      <c r="A1218" s="153" t="s">
        <v>4285</v>
      </c>
      <c r="B1218" s="153" t="s">
        <v>4401</v>
      </c>
      <c r="C1218" s="154" t="s">
        <v>4289</v>
      </c>
      <c r="D1218" s="155">
        <v>190</v>
      </c>
      <c r="E1218" s="154">
        <v>3</v>
      </c>
      <c r="F1218" s="154" t="s">
        <v>4286</v>
      </c>
      <c r="G1218" s="154" t="s">
        <v>4402</v>
      </c>
      <c r="J1218" s="154" t="s">
        <v>28</v>
      </c>
      <c r="K1218" s="154" t="s">
        <v>2426</v>
      </c>
      <c r="N1218" s="155"/>
      <c r="O1218" s="156"/>
      <c r="P1218" s="157"/>
      <c r="Q1218" s="158"/>
      <c r="R1218" s="159"/>
      <c r="S1218" s="160"/>
      <c r="T1218" s="161"/>
      <c r="U1218" s="156"/>
      <c r="V1218" s="162"/>
      <c r="W1218" s="163"/>
      <c r="X1218" s="164"/>
      <c r="Y1218" s="159"/>
      <c r="Z1218" s="161"/>
      <c r="AA1218" s="165"/>
      <c r="AD1218" s="154" t="s">
        <v>486</v>
      </c>
      <c r="AE1218" s="155"/>
      <c r="AF1218" s="154" t="s">
        <v>4403</v>
      </c>
      <c r="AJ1218" s="171"/>
      <c r="AP1218" s="155"/>
      <c r="AQ1218" s="156"/>
      <c r="AR1218" s="157"/>
      <c r="AS1218" s="158"/>
      <c r="AT1218" s="159"/>
      <c r="AU1218" s="161"/>
      <c r="AV1218" s="156"/>
      <c r="AW1218" s="162"/>
      <c r="AX1218" s="163"/>
      <c r="AY1218" s="164"/>
      <c r="AZ1218" s="159"/>
      <c r="BA1218" s="161"/>
      <c r="BB1218" s="165"/>
      <c r="BF1218" s="155"/>
    </row>
    <row r="1219" spans="1:58" s="154" customFormat="1" ht="15" customHeight="1">
      <c r="A1219" s="168" t="s">
        <v>4285</v>
      </c>
      <c r="B1219" s="153" t="s">
        <v>4404</v>
      </c>
      <c r="C1219" s="154" t="s">
        <v>4289</v>
      </c>
      <c r="D1219" s="155">
        <v>191</v>
      </c>
      <c r="E1219" s="154">
        <v>1</v>
      </c>
      <c r="F1219" s="154" t="s">
        <v>4286</v>
      </c>
      <c r="G1219" s="154" t="s">
        <v>3978</v>
      </c>
      <c r="H1219" s="154" t="s">
        <v>4405</v>
      </c>
      <c r="I1219" s="154" t="s">
        <v>223</v>
      </c>
      <c r="J1219" s="154" t="s">
        <v>257</v>
      </c>
      <c r="K1219" s="154" t="s">
        <v>26</v>
      </c>
      <c r="N1219" s="155">
        <v>2</v>
      </c>
      <c r="O1219" s="156"/>
      <c r="P1219" s="157"/>
      <c r="Q1219" s="158"/>
      <c r="R1219" s="159"/>
      <c r="S1219" s="160">
        <v>3</v>
      </c>
      <c r="T1219" s="161"/>
      <c r="U1219" s="156"/>
      <c r="V1219" s="162"/>
      <c r="W1219" s="163"/>
      <c r="X1219" s="164"/>
      <c r="Y1219" s="159"/>
      <c r="Z1219" s="161"/>
      <c r="AA1219" s="165"/>
      <c r="AB1219" s="154" t="s">
        <v>1996</v>
      </c>
      <c r="AD1219" s="154" t="s">
        <v>276</v>
      </c>
      <c r="AE1219" s="155"/>
      <c r="AF1219" s="154" t="s">
        <v>4406</v>
      </c>
      <c r="AP1219" s="155"/>
      <c r="AQ1219" s="156"/>
      <c r="AR1219" s="157"/>
      <c r="AS1219" s="158"/>
      <c r="AT1219" s="159"/>
      <c r="AU1219" s="161"/>
      <c r="AV1219" s="156"/>
      <c r="AW1219" s="162"/>
      <c r="AX1219" s="163"/>
      <c r="AY1219" s="164"/>
      <c r="AZ1219" s="159"/>
      <c r="BA1219" s="161"/>
      <c r="BB1219" s="165"/>
      <c r="BF1219" s="155"/>
    </row>
    <row r="1220" spans="1:58" s="171" customFormat="1" ht="15" customHeight="1">
      <c r="A1220" s="168" t="s">
        <v>4696</v>
      </c>
      <c r="B1220" s="154" t="s">
        <v>4699</v>
      </c>
      <c r="C1220" s="154" t="s">
        <v>4700</v>
      </c>
      <c r="D1220" s="170">
        <v>192</v>
      </c>
      <c r="E1220" s="171">
        <v>2</v>
      </c>
      <c r="F1220" s="154"/>
      <c r="G1220" s="171" t="s">
        <v>4701</v>
      </c>
      <c r="J1220" s="171" t="s">
        <v>312</v>
      </c>
      <c r="K1220" s="171" t="s">
        <v>198</v>
      </c>
      <c r="L1220" s="171">
        <v>0</v>
      </c>
      <c r="N1220" s="170"/>
      <c r="O1220" s="156">
        <v>1</v>
      </c>
      <c r="P1220" s="157"/>
      <c r="Q1220" s="158"/>
      <c r="R1220" s="159"/>
      <c r="S1220" s="160"/>
      <c r="T1220" s="161"/>
      <c r="U1220" s="156"/>
      <c r="V1220" s="162"/>
      <c r="W1220" s="163"/>
      <c r="X1220" s="164"/>
      <c r="Y1220" s="159"/>
      <c r="Z1220" s="161"/>
      <c r="AA1220" s="165"/>
      <c r="AB1220" s="171" t="s">
        <v>204</v>
      </c>
      <c r="AD1220" s="171" t="s">
        <v>412</v>
      </c>
      <c r="AE1220" s="170"/>
      <c r="AF1220" s="171" t="s">
        <v>4702</v>
      </c>
      <c r="AQ1220" s="156"/>
      <c r="AR1220" s="157"/>
      <c r="AS1220" s="158"/>
      <c r="AT1220" s="159"/>
      <c r="AU1220" s="161"/>
      <c r="AV1220" s="156"/>
      <c r="AW1220" s="162"/>
      <c r="AX1220" s="163"/>
      <c r="AY1220" s="164"/>
      <c r="AZ1220" s="159"/>
      <c r="BA1220" s="161"/>
      <c r="BB1220" s="165"/>
      <c r="BF1220" s="170"/>
    </row>
    <row r="1221" spans="1:58" s="154" customFormat="1" ht="15" customHeight="1">
      <c r="A1221" s="168" t="s">
        <v>4696</v>
      </c>
      <c r="B1221" s="154" t="s">
        <v>4703</v>
      </c>
      <c r="C1221" s="154" t="s">
        <v>4700</v>
      </c>
      <c r="D1221" s="170">
        <v>193</v>
      </c>
      <c r="E1221" s="154">
        <v>2</v>
      </c>
      <c r="G1221" s="154" t="s">
        <v>4704</v>
      </c>
      <c r="J1221" s="171" t="s">
        <v>27</v>
      </c>
      <c r="K1221" s="154" t="s">
        <v>198</v>
      </c>
      <c r="L1221" s="154">
        <v>3</v>
      </c>
      <c r="N1221" s="155">
        <v>3</v>
      </c>
      <c r="O1221" s="156"/>
      <c r="P1221" s="157"/>
      <c r="Q1221" s="158">
        <v>1</v>
      </c>
      <c r="R1221" s="159">
        <v>1</v>
      </c>
      <c r="S1221" s="160"/>
      <c r="T1221" s="161"/>
      <c r="U1221" s="156"/>
      <c r="V1221" s="162"/>
      <c r="W1221" s="163"/>
      <c r="X1221" s="164"/>
      <c r="Y1221" s="159"/>
      <c r="Z1221" s="161"/>
      <c r="AA1221" s="165"/>
      <c r="AB1221" s="154" t="s">
        <v>1087</v>
      </c>
      <c r="AD1221" s="154" t="s">
        <v>4705</v>
      </c>
      <c r="AE1221" s="155"/>
      <c r="AF1221" s="154" t="s">
        <v>4706</v>
      </c>
      <c r="AL1221" s="171"/>
      <c r="AO1221" s="155"/>
      <c r="AP1221" s="155"/>
      <c r="AQ1221" s="156"/>
      <c r="AR1221" s="157"/>
      <c r="AS1221" s="158"/>
      <c r="AT1221" s="159"/>
      <c r="AU1221" s="161"/>
      <c r="AV1221" s="156"/>
      <c r="AW1221" s="162"/>
      <c r="AX1221" s="163"/>
      <c r="AY1221" s="164"/>
      <c r="AZ1221" s="159"/>
      <c r="BA1221" s="161"/>
      <c r="BB1221" s="165"/>
      <c r="BE1221" s="155"/>
    </row>
    <row r="1222" spans="1:58" s="154" customFormat="1" ht="15" customHeight="1">
      <c r="A1222" s="168" t="s">
        <v>4696</v>
      </c>
      <c r="B1222" s="154" t="s">
        <v>4707</v>
      </c>
      <c r="C1222" s="154" t="s">
        <v>4700</v>
      </c>
      <c r="D1222" s="170">
        <v>194</v>
      </c>
      <c r="E1222" s="154">
        <v>2</v>
      </c>
      <c r="G1222" s="154" t="s">
        <v>4708</v>
      </c>
      <c r="J1222" s="171" t="s">
        <v>257</v>
      </c>
      <c r="K1222" s="154" t="s">
        <v>199</v>
      </c>
      <c r="L1222" s="154">
        <v>2</v>
      </c>
      <c r="N1222" s="155">
        <v>2</v>
      </c>
      <c r="O1222" s="156"/>
      <c r="P1222" s="157">
        <v>2</v>
      </c>
      <c r="Q1222" s="158"/>
      <c r="R1222" s="159"/>
      <c r="S1222" s="160"/>
      <c r="T1222" s="161"/>
      <c r="U1222" s="156"/>
      <c r="V1222" s="162"/>
      <c r="W1222" s="163"/>
      <c r="X1222" s="164"/>
      <c r="Y1222" s="159"/>
      <c r="Z1222" s="161"/>
      <c r="AA1222" s="165"/>
      <c r="AB1222" s="154" t="s">
        <v>1084</v>
      </c>
      <c r="AC1222" s="154" t="s">
        <v>258</v>
      </c>
      <c r="AD1222" s="154" t="s">
        <v>4709</v>
      </c>
      <c r="AE1222" s="155"/>
      <c r="AF1222" s="154" t="s">
        <v>4710</v>
      </c>
      <c r="AL1222" s="171"/>
      <c r="AO1222" s="155"/>
      <c r="AP1222" s="155"/>
      <c r="AQ1222" s="156"/>
      <c r="AR1222" s="157"/>
      <c r="AS1222" s="158"/>
      <c r="AT1222" s="159"/>
      <c r="AU1222" s="161"/>
      <c r="AV1222" s="156"/>
      <c r="AW1222" s="162"/>
      <c r="AX1222" s="163"/>
      <c r="AY1222" s="164"/>
      <c r="AZ1222" s="159"/>
      <c r="BA1222" s="161"/>
      <c r="BB1222" s="165"/>
      <c r="BE1222" s="155"/>
    </row>
    <row r="1223" spans="1:58" s="154" customFormat="1" ht="15" customHeight="1">
      <c r="A1223" s="168" t="s">
        <v>4696</v>
      </c>
      <c r="B1223" s="154" t="s">
        <v>4711</v>
      </c>
      <c r="C1223" s="154" t="s">
        <v>4700</v>
      </c>
      <c r="D1223" s="170">
        <v>195</v>
      </c>
      <c r="E1223" s="154">
        <v>2</v>
      </c>
      <c r="G1223" s="154" t="s">
        <v>2126</v>
      </c>
      <c r="J1223" s="171" t="s">
        <v>27</v>
      </c>
      <c r="K1223" s="154" t="s">
        <v>199</v>
      </c>
      <c r="L1223" s="154">
        <v>3</v>
      </c>
      <c r="N1223" s="155">
        <v>0</v>
      </c>
      <c r="O1223" s="156"/>
      <c r="P1223" s="157">
        <v>1</v>
      </c>
      <c r="Q1223" s="158">
        <v>1</v>
      </c>
      <c r="R1223" s="159"/>
      <c r="S1223" s="160">
        <v>1</v>
      </c>
      <c r="T1223" s="161"/>
      <c r="U1223" s="156"/>
      <c r="V1223" s="162"/>
      <c r="W1223" s="163"/>
      <c r="X1223" s="164"/>
      <c r="Y1223" s="159"/>
      <c r="Z1223" s="161"/>
      <c r="AA1223" s="165"/>
      <c r="AB1223" s="154" t="s">
        <v>4712</v>
      </c>
      <c r="AD1223" s="154" t="s">
        <v>340</v>
      </c>
      <c r="AE1223" s="155"/>
      <c r="AF1223" s="154" t="s">
        <v>4713</v>
      </c>
      <c r="AL1223" s="171"/>
      <c r="AO1223" s="155"/>
      <c r="AP1223" s="155"/>
      <c r="AQ1223" s="156"/>
      <c r="AR1223" s="157"/>
      <c r="AS1223" s="158"/>
      <c r="AT1223" s="159"/>
      <c r="AU1223" s="161"/>
      <c r="AV1223" s="156"/>
      <c r="AW1223" s="162"/>
      <c r="AX1223" s="163"/>
      <c r="AY1223" s="164"/>
      <c r="AZ1223" s="159"/>
      <c r="BA1223" s="161"/>
      <c r="BB1223" s="165"/>
      <c r="BE1223" s="155"/>
    </row>
    <row r="1224" spans="1:58" s="154" customFormat="1" ht="15" customHeight="1">
      <c r="A1224" s="168" t="s">
        <v>4696</v>
      </c>
      <c r="B1224" s="154" t="s">
        <v>4714</v>
      </c>
      <c r="C1224" s="154" t="s">
        <v>4700</v>
      </c>
      <c r="D1224" s="170">
        <v>196</v>
      </c>
      <c r="E1224" s="154">
        <v>2</v>
      </c>
      <c r="G1224" s="154" t="s">
        <v>4715</v>
      </c>
      <c r="H1224" s="154" t="s">
        <v>4716</v>
      </c>
      <c r="I1224" s="154" t="s">
        <v>223</v>
      </c>
      <c r="J1224" s="154" t="s">
        <v>257</v>
      </c>
      <c r="K1224" s="154" t="s">
        <v>201</v>
      </c>
      <c r="L1224" s="154">
        <v>3</v>
      </c>
      <c r="N1224" s="154">
        <v>3</v>
      </c>
      <c r="O1224" s="156"/>
      <c r="P1224" s="157">
        <v>2</v>
      </c>
      <c r="Q1224" s="158"/>
      <c r="R1224" s="159"/>
      <c r="S1224" s="160"/>
      <c r="T1224" s="161">
        <v>2</v>
      </c>
      <c r="U1224" s="156">
        <v>2</v>
      </c>
      <c r="V1224" s="162"/>
      <c r="W1224" s="163"/>
      <c r="X1224" s="164"/>
      <c r="Y1224" s="159"/>
      <c r="Z1224" s="161"/>
      <c r="AA1224" s="165"/>
      <c r="AB1224" s="154" t="s">
        <v>1084</v>
      </c>
      <c r="AC1224" s="154" t="s">
        <v>25</v>
      </c>
      <c r="AD1224" s="154" t="s">
        <v>3842</v>
      </c>
      <c r="AF1224" s="154" t="s">
        <v>4717</v>
      </c>
      <c r="AO1224" s="155"/>
      <c r="AQ1224" s="156"/>
      <c r="AR1224" s="157"/>
      <c r="AS1224" s="158"/>
      <c r="AT1224" s="159"/>
      <c r="AU1224" s="161"/>
      <c r="AV1224" s="156"/>
      <c r="AW1224" s="162"/>
      <c r="AX1224" s="163"/>
      <c r="AY1224" s="164"/>
      <c r="AZ1224" s="159"/>
      <c r="BA1224" s="161"/>
      <c r="BB1224" s="165"/>
      <c r="BE1224" s="155"/>
    </row>
    <row r="1225" spans="1:58" s="154" customFormat="1" ht="15" customHeight="1">
      <c r="A1225" s="168" t="s">
        <v>4696</v>
      </c>
      <c r="B1225" s="154" t="s">
        <v>4718</v>
      </c>
      <c r="C1225" s="154" t="s">
        <v>4700</v>
      </c>
      <c r="D1225" s="170">
        <v>197</v>
      </c>
      <c r="E1225" s="154">
        <v>2</v>
      </c>
      <c r="G1225" s="154" t="s">
        <v>4719</v>
      </c>
      <c r="H1225" s="154" t="s">
        <v>4720</v>
      </c>
      <c r="I1225" s="154" t="s">
        <v>223</v>
      </c>
      <c r="J1225" s="154" t="s">
        <v>257</v>
      </c>
      <c r="K1225" s="154" t="s">
        <v>200</v>
      </c>
      <c r="L1225" s="154">
        <v>0</v>
      </c>
      <c r="N1225" s="154">
        <v>2</v>
      </c>
      <c r="O1225" s="156">
        <v>1</v>
      </c>
      <c r="P1225" s="157"/>
      <c r="Q1225" s="158"/>
      <c r="R1225" s="159"/>
      <c r="S1225" s="160"/>
      <c r="T1225" s="161">
        <v>1</v>
      </c>
      <c r="U1225" s="156">
        <v>3</v>
      </c>
      <c r="V1225" s="162"/>
      <c r="W1225" s="163"/>
      <c r="X1225" s="164"/>
      <c r="Y1225" s="159"/>
      <c r="Z1225" s="161"/>
      <c r="AA1225" s="165"/>
      <c r="AB1225" s="154" t="s">
        <v>204</v>
      </c>
      <c r="AC1225" s="154" t="s">
        <v>25</v>
      </c>
      <c r="AD1225" s="154" t="s">
        <v>4721</v>
      </c>
      <c r="AF1225" s="154" t="s">
        <v>4722</v>
      </c>
      <c r="AO1225" s="155"/>
      <c r="AQ1225" s="156"/>
      <c r="AR1225" s="157"/>
      <c r="AS1225" s="158"/>
      <c r="AT1225" s="159"/>
      <c r="AU1225" s="161"/>
      <c r="AV1225" s="156"/>
      <c r="AW1225" s="162"/>
      <c r="AX1225" s="163"/>
      <c r="AY1225" s="164"/>
      <c r="AZ1225" s="159"/>
      <c r="BA1225" s="161"/>
      <c r="BB1225" s="165"/>
      <c r="BE1225" s="155"/>
    </row>
    <row r="1226" spans="1:58" s="154" customFormat="1" ht="15" customHeight="1">
      <c r="A1226" s="168" t="s">
        <v>4696</v>
      </c>
      <c r="B1226" s="153" t="s">
        <v>4723</v>
      </c>
      <c r="C1226" s="154" t="s">
        <v>4700</v>
      </c>
      <c r="D1226" s="170">
        <v>198</v>
      </c>
      <c r="E1226" s="154">
        <v>2</v>
      </c>
      <c r="G1226" s="154" t="s">
        <v>1991</v>
      </c>
      <c r="J1226" s="154" t="s">
        <v>312</v>
      </c>
      <c r="K1226" s="154" t="s">
        <v>200</v>
      </c>
      <c r="L1226" s="154">
        <v>2</v>
      </c>
      <c r="O1226" s="156"/>
      <c r="P1226" s="157"/>
      <c r="Q1226" s="158"/>
      <c r="R1226" s="159"/>
      <c r="S1226" s="160">
        <v>1</v>
      </c>
      <c r="T1226" s="161"/>
      <c r="U1226" s="156"/>
      <c r="V1226" s="162"/>
      <c r="W1226" s="163"/>
      <c r="X1226" s="164"/>
      <c r="Y1226" s="159"/>
      <c r="Z1226" s="161"/>
      <c r="AA1226" s="165"/>
      <c r="AB1226" s="154" t="s">
        <v>208</v>
      </c>
      <c r="AD1226" s="154" t="s">
        <v>2190</v>
      </c>
      <c r="AF1226" s="154" t="s">
        <v>4724</v>
      </c>
      <c r="AO1226" s="155"/>
      <c r="AQ1226" s="156"/>
      <c r="AR1226" s="157"/>
      <c r="AS1226" s="158"/>
      <c r="AT1226" s="159"/>
      <c r="AU1226" s="161"/>
      <c r="AV1226" s="156"/>
      <c r="AW1226" s="162"/>
      <c r="AX1226" s="163"/>
      <c r="AY1226" s="164"/>
      <c r="AZ1226" s="159"/>
      <c r="BA1226" s="161"/>
      <c r="BB1226" s="165"/>
      <c r="BE1226" s="155"/>
    </row>
    <row r="1227" spans="1:58" s="154" customFormat="1" ht="15" customHeight="1">
      <c r="A1227" s="168" t="s">
        <v>4696</v>
      </c>
      <c r="B1227" s="153" t="s">
        <v>4725</v>
      </c>
      <c r="C1227" s="154" t="s">
        <v>4700</v>
      </c>
      <c r="D1227" s="170">
        <v>199</v>
      </c>
      <c r="E1227" s="154">
        <v>2</v>
      </c>
      <c r="G1227" s="154" t="s">
        <v>4726</v>
      </c>
      <c r="J1227" s="154" t="s">
        <v>27</v>
      </c>
      <c r="K1227" s="154" t="s">
        <v>200</v>
      </c>
      <c r="L1227" s="154">
        <v>0</v>
      </c>
      <c r="N1227" s="154">
        <v>0</v>
      </c>
      <c r="O1227" s="156"/>
      <c r="P1227" s="157">
        <v>1</v>
      </c>
      <c r="Q1227" s="158"/>
      <c r="R1227" s="159">
        <v>1</v>
      </c>
      <c r="S1227" s="160"/>
      <c r="T1227" s="161"/>
      <c r="U1227" s="156"/>
      <c r="V1227" s="162"/>
      <c r="W1227" s="163"/>
      <c r="X1227" s="164"/>
      <c r="Y1227" s="159"/>
      <c r="Z1227" s="161"/>
      <c r="AA1227" s="165"/>
      <c r="AB1227" s="154" t="s">
        <v>1089</v>
      </c>
      <c r="AD1227" s="154" t="s">
        <v>3909</v>
      </c>
      <c r="AF1227" s="154" t="s">
        <v>4727</v>
      </c>
      <c r="AO1227" s="155"/>
      <c r="AQ1227" s="156"/>
      <c r="AR1227" s="157"/>
      <c r="AS1227" s="158"/>
      <c r="AT1227" s="159"/>
      <c r="AU1227" s="161"/>
      <c r="AV1227" s="156"/>
      <c r="AW1227" s="162"/>
      <c r="AX1227" s="163"/>
      <c r="AY1227" s="164"/>
      <c r="AZ1227" s="159"/>
      <c r="BA1227" s="161"/>
      <c r="BB1227" s="165"/>
      <c r="BE1227" s="155"/>
    </row>
    <row r="1228" spans="1:58" s="154" customFormat="1" ht="15" customHeight="1">
      <c r="A1228" s="168" t="s">
        <v>4696</v>
      </c>
      <c r="B1228" s="153" t="s">
        <v>4728</v>
      </c>
      <c r="C1228" s="154" t="s">
        <v>4700</v>
      </c>
      <c r="D1228" s="170">
        <v>200</v>
      </c>
      <c r="E1228" s="154">
        <v>2</v>
      </c>
      <c r="G1228" s="154" t="s">
        <v>4729</v>
      </c>
      <c r="J1228" s="154" t="s">
        <v>27</v>
      </c>
      <c r="K1228" s="154" t="s">
        <v>202</v>
      </c>
      <c r="L1228" s="154">
        <v>0</v>
      </c>
      <c r="N1228" s="172">
        <v>0</v>
      </c>
      <c r="O1228" s="156"/>
      <c r="P1228" s="157"/>
      <c r="Q1228" s="158"/>
      <c r="R1228" s="159"/>
      <c r="S1228" s="160">
        <v>1</v>
      </c>
      <c r="T1228" s="161"/>
      <c r="U1228" s="156"/>
      <c r="V1228" s="162"/>
      <c r="W1228" s="163"/>
      <c r="X1228" s="164"/>
      <c r="Y1228" s="159"/>
      <c r="Z1228" s="161"/>
      <c r="AA1228" s="165"/>
      <c r="AB1228" s="154" t="s">
        <v>208</v>
      </c>
      <c r="AD1228" s="154" t="s">
        <v>1805</v>
      </c>
      <c r="AF1228" s="154" t="s">
        <v>4730</v>
      </c>
      <c r="AO1228" s="155"/>
      <c r="AQ1228" s="156"/>
      <c r="AR1228" s="157"/>
      <c r="AS1228" s="158"/>
      <c r="AT1228" s="159"/>
      <c r="AU1228" s="161"/>
      <c r="AV1228" s="156"/>
      <c r="AW1228" s="162"/>
      <c r="AX1228" s="163"/>
      <c r="AY1228" s="164"/>
      <c r="AZ1228" s="159"/>
      <c r="BA1228" s="161"/>
      <c r="BB1228" s="165"/>
      <c r="BE1228" s="155"/>
    </row>
    <row r="1229" spans="1:58" s="154" customFormat="1" ht="15" customHeight="1">
      <c r="A1229" s="168" t="s">
        <v>4696</v>
      </c>
      <c r="B1229" s="153" t="s">
        <v>4731</v>
      </c>
      <c r="C1229" s="154" t="s">
        <v>4700</v>
      </c>
      <c r="D1229" s="170">
        <v>201</v>
      </c>
      <c r="E1229" s="154">
        <v>2</v>
      </c>
      <c r="G1229" s="154" t="s">
        <v>4732</v>
      </c>
      <c r="J1229" s="154" t="s">
        <v>312</v>
      </c>
      <c r="K1229" s="154" t="s">
        <v>202</v>
      </c>
      <c r="L1229" s="154">
        <v>0</v>
      </c>
      <c r="O1229" s="156"/>
      <c r="P1229" s="157"/>
      <c r="Q1229" s="158"/>
      <c r="R1229" s="159"/>
      <c r="S1229" s="160"/>
      <c r="T1229" s="161"/>
      <c r="U1229" s="156"/>
      <c r="V1229" s="162"/>
      <c r="W1229" s="163"/>
      <c r="X1229" s="164"/>
      <c r="Y1229" s="159"/>
      <c r="Z1229" s="161"/>
      <c r="AA1229" s="165"/>
      <c r="AD1229" s="154" t="s">
        <v>412</v>
      </c>
      <c r="AF1229" s="154" t="s">
        <v>4733</v>
      </c>
      <c r="AO1229" s="155"/>
      <c r="AQ1229" s="156"/>
      <c r="AR1229" s="157"/>
      <c r="AS1229" s="158"/>
      <c r="AT1229" s="159"/>
      <c r="AU1229" s="161"/>
      <c r="AV1229" s="156"/>
      <c r="AW1229" s="162"/>
      <c r="AX1229" s="163"/>
      <c r="AY1229" s="164"/>
      <c r="AZ1229" s="159"/>
      <c r="BA1229" s="161"/>
      <c r="BB1229" s="165"/>
      <c r="BE1229" s="155"/>
    </row>
    <row r="1230" spans="1:58" s="154" customFormat="1" ht="15" customHeight="1">
      <c r="A1230" s="168" t="s">
        <v>4696</v>
      </c>
      <c r="B1230" s="153" t="s">
        <v>4734</v>
      </c>
      <c r="C1230" s="154" t="s">
        <v>4700</v>
      </c>
      <c r="D1230" s="170">
        <v>202</v>
      </c>
      <c r="E1230" s="154">
        <v>2</v>
      </c>
      <c r="G1230" s="154" t="s">
        <v>4735</v>
      </c>
      <c r="J1230" s="154" t="s">
        <v>27</v>
      </c>
      <c r="K1230" s="154" t="s">
        <v>202</v>
      </c>
      <c r="L1230" s="154">
        <v>2</v>
      </c>
      <c r="N1230" s="154">
        <v>2</v>
      </c>
      <c r="O1230" s="156">
        <v>1</v>
      </c>
      <c r="P1230" s="157"/>
      <c r="Q1230" s="158">
        <v>1</v>
      </c>
      <c r="R1230" s="159">
        <v>1</v>
      </c>
      <c r="S1230" s="160"/>
      <c r="T1230" s="161"/>
      <c r="U1230" s="156"/>
      <c r="V1230" s="162"/>
      <c r="W1230" s="163"/>
      <c r="X1230" s="164"/>
      <c r="Y1230" s="159"/>
      <c r="Z1230" s="161"/>
      <c r="AA1230" s="165"/>
      <c r="AB1230" s="154" t="s">
        <v>1389</v>
      </c>
      <c r="AD1230" s="154" t="s">
        <v>1805</v>
      </c>
      <c r="AF1230" s="154" t="s">
        <v>4736</v>
      </c>
      <c r="AO1230" s="155"/>
      <c r="AQ1230" s="156"/>
      <c r="AR1230" s="157"/>
      <c r="AS1230" s="158"/>
      <c r="AT1230" s="159"/>
      <c r="AU1230" s="161"/>
      <c r="AV1230" s="156"/>
      <c r="AW1230" s="162"/>
      <c r="AX1230" s="163"/>
      <c r="AY1230" s="164"/>
      <c r="AZ1230" s="159"/>
      <c r="BA1230" s="161"/>
      <c r="BB1230" s="165"/>
      <c r="BE1230" s="155"/>
    </row>
    <row r="1231" spans="1:58" s="154" customFormat="1" ht="15" customHeight="1">
      <c r="A1231" s="168" t="s">
        <v>4696</v>
      </c>
      <c r="B1231" s="153" t="s">
        <v>4737</v>
      </c>
      <c r="C1231" s="154" t="s">
        <v>4700</v>
      </c>
      <c r="D1231" s="170">
        <v>203</v>
      </c>
      <c r="E1231" s="154">
        <v>2</v>
      </c>
      <c r="F1231" s="153"/>
      <c r="G1231" s="154" t="s">
        <v>4738</v>
      </c>
      <c r="J1231" s="154" t="s">
        <v>257</v>
      </c>
      <c r="K1231" s="154" t="s">
        <v>26</v>
      </c>
      <c r="L1231" s="154">
        <v>0</v>
      </c>
      <c r="N1231" s="154">
        <v>3</v>
      </c>
      <c r="O1231" s="156"/>
      <c r="P1231" s="157"/>
      <c r="Q1231" s="158"/>
      <c r="R1231" s="159">
        <v>1</v>
      </c>
      <c r="S1231" s="160"/>
      <c r="T1231" s="161">
        <v>2</v>
      </c>
      <c r="U1231" s="156"/>
      <c r="V1231" s="162"/>
      <c r="W1231" s="163"/>
      <c r="X1231" s="164"/>
      <c r="Y1231" s="159"/>
      <c r="Z1231" s="161"/>
      <c r="AA1231" s="165"/>
      <c r="AB1231" s="154" t="s">
        <v>207</v>
      </c>
      <c r="AC1231" s="154" t="s">
        <v>393</v>
      </c>
      <c r="AD1231" s="154" t="s">
        <v>2325</v>
      </c>
      <c r="AF1231" s="154" t="s">
        <v>4739</v>
      </c>
      <c r="AO1231" s="155"/>
      <c r="AQ1231" s="156"/>
      <c r="AR1231" s="157"/>
      <c r="AS1231" s="158"/>
      <c r="AT1231" s="159"/>
      <c r="AU1231" s="161"/>
      <c r="AV1231" s="156"/>
      <c r="AW1231" s="162"/>
      <c r="AX1231" s="163"/>
      <c r="AY1231" s="164"/>
      <c r="AZ1231" s="159"/>
      <c r="BA1231" s="161"/>
      <c r="BB1231" s="165"/>
      <c r="BE1231" s="155"/>
    </row>
    <row r="1232" spans="1:58" s="154" customFormat="1" ht="15" customHeight="1">
      <c r="A1232" s="168" t="s">
        <v>4696</v>
      </c>
      <c r="B1232" s="153" t="s">
        <v>4740</v>
      </c>
      <c r="C1232" s="154" t="s">
        <v>4700</v>
      </c>
      <c r="D1232" s="170">
        <v>204</v>
      </c>
      <c r="E1232" s="154">
        <v>2</v>
      </c>
      <c r="G1232" s="154" t="s">
        <v>4741</v>
      </c>
      <c r="J1232" s="154" t="s">
        <v>257</v>
      </c>
      <c r="K1232" s="154" t="s">
        <v>26</v>
      </c>
      <c r="L1232" s="154">
        <v>3</v>
      </c>
      <c r="N1232" s="154">
        <v>4</v>
      </c>
      <c r="O1232" s="156"/>
      <c r="P1232" s="157"/>
      <c r="Q1232" s="158">
        <v>1</v>
      </c>
      <c r="R1232" s="159">
        <v>1</v>
      </c>
      <c r="S1232" s="160"/>
      <c r="T1232" s="161"/>
      <c r="U1232" s="156"/>
      <c r="V1232" s="162"/>
      <c r="W1232" s="163"/>
      <c r="X1232" s="164"/>
      <c r="Y1232" s="159"/>
      <c r="Z1232" s="161"/>
      <c r="AA1232" s="165"/>
      <c r="AB1232" s="154" t="s">
        <v>1087</v>
      </c>
      <c r="AC1232" s="154" t="s">
        <v>322</v>
      </c>
      <c r="AD1232" s="154" t="s">
        <v>4742</v>
      </c>
      <c r="AF1232" s="154" t="s">
        <v>4743</v>
      </c>
      <c r="AO1232" s="155"/>
      <c r="AQ1232" s="156"/>
      <c r="AR1232" s="157"/>
      <c r="AS1232" s="158"/>
      <c r="AT1232" s="159"/>
      <c r="AU1232" s="161"/>
      <c r="AV1232" s="156"/>
      <c r="AW1232" s="162"/>
      <c r="AX1232" s="163"/>
      <c r="AY1232" s="164"/>
      <c r="AZ1232" s="159"/>
      <c r="BA1232" s="161"/>
      <c r="BB1232" s="165"/>
      <c r="BE1232" s="155"/>
    </row>
    <row r="1233" spans="1:59" s="171" customFormat="1" ht="15" customHeight="1">
      <c r="A1233" s="168" t="s">
        <v>4696</v>
      </c>
      <c r="B1233" s="154" t="s">
        <v>4747</v>
      </c>
      <c r="C1233" s="154" t="s">
        <v>4700</v>
      </c>
      <c r="D1233" s="170">
        <v>205</v>
      </c>
      <c r="E1233" s="171">
        <v>1</v>
      </c>
      <c r="F1233" s="154" t="s">
        <v>4698</v>
      </c>
      <c r="G1233" s="171" t="s">
        <v>4698</v>
      </c>
      <c r="J1233" s="171" t="s">
        <v>618</v>
      </c>
      <c r="K1233" s="171" t="s">
        <v>2426</v>
      </c>
      <c r="N1233" s="170"/>
      <c r="O1233" s="156"/>
      <c r="P1233" s="157"/>
      <c r="Q1233" s="158"/>
      <c r="R1233" s="159"/>
      <c r="S1233" s="160"/>
      <c r="T1233" s="161"/>
      <c r="U1233" s="156"/>
      <c r="V1233" s="162"/>
      <c r="W1233" s="163"/>
      <c r="X1233" s="164"/>
      <c r="Y1233" s="159"/>
      <c r="Z1233" s="161"/>
      <c r="AA1233" s="165"/>
      <c r="AE1233" s="170"/>
      <c r="AF1233" s="171" t="s">
        <v>4748</v>
      </c>
      <c r="AI1233" s="171" t="s">
        <v>4698</v>
      </c>
      <c r="AL1233" s="171" t="s">
        <v>618</v>
      </c>
      <c r="AM1233" s="171" t="s">
        <v>2426</v>
      </c>
      <c r="AQ1233" s="156"/>
      <c r="AR1233" s="157"/>
      <c r="AS1233" s="158"/>
      <c r="AT1233" s="159"/>
      <c r="AU1233" s="161"/>
      <c r="AV1233" s="156"/>
      <c r="AW1233" s="162"/>
      <c r="AX1233" s="163"/>
      <c r="AY1233" s="164"/>
      <c r="AZ1233" s="159"/>
      <c r="BA1233" s="161"/>
      <c r="BB1233" s="165"/>
      <c r="BF1233" s="170"/>
      <c r="BG1233" s="171" t="s">
        <v>4749</v>
      </c>
    </row>
    <row r="1234" spans="1:59" s="154" customFormat="1" ht="15" customHeight="1">
      <c r="A1234" s="168" t="s">
        <v>4696</v>
      </c>
      <c r="B1234" s="154" t="s">
        <v>4750</v>
      </c>
      <c r="C1234" s="154" t="s">
        <v>4700</v>
      </c>
      <c r="D1234" s="170">
        <v>206</v>
      </c>
      <c r="E1234" s="154">
        <v>1</v>
      </c>
      <c r="F1234" s="154" t="s">
        <v>4698</v>
      </c>
      <c r="G1234" s="154" t="s">
        <v>4751</v>
      </c>
      <c r="H1234" s="154" t="s">
        <v>4929</v>
      </c>
      <c r="J1234" s="171" t="s">
        <v>31</v>
      </c>
      <c r="K1234" s="154" t="s">
        <v>2426</v>
      </c>
      <c r="N1234" s="155"/>
      <c r="O1234" s="156"/>
      <c r="P1234" s="157"/>
      <c r="Q1234" s="158"/>
      <c r="R1234" s="159"/>
      <c r="S1234" s="160"/>
      <c r="T1234" s="161"/>
      <c r="U1234" s="156"/>
      <c r="V1234" s="162"/>
      <c r="W1234" s="163"/>
      <c r="X1234" s="164">
        <v>2</v>
      </c>
      <c r="Y1234" s="159">
        <v>0</v>
      </c>
      <c r="Z1234" s="161"/>
      <c r="AA1234" s="165"/>
      <c r="AD1234" s="154" t="s">
        <v>819</v>
      </c>
      <c r="AE1234" s="155"/>
      <c r="AF1234" s="154" t="s">
        <v>4752</v>
      </c>
      <c r="AI1234" s="154" t="s">
        <v>4751</v>
      </c>
      <c r="AJ1234" s="154" t="s">
        <v>4949</v>
      </c>
      <c r="AL1234" s="171" t="s">
        <v>31</v>
      </c>
      <c r="AM1234" s="154" t="s">
        <v>2426</v>
      </c>
      <c r="AO1234" s="155"/>
      <c r="AP1234" s="155"/>
      <c r="AQ1234" s="156"/>
      <c r="AR1234" s="157"/>
      <c r="AS1234" s="158"/>
      <c r="AT1234" s="159"/>
      <c r="AU1234" s="161"/>
      <c r="AV1234" s="156"/>
      <c r="AW1234" s="162"/>
      <c r="AX1234" s="163"/>
      <c r="AY1234" s="164">
        <v>2</v>
      </c>
      <c r="AZ1234" s="159" t="s">
        <v>1073</v>
      </c>
      <c r="BA1234" s="161"/>
      <c r="BB1234" s="165"/>
      <c r="BE1234" s="155" t="s">
        <v>819</v>
      </c>
      <c r="BG1234" s="154" t="s">
        <v>4950</v>
      </c>
    </row>
    <row r="1235" spans="1:59" s="154" customFormat="1" ht="15" customHeight="1">
      <c r="A1235" s="168" t="s">
        <v>4696</v>
      </c>
      <c r="B1235" s="154" t="s">
        <v>4753</v>
      </c>
      <c r="C1235" s="154" t="s">
        <v>4700</v>
      </c>
      <c r="D1235" s="170">
        <v>207</v>
      </c>
      <c r="E1235" s="154">
        <v>1</v>
      </c>
      <c r="F1235" s="154" t="s">
        <v>4947</v>
      </c>
      <c r="G1235" s="154" t="s">
        <v>4754</v>
      </c>
      <c r="J1235" s="171" t="s">
        <v>619</v>
      </c>
      <c r="K1235" s="154" t="s">
        <v>2426</v>
      </c>
      <c r="N1235" s="155"/>
      <c r="O1235" s="156"/>
      <c r="P1235" s="157"/>
      <c r="Q1235" s="158"/>
      <c r="R1235" s="159"/>
      <c r="S1235" s="160"/>
      <c r="T1235" s="161"/>
      <c r="U1235" s="156"/>
      <c r="V1235" s="162"/>
      <c r="W1235" s="163"/>
      <c r="X1235" s="164"/>
      <c r="Y1235" s="159"/>
      <c r="Z1235" s="161">
        <v>5</v>
      </c>
      <c r="AA1235" s="165"/>
      <c r="AE1235" s="155"/>
      <c r="AF1235" s="154" t="s">
        <v>3936</v>
      </c>
      <c r="AI1235" s="154" t="s">
        <v>4754</v>
      </c>
      <c r="AL1235" s="171" t="s">
        <v>619</v>
      </c>
      <c r="AM1235" s="154" t="s">
        <v>2426</v>
      </c>
      <c r="AO1235" s="155"/>
      <c r="AP1235" s="155"/>
      <c r="AQ1235" s="156"/>
      <c r="AR1235" s="157"/>
      <c r="AS1235" s="158"/>
      <c r="AT1235" s="159"/>
      <c r="AU1235" s="161"/>
      <c r="AV1235" s="156"/>
      <c r="AW1235" s="162"/>
      <c r="AX1235" s="163"/>
      <c r="AY1235" s="164"/>
      <c r="AZ1235" s="159"/>
      <c r="BA1235" s="161"/>
      <c r="BB1235" s="165"/>
      <c r="BE1235" s="155"/>
      <c r="BG1235" s="154" t="s">
        <v>4930</v>
      </c>
    </row>
    <row r="1236" spans="1:59" s="154" customFormat="1" ht="15" customHeight="1">
      <c r="A1236" s="168" t="s">
        <v>4696</v>
      </c>
      <c r="B1236" s="154" t="s">
        <v>4755</v>
      </c>
      <c r="C1236" s="154" t="s">
        <v>4700</v>
      </c>
      <c r="D1236" s="170">
        <v>208</v>
      </c>
      <c r="E1236" s="154">
        <v>1</v>
      </c>
      <c r="F1236" s="154" t="s">
        <v>4947</v>
      </c>
      <c r="G1236" s="154" t="s">
        <v>4756</v>
      </c>
      <c r="J1236" s="171" t="s">
        <v>619</v>
      </c>
      <c r="K1236" s="154" t="s">
        <v>2426</v>
      </c>
      <c r="N1236" s="155"/>
      <c r="O1236" s="156"/>
      <c r="P1236" s="157"/>
      <c r="Q1236" s="158"/>
      <c r="R1236" s="159"/>
      <c r="S1236" s="160"/>
      <c r="T1236" s="161"/>
      <c r="U1236" s="156"/>
      <c r="V1236" s="162"/>
      <c r="W1236" s="163"/>
      <c r="X1236" s="164"/>
      <c r="Y1236" s="159"/>
      <c r="Z1236" s="161">
        <v>5</v>
      </c>
      <c r="AA1236" s="165"/>
      <c r="AE1236" s="155"/>
      <c r="AF1236" s="154" t="s">
        <v>3936</v>
      </c>
      <c r="AI1236" s="154" t="s">
        <v>4756</v>
      </c>
      <c r="AL1236" s="171" t="s">
        <v>619</v>
      </c>
      <c r="AM1236" s="154" t="s">
        <v>2426</v>
      </c>
      <c r="AO1236" s="155"/>
      <c r="AP1236" s="155"/>
      <c r="AQ1236" s="156"/>
      <c r="AR1236" s="157"/>
      <c r="AS1236" s="158"/>
      <c r="AT1236" s="159"/>
      <c r="AU1236" s="161"/>
      <c r="AV1236" s="156"/>
      <c r="AW1236" s="162"/>
      <c r="AX1236" s="163"/>
      <c r="AY1236" s="164"/>
      <c r="AZ1236" s="159"/>
      <c r="BA1236" s="161"/>
      <c r="BB1236" s="165"/>
      <c r="BE1236" s="155"/>
      <c r="BG1236" s="154" t="s">
        <v>4931</v>
      </c>
    </row>
    <row r="1237" spans="1:59" s="154" customFormat="1" ht="15" customHeight="1">
      <c r="A1237" s="168" t="s">
        <v>4696</v>
      </c>
      <c r="B1237" s="154" t="s">
        <v>4757</v>
      </c>
      <c r="C1237" s="154" t="s">
        <v>4700</v>
      </c>
      <c r="D1237" s="170">
        <v>209</v>
      </c>
      <c r="E1237" s="154">
        <v>1</v>
      </c>
      <c r="F1237" s="154" t="s">
        <v>4947</v>
      </c>
      <c r="G1237" s="154" t="s">
        <v>4758</v>
      </c>
      <c r="J1237" s="154" t="s">
        <v>621</v>
      </c>
      <c r="K1237" s="154" t="s">
        <v>2426</v>
      </c>
      <c r="O1237" s="156"/>
      <c r="P1237" s="157"/>
      <c r="Q1237" s="158"/>
      <c r="R1237" s="159"/>
      <c r="S1237" s="160"/>
      <c r="T1237" s="161"/>
      <c r="U1237" s="156"/>
      <c r="V1237" s="162"/>
      <c r="W1237" s="163"/>
      <c r="X1237" s="164"/>
      <c r="Y1237" s="159" t="s">
        <v>1111</v>
      </c>
      <c r="Z1237" s="161"/>
      <c r="AA1237" s="165"/>
      <c r="AI1237" s="154" t="s">
        <v>4758</v>
      </c>
      <c r="AL1237" s="154" t="s">
        <v>621</v>
      </c>
      <c r="AM1237" s="154" t="s">
        <v>2426</v>
      </c>
      <c r="AO1237" s="155"/>
      <c r="AQ1237" s="156"/>
      <c r="AR1237" s="157"/>
      <c r="AS1237" s="158"/>
      <c r="AT1237" s="159"/>
      <c r="AU1237" s="161"/>
      <c r="AV1237" s="156"/>
      <c r="AW1237" s="162"/>
      <c r="AX1237" s="163"/>
      <c r="AY1237" s="164"/>
      <c r="AZ1237" s="159"/>
      <c r="BA1237" s="161"/>
      <c r="BB1237" s="165"/>
      <c r="BE1237" s="155"/>
      <c r="BG1237" s="154" t="s">
        <v>4759</v>
      </c>
    </row>
    <row r="1238" spans="1:59" s="154" customFormat="1" ht="15" customHeight="1">
      <c r="A1238" s="168" t="s">
        <v>4696</v>
      </c>
      <c r="B1238" s="154" t="s">
        <v>4760</v>
      </c>
      <c r="C1238" s="154" t="s">
        <v>4700</v>
      </c>
      <c r="D1238" s="170">
        <v>210</v>
      </c>
      <c r="E1238" s="154">
        <v>1</v>
      </c>
      <c r="F1238" s="154" t="s">
        <v>4947</v>
      </c>
      <c r="G1238" s="154" t="s">
        <v>4761</v>
      </c>
      <c r="J1238" s="154" t="s">
        <v>621</v>
      </c>
      <c r="K1238" s="154" t="s">
        <v>2426</v>
      </c>
      <c r="O1238" s="156"/>
      <c r="P1238" s="157"/>
      <c r="Q1238" s="158"/>
      <c r="R1238" s="159"/>
      <c r="S1238" s="160"/>
      <c r="T1238" s="161"/>
      <c r="U1238" s="156"/>
      <c r="V1238" s="162"/>
      <c r="W1238" s="163"/>
      <c r="X1238" s="164"/>
      <c r="Y1238" s="159">
        <v>0</v>
      </c>
      <c r="Z1238" s="161"/>
      <c r="AA1238" s="165"/>
      <c r="AF1238" s="154" t="s">
        <v>4762</v>
      </c>
      <c r="AI1238" s="154" t="s">
        <v>4761</v>
      </c>
      <c r="AL1238" s="154" t="s">
        <v>621</v>
      </c>
      <c r="AM1238" s="154" t="s">
        <v>2426</v>
      </c>
      <c r="AO1238" s="155"/>
      <c r="AQ1238" s="156"/>
      <c r="AR1238" s="157"/>
      <c r="AS1238" s="158"/>
      <c r="AT1238" s="159"/>
      <c r="AU1238" s="161"/>
      <c r="AV1238" s="156"/>
      <c r="AW1238" s="162"/>
      <c r="AX1238" s="163"/>
      <c r="AY1238" s="164"/>
      <c r="AZ1238" s="159"/>
      <c r="BA1238" s="161"/>
      <c r="BB1238" s="165"/>
      <c r="BE1238" s="155"/>
      <c r="BG1238" s="154" t="s">
        <v>4932</v>
      </c>
    </row>
    <row r="1239" spans="1:59" s="154" customFormat="1" ht="15" customHeight="1">
      <c r="A1239" s="168" t="s">
        <v>4696</v>
      </c>
      <c r="B1239" s="153" t="s">
        <v>4763</v>
      </c>
      <c r="C1239" s="154" t="s">
        <v>4700</v>
      </c>
      <c r="D1239" s="170">
        <v>211</v>
      </c>
      <c r="E1239" s="154">
        <v>1</v>
      </c>
      <c r="F1239" s="154" t="s">
        <v>4948</v>
      </c>
      <c r="G1239" s="154" t="s">
        <v>4764</v>
      </c>
      <c r="J1239" s="154" t="s">
        <v>619</v>
      </c>
      <c r="K1239" s="154" t="s">
        <v>2426</v>
      </c>
      <c r="O1239" s="156"/>
      <c r="P1239" s="157"/>
      <c r="Q1239" s="158"/>
      <c r="R1239" s="159"/>
      <c r="S1239" s="160"/>
      <c r="T1239" s="161"/>
      <c r="U1239" s="156"/>
      <c r="V1239" s="162"/>
      <c r="W1239" s="163"/>
      <c r="X1239" s="164"/>
      <c r="Y1239" s="159"/>
      <c r="Z1239" s="161">
        <v>7</v>
      </c>
      <c r="AA1239" s="165"/>
      <c r="AF1239" s="154" t="s">
        <v>4765</v>
      </c>
      <c r="AI1239" s="154" t="s">
        <v>4764</v>
      </c>
      <c r="AL1239" s="154" t="s">
        <v>619</v>
      </c>
      <c r="AM1239" s="154" t="s">
        <v>2426</v>
      </c>
      <c r="AO1239" s="155"/>
      <c r="AQ1239" s="156"/>
      <c r="AR1239" s="157"/>
      <c r="AS1239" s="158"/>
      <c r="AT1239" s="159"/>
      <c r="AU1239" s="161"/>
      <c r="AV1239" s="156"/>
      <c r="AW1239" s="162"/>
      <c r="AX1239" s="163"/>
      <c r="AY1239" s="164"/>
      <c r="AZ1239" s="159"/>
      <c r="BA1239" s="161"/>
      <c r="BB1239" s="165"/>
      <c r="BE1239" s="155"/>
      <c r="BG1239" s="154" t="s">
        <v>4933</v>
      </c>
    </row>
    <row r="1240" spans="1:59" s="154" customFormat="1" ht="15" customHeight="1">
      <c r="A1240" s="168" t="s">
        <v>4696</v>
      </c>
      <c r="B1240" s="153" t="s">
        <v>4766</v>
      </c>
      <c r="C1240" s="154" t="s">
        <v>4700</v>
      </c>
      <c r="D1240" s="170">
        <v>212</v>
      </c>
      <c r="E1240" s="154">
        <v>1</v>
      </c>
      <c r="F1240" s="154" t="s">
        <v>4948</v>
      </c>
      <c r="G1240" s="154" t="s">
        <v>4767</v>
      </c>
      <c r="J1240" s="154" t="s">
        <v>619</v>
      </c>
      <c r="K1240" s="154" t="s">
        <v>2426</v>
      </c>
      <c r="O1240" s="156"/>
      <c r="P1240" s="157"/>
      <c r="Q1240" s="158"/>
      <c r="R1240" s="159"/>
      <c r="S1240" s="160"/>
      <c r="T1240" s="161"/>
      <c r="U1240" s="156"/>
      <c r="V1240" s="162"/>
      <c r="W1240" s="163"/>
      <c r="X1240" s="164"/>
      <c r="Y1240" s="159"/>
      <c r="Z1240" s="161">
        <v>12</v>
      </c>
      <c r="AA1240" s="165"/>
      <c r="AF1240" s="154" t="s">
        <v>4934</v>
      </c>
      <c r="AI1240" s="154" t="s">
        <v>4767</v>
      </c>
      <c r="AL1240" s="154" t="s">
        <v>619</v>
      </c>
      <c r="AM1240" s="154" t="s">
        <v>2426</v>
      </c>
      <c r="AO1240" s="155"/>
      <c r="AQ1240" s="156"/>
      <c r="AR1240" s="157"/>
      <c r="AS1240" s="158"/>
      <c r="AT1240" s="159"/>
      <c r="AU1240" s="161"/>
      <c r="AV1240" s="156"/>
      <c r="AW1240" s="162"/>
      <c r="AX1240" s="163"/>
      <c r="AY1240" s="164"/>
      <c r="AZ1240" s="159"/>
      <c r="BA1240" s="161"/>
      <c r="BB1240" s="165"/>
      <c r="BE1240" s="155"/>
      <c r="BG1240" s="154" t="s">
        <v>4935</v>
      </c>
    </row>
    <row r="1241" spans="1:59" s="154" customFormat="1" ht="15" customHeight="1">
      <c r="A1241" s="168" t="s">
        <v>4696</v>
      </c>
      <c r="B1241" s="153" t="s">
        <v>4768</v>
      </c>
      <c r="C1241" s="154" t="s">
        <v>4700</v>
      </c>
      <c r="D1241" s="170">
        <v>213</v>
      </c>
      <c r="E1241" s="154">
        <v>1</v>
      </c>
      <c r="F1241" s="154" t="s">
        <v>4948</v>
      </c>
      <c r="G1241" s="154" t="s">
        <v>4769</v>
      </c>
      <c r="J1241" s="154" t="s">
        <v>621</v>
      </c>
      <c r="K1241" s="154" t="s">
        <v>2426</v>
      </c>
      <c r="N1241" s="172"/>
      <c r="O1241" s="156"/>
      <c r="P1241" s="157"/>
      <c r="Q1241" s="158"/>
      <c r="R1241" s="159"/>
      <c r="S1241" s="160"/>
      <c r="T1241" s="161"/>
      <c r="U1241" s="156"/>
      <c r="V1241" s="162"/>
      <c r="W1241" s="163"/>
      <c r="X1241" s="164"/>
      <c r="Y1241" s="159" t="s">
        <v>1112</v>
      </c>
      <c r="Z1241" s="161"/>
      <c r="AA1241" s="165"/>
      <c r="AI1241" s="154" t="s">
        <v>4769</v>
      </c>
      <c r="AL1241" s="154" t="s">
        <v>621</v>
      </c>
      <c r="AM1241" s="154" t="s">
        <v>2426</v>
      </c>
      <c r="AO1241" s="155"/>
      <c r="AQ1241" s="156"/>
      <c r="AR1241" s="157"/>
      <c r="AS1241" s="158"/>
      <c r="AT1241" s="159"/>
      <c r="AU1241" s="161"/>
      <c r="AV1241" s="156"/>
      <c r="AW1241" s="162"/>
      <c r="AX1241" s="163"/>
      <c r="AY1241" s="164"/>
      <c r="AZ1241" s="159"/>
      <c r="BA1241" s="161"/>
      <c r="BB1241" s="165"/>
      <c r="BE1241" s="155"/>
      <c r="BG1241" s="154" t="s">
        <v>4936</v>
      </c>
    </row>
    <row r="1242" spans="1:59" s="154" customFormat="1" ht="15" customHeight="1">
      <c r="A1242" s="168" t="s">
        <v>4696</v>
      </c>
      <c r="B1242" s="153" t="s">
        <v>4770</v>
      </c>
      <c r="C1242" s="154" t="s">
        <v>4700</v>
      </c>
      <c r="D1242" s="170">
        <v>214</v>
      </c>
      <c r="E1242" s="154">
        <v>1</v>
      </c>
      <c r="F1242" s="154" t="s">
        <v>4948</v>
      </c>
      <c r="G1242" s="154" t="s">
        <v>4771</v>
      </c>
      <c r="J1242" s="154" t="s">
        <v>621</v>
      </c>
      <c r="K1242" s="154" t="s">
        <v>2426</v>
      </c>
      <c r="O1242" s="156"/>
      <c r="P1242" s="157"/>
      <c r="Q1242" s="158"/>
      <c r="R1242" s="159"/>
      <c r="S1242" s="160"/>
      <c r="T1242" s="161"/>
      <c r="U1242" s="156"/>
      <c r="V1242" s="162"/>
      <c r="W1242" s="163"/>
      <c r="X1242" s="164"/>
      <c r="Y1242" s="159">
        <v>0</v>
      </c>
      <c r="Z1242" s="161"/>
      <c r="AA1242" s="165"/>
      <c r="AF1242" s="154" t="s">
        <v>4772</v>
      </c>
      <c r="AI1242" s="154" t="s">
        <v>4771</v>
      </c>
      <c r="AL1242" s="154" t="s">
        <v>621</v>
      </c>
      <c r="AM1242" s="154" t="s">
        <v>2426</v>
      </c>
      <c r="AO1242" s="155"/>
      <c r="AQ1242" s="156"/>
      <c r="AR1242" s="157"/>
      <c r="AS1242" s="158"/>
      <c r="AT1242" s="159"/>
      <c r="AU1242" s="161"/>
      <c r="AV1242" s="156"/>
      <c r="AW1242" s="162"/>
      <c r="AX1242" s="163"/>
      <c r="AY1242" s="164"/>
      <c r="AZ1242" s="159"/>
      <c r="BA1242" s="161"/>
      <c r="BB1242" s="165"/>
      <c r="BE1242" s="155"/>
      <c r="BG1242" s="154" t="s">
        <v>4937</v>
      </c>
    </row>
    <row r="1243" spans="1:59" s="154" customFormat="1" ht="15" customHeight="1">
      <c r="A1243" s="168" t="s">
        <v>4696</v>
      </c>
      <c r="B1243" s="153" t="s">
        <v>4773</v>
      </c>
      <c r="C1243" s="154" t="s">
        <v>4700</v>
      </c>
      <c r="D1243" s="170">
        <v>215</v>
      </c>
      <c r="E1243" s="154">
        <v>3</v>
      </c>
      <c r="F1243" s="154" t="s">
        <v>4698</v>
      </c>
      <c r="G1243" s="154" t="s">
        <v>4774</v>
      </c>
      <c r="J1243" s="154" t="s">
        <v>28</v>
      </c>
      <c r="K1243" s="154" t="s">
        <v>2426</v>
      </c>
      <c r="O1243" s="156"/>
      <c r="P1243" s="157"/>
      <c r="Q1243" s="158"/>
      <c r="R1243" s="159"/>
      <c r="S1243" s="160"/>
      <c r="T1243" s="161"/>
      <c r="U1243" s="156"/>
      <c r="V1243" s="162"/>
      <c r="W1243" s="163"/>
      <c r="X1243" s="164"/>
      <c r="Y1243" s="159"/>
      <c r="Z1243" s="161"/>
      <c r="AA1243" s="165"/>
      <c r="AD1243" s="154" t="s">
        <v>1025</v>
      </c>
      <c r="AF1243" s="154" t="s">
        <v>4775</v>
      </c>
      <c r="AO1243" s="155"/>
      <c r="AQ1243" s="156"/>
      <c r="AR1243" s="157"/>
      <c r="AS1243" s="158"/>
      <c r="AT1243" s="159"/>
      <c r="AU1243" s="161"/>
      <c r="AV1243" s="156"/>
      <c r="AW1243" s="162"/>
      <c r="AX1243" s="163"/>
      <c r="AY1243" s="164"/>
      <c r="AZ1243" s="159"/>
      <c r="BA1243" s="161"/>
      <c r="BB1243" s="165"/>
      <c r="BE1243" s="155"/>
    </row>
    <row r="1244" spans="1:59" s="154" customFormat="1" ht="15" customHeight="1">
      <c r="A1244" s="168" t="s">
        <v>4696</v>
      </c>
      <c r="B1244" s="153" t="s">
        <v>4776</v>
      </c>
      <c r="C1244" s="154" t="s">
        <v>4700</v>
      </c>
      <c r="D1244" s="170">
        <v>216</v>
      </c>
      <c r="E1244" s="154">
        <v>3</v>
      </c>
      <c r="F1244" s="154" t="s">
        <v>4698</v>
      </c>
      <c r="G1244" s="154" t="s">
        <v>4777</v>
      </c>
      <c r="J1244" s="154" t="s">
        <v>28</v>
      </c>
      <c r="K1244" s="154" t="s">
        <v>2426</v>
      </c>
      <c r="O1244" s="156"/>
      <c r="P1244" s="157"/>
      <c r="Q1244" s="158"/>
      <c r="R1244" s="159"/>
      <c r="S1244" s="160"/>
      <c r="T1244" s="161"/>
      <c r="U1244" s="156"/>
      <c r="V1244" s="162"/>
      <c r="W1244" s="163"/>
      <c r="X1244" s="164"/>
      <c r="Y1244" s="159"/>
      <c r="Z1244" s="161"/>
      <c r="AA1244" s="165"/>
      <c r="AD1244" s="154" t="s">
        <v>479</v>
      </c>
      <c r="AF1244" s="154" t="s">
        <v>4778</v>
      </c>
      <c r="AO1244" s="155"/>
      <c r="AQ1244" s="156"/>
      <c r="AR1244" s="157"/>
      <c r="AS1244" s="158"/>
      <c r="AT1244" s="159"/>
      <c r="AU1244" s="161"/>
      <c r="AV1244" s="156"/>
      <c r="AW1244" s="162"/>
      <c r="AX1244" s="163"/>
      <c r="AY1244" s="164"/>
      <c r="AZ1244" s="159"/>
      <c r="BA1244" s="161"/>
      <c r="BB1244" s="165"/>
      <c r="BE1244" s="155"/>
    </row>
    <row r="1245" spans="1:59" s="154" customFormat="1" ht="15" customHeight="1">
      <c r="A1245" s="168" t="s">
        <v>4696</v>
      </c>
      <c r="B1245" s="153" t="s">
        <v>4779</v>
      </c>
      <c r="C1245" s="154" t="s">
        <v>4700</v>
      </c>
      <c r="D1245" s="170">
        <v>217</v>
      </c>
      <c r="E1245" s="154">
        <v>1</v>
      </c>
      <c r="F1245" s="154" t="s">
        <v>4947</v>
      </c>
      <c r="G1245" s="154" t="s">
        <v>4780</v>
      </c>
      <c r="J1245" s="154" t="s">
        <v>31</v>
      </c>
      <c r="K1245" s="154" t="s">
        <v>2426</v>
      </c>
      <c r="O1245" s="156"/>
      <c r="P1245" s="157"/>
      <c r="Q1245" s="158"/>
      <c r="R1245" s="159"/>
      <c r="S1245" s="160"/>
      <c r="T1245" s="161"/>
      <c r="U1245" s="156"/>
      <c r="V1245" s="162"/>
      <c r="W1245" s="163"/>
      <c r="X1245" s="164">
        <v>4</v>
      </c>
      <c r="Y1245" s="159" t="s">
        <v>1111</v>
      </c>
      <c r="Z1245" s="161"/>
      <c r="AA1245" s="165">
        <v>1</v>
      </c>
      <c r="AD1245" s="155" t="s">
        <v>3998</v>
      </c>
      <c r="AF1245" s="154" t="s">
        <v>4781</v>
      </c>
      <c r="AO1245" s="155"/>
      <c r="AQ1245" s="156"/>
      <c r="AR1245" s="157"/>
      <c r="AS1245" s="158"/>
      <c r="AT1245" s="159"/>
      <c r="AU1245" s="161"/>
      <c r="AV1245" s="156"/>
      <c r="AW1245" s="162"/>
      <c r="AX1245" s="163"/>
      <c r="AY1245" s="164"/>
      <c r="AZ1245" s="159"/>
      <c r="BA1245" s="161"/>
      <c r="BB1245" s="165"/>
      <c r="BE1245" s="155"/>
    </row>
    <row r="1246" spans="1:59" s="154" customFormat="1" ht="15" customHeight="1">
      <c r="A1246" s="168" t="s">
        <v>4696</v>
      </c>
      <c r="B1246" s="153" t="s">
        <v>4782</v>
      </c>
      <c r="C1246" s="154" t="s">
        <v>4700</v>
      </c>
      <c r="D1246" s="170">
        <v>218</v>
      </c>
      <c r="E1246" s="154">
        <v>1</v>
      </c>
      <c r="F1246" s="154" t="s">
        <v>4947</v>
      </c>
      <c r="G1246" s="154" t="s">
        <v>4783</v>
      </c>
      <c r="J1246" s="154" t="s">
        <v>31</v>
      </c>
      <c r="K1246" s="154" t="s">
        <v>2426</v>
      </c>
      <c r="O1246" s="156"/>
      <c r="P1246" s="157"/>
      <c r="Q1246" s="158"/>
      <c r="R1246" s="159"/>
      <c r="S1246" s="160"/>
      <c r="T1246" s="161"/>
      <c r="U1246" s="156"/>
      <c r="V1246" s="162"/>
      <c r="W1246" s="163"/>
      <c r="X1246" s="164">
        <v>3</v>
      </c>
      <c r="Y1246" s="159" t="s">
        <v>1073</v>
      </c>
      <c r="Z1246" s="161"/>
      <c r="AA1246" s="165">
        <v>1</v>
      </c>
      <c r="AD1246" s="155" t="s">
        <v>3960</v>
      </c>
      <c r="AF1246" s="154" t="s">
        <v>4784</v>
      </c>
      <c r="AO1246" s="155"/>
      <c r="AQ1246" s="156"/>
      <c r="AR1246" s="157"/>
      <c r="AS1246" s="158"/>
      <c r="AT1246" s="159"/>
      <c r="AU1246" s="161"/>
      <c r="AV1246" s="156"/>
      <c r="AW1246" s="162"/>
      <c r="AX1246" s="163"/>
      <c r="AY1246" s="164"/>
      <c r="AZ1246" s="159"/>
      <c r="BA1246" s="161"/>
      <c r="BB1246" s="165"/>
    </row>
    <row r="1247" spans="1:59" s="154" customFormat="1" ht="15" customHeight="1">
      <c r="A1247" s="168" t="s">
        <v>4696</v>
      </c>
      <c r="B1247" s="153" t="s">
        <v>4785</v>
      </c>
      <c r="C1247" s="154" t="s">
        <v>4700</v>
      </c>
      <c r="D1247" s="170">
        <v>219</v>
      </c>
      <c r="E1247" s="154">
        <v>2</v>
      </c>
      <c r="F1247" s="154" t="s">
        <v>4947</v>
      </c>
      <c r="G1247" s="154" t="s">
        <v>4786</v>
      </c>
      <c r="J1247" s="154" t="s">
        <v>29</v>
      </c>
      <c r="K1247" s="154" t="s">
        <v>2426</v>
      </c>
      <c r="O1247" s="156"/>
      <c r="P1247" s="157"/>
      <c r="Q1247" s="158">
        <v>3</v>
      </c>
      <c r="R1247" s="159">
        <v>3</v>
      </c>
      <c r="S1247" s="160"/>
      <c r="T1247" s="161">
        <v>6</v>
      </c>
      <c r="U1247" s="156"/>
      <c r="V1247" s="162">
        <v>1</v>
      </c>
      <c r="W1247" s="163">
        <v>1</v>
      </c>
      <c r="X1247" s="164"/>
      <c r="Y1247" s="159"/>
      <c r="Z1247" s="161"/>
      <c r="AA1247" s="165">
        <v>1</v>
      </c>
      <c r="AD1247" s="154" t="s">
        <v>4787</v>
      </c>
      <c r="AF1247" s="154" t="s">
        <v>4788</v>
      </c>
      <c r="AO1247" s="155"/>
      <c r="AQ1247" s="156"/>
      <c r="AR1247" s="157"/>
      <c r="AS1247" s="158"/>
      <c r="AT1247" s="159"/>
      <c r="AU1247" s="161"/>
      <c r="AV1247" s="156"/>
      <c r="AW1247" s="162"/>
      <c r="AX1247" s="163"/>
      <c r="AY1247" s="164"/>
      <c r="AZ1247" s="159"/>
      <c r="BA1247" s="161"/>
      <c r="BB1247" s="165"/>
    </row>
    <row r="1248" spans="1:59" s="154" customFormat="1" ht="15" customHeight="1">
      <c r="A1248" s="168" t="s">
        <v>4696</v>
      </c>
      <c r="B1248" s="153" t="s">
        <v>4789</v>
      </c>
      <c r="C1248" s="154" t="s">
        <v>4700</v>
      </c>
      <c r="D1248" s="170">
        <v>220</v>
      </c>
      <c r="E1248" s="154">
        <v>2</v>
      </c>
      <c r="F1248" s="154" t="s">
        <v>4947</v>
      </c>
      <c r="G1248" s="154" t="s">
        <v>4790</v>
      </c>
      <c r="J1248" s="154" t="s">
        <v>29</v>
      </c>
      <c r="K1248" s="171" t="s">
        <v>2426</v>
      </c>
      <c r="O1248" s="156"/>
      <c r="P1248" s="157"/>
      <c r="Q1248" s="158">
        <v>4</v>
      </c>
      <c r="R1248" s="159">
        <v>4</v>
      </c>
      <c r="S1248" s="160"/>
      <c r="T1248" s="161">
        <v>4</v>
      </c>
      <c r="U1248" s="156"/>
      <c r="V1248" s="162">
        <v>2</v>
      </c>
      <c r="W1248" s="163"/>
      <c r="X1248" s="164"/>
      <c r="Y1248" s="159"/>
      <c r="Z1248" s="161"/>
      <c r="AA1248" s="165"/>
      <c r="AD1248" s="154" t="s">
        <v>4791</v>
      </c>
      <c r="AF1248" s="154" t="s">
        <v>4792</v>
      </c>
      <c r="AM1248" s="171"/>
      <c r="AO1248" s="155"/>
      <c r="AQ1248" s="156"/>
      <c r="AR1248" s="157"/>
      <c r="AS1248" s="158"/>
      <c r="AT1248" s="159"/>
      <c r="AU1248" s="161"/>
      <c r="AV1248" s="156"/>
      <c r="AW1248" s="162"/>
      <c r="AX1248" s="163"/>
      <c r="AY1248" s="164"/>
      <c r="AZ1248" s="159"/>
      <c r="BA1248" s="161"/>
      <c r="BB1248" s="165"/>
    </row>
    <row r="1249" spans="1:58" s="154" customFormat="1" ht="15" customHeight="1">
      <c r="A1249" s="168" t="s">
        <v>4696</v>
      </c>
      <c r="B1249" s="153" t="s">
        <v>4793</v>
      </c>
      <c r="C1249" s="154" t="s">
        <v>4700</v>
      </c>
      <c r="D1249" s="170">
        <v>221</v>
      </c>
      <c r="E1249" s="154">
        <v>3</v>
      </c>
      <c r="F1249" s="154" t="s">
        <v>4947</v>
      </c>
      <c r="G1249" s="154" t="s">
        <v>4794</v>
      </c>
      <c r="J1249" s="154" t="s">
        <v>28</v>
      </c>
      <c r="K1249" s="171" t="s">
        <v>2426</v>
      </c>
      <c r="O1249" s="156"/>
      <c r="P1249" s="157"/>
      <c r="Q1249" s="158"/>
      <c r="R1249" s="159"/>
      <c r="S1249" s="160"/>
      <c r="T1249" s="161"/>
      <c r="U1249" s="156"/>
      <c r="V1249" s="162"/>
      <c r="W1249" s="163"/>
      <c r="X1249" s="164"/>
      <c r="Y1249" s="159"/>
      <c r="Z1249" s="161"/>
      <c r="AA1249" s="165"/>
      <c r="AD1249" s="154" t="s">
        <v>479</v>
      </c>
      <c r="AF1249" s="154" t="s">
        <v>4795</v>
      </c>
      <c r="AO1249" s="155"/>
      <c r="AQ1249" s="156"/>
      <c r="AR1249" s="157"/>
      <c r="AS1249" s="158"/>
      <c r="AT1249" s="159"/>
      <c r="AU1249" s="161"/>
      <c r="AV1249" s="156"/>
      <c r="AW1249" s="162"/>
      <c r="AX1249" s="163"/>
      <c r="AY1249" s="164"/>
      <c r="AZ1249" s="159"/>
      <c r="BA1249" s="161"/>
      <c r="BB1249" s="165"/>
      <c r="BE1249" s="155"/>
    </row>
    <row r="1250" spans="1:58" s="154" customFormat="1" ht="15" customHeight="1">
      <c r="A1250" s="168" t="s">
        <v>4696</v>
      </c>
      <c r="B1250" s="153" t="s">
        <v>4796</v>
      </c>
      <c r="C1250" s="154" t="s">
        <v>4700</v>
      </c>
      <c r="D1250" s="170">
        <v>222</v>
      </c>
      <c r="E1250" s="154">
        <v>1</v>
      </c>
      <c r="F1250" s="154" t="s">
        <v>4948</v>
      </c>
      <c r="G1250" s="154" t="s">
        <v>4797</v>
      </c>
      <c r="J1250" s="154" t="s">
        <v>31</v>
      </c>
      <c r="K1250" s="171" t="s">
        <v>2426</v>
      </c>
      <c r="O1250" s="156"/>
      <c r="P1250" s="157"/>
      <c r="Q1250" s="158"/>
      <c r="R1250" s="159"/>
      <c r="S1250" s="160"/>
      <c r="T1250" s="161"/>
      <c r="U1250" s="156"/>
      <c r="V1250" s="162"/>
      <c r="W1250" s="163"/>
      <c r="X1250" s="164">
        <v>2</v>
      </c>
      <c r="Y1250" s="159" t="s">
        <v>1073</v>
      </c>
      <c r="Z1250" s="161"/>
      <c r="AA1250" s="165"/>
      <c r="AD1250" s="155" t="s">
        <v>4798</v>
      </c>
      <c r="AF1250" s="154" t="s">
        <v>4799</v>
      </c>
      <c r="AO1250" s="155"/>
      <c r="AQ1250" s="156"/>
      <c r="AR1250" s="157"/>
      <c r="AS1250" s="158"/>
      <c r="AT1250" s="159"/>
      <c r="AU1250" s="161"/>
      <c r="AV1250" s="156"/>
      <c r="AW1250" s="162"/>
      <c r="AX1250" s="163"/>
      <c r="AY1250" s="164"/>
      <c r="AZ1250" s="159"/>
      <c r="BA1250" s="161"/>
      <c r="BB1250" s="165"/>
    </row>
    <row r="1251" spans="1:58" s="154" customFormat="1" ht="15" customHeight="1">
      <c r="A1251" s="168" t="s">
        <v>4696</v>
      </c>
      <c r="B1251" s="153" t="s">
        <v>4800</v>
      </c>
      <c r="C1251" s="154" t="s">
        <v>4700</v>
      </c>
      <c r="D1251" s="170">
        <v>223</v>
      </c>
      <c r="E1251" s="154">
        <v>1</v>
      </c>
      <c r="F1251" s="154" t="s">
        <v>4948</v>
      </c>
      <c r="G1251" s="154" t="s">
        <v>4801</v>
      </c>
      <c r="J1251" s="154" t="s">
        <v>31</v>
      </c>
      <c r="K1251" s="154" t="s">
        <v>2426</v>
      </c>
      <c r="O1251" s="156"/>
      <c r="P1251" s="157"/>
      <c r="Q1251" s="158"/>
      <c r="R1251" s="159"/>
      <c r="S1251" s="160"/>
      <c r="T1251" s="161"/>
      <c r="U1251" s="156"/>
      <c r="V1251" s="162"/>
      <c r="W1251" s="163"/>
      <c r="X1251" s="164">
        <v>3</v>
      </c>
      <c r="Y1251" s="159" t="s">
        <v>1111</v>
      </c>
      <c r="Z1251" s="161"/>
      <c r="AA1251" s="165">
        <v>1</v>
      </c>
      <c r="AD1251" s="155" t="s">
        <v>4798</v>
      </c>
      <c r="AF1251" s="154" t="s">
        <v>4802</v>
      </c>
      <c r="AO1251" s="155"/>
      <c r="AQ1251" s="156"/>
      <c r="AR1251" s="157"/>
      <c r="AS1251" s="158"/>
      <c r="AT1251" s="159"/>
      <c r="AU1251" s="161"/>
      <c r="AV1251" s="156"/>
      <c r="AW1251" s="162"/>
      <c r="AX1251" s="163"/>
      <c r="AY1251" s="164"/>
      <c r="AZ1251" s="159"/>
      <c r="BA1251" s="161"/>
      <c r="BB1251" s="165"/>
    </row>
    <row r="1252" spans="1:58" s="154" customFormat="1" ht="15" customHeight="1">
      <c r="A1252" s="168" t="s">
        <v>4696</v>
      </c>
      <c r="B1252" s="153" t="s">
        <v>4803</v>
      </c>
      <c r="C1252" s="154" t="s">
        <v>4700</v>
      </c>
      <c r="D1252" s="170">
        <v>224</v>
      </c>
      <c r="E1252" s="154">
        <v>1</v>
      </c>
      <c r="F1252" s="154" t="s">
        <v>4948</v>
      </c>
      <c r="G1252" s="154" t="s">
        <v>4804</v>
      </c>
      <c r="J1252" s="154" t="s">
        <v>31</v>
      </c>
      <c r="K1252" s="154" t="s">
        <v>2426</v>
      </c>
      <c r="O1252" s="156"/>
      <c r="P1252" s="157"/>
      <c r="Q1252" s="158"/>
      <c r="R1252" s="159"/>
      <c r="S1252" s="160"/>
      <c r="T1252" s="161"/>
      <c r="U1252" s="156"/>
      <c r="V1252" s="162"/>
      <c r="W1252" s="163"/>
      <c r="X1252" s="164">
        <v>3</v>
      </c>
      <c r="Y1252" s="159" t="s">
        <v>1073</v>
      </c>
      <c r="Z1252" s="161"/>
      <c r="AA1252" s="165">
        <v>1</v>
      </c>
      <c r="AD1252" s="154" t="s">
        <v>4798</v>
      </c>
      <c r="AE1252" s="155"/>
      <c r="AF1252" s="154" t="s">
        <v>4805</v>
      </c>
      <c r="AP1252" s="155"/>
      <c r="AQ1252" s="156"/>
      <c r="AR1252" s="157"/>
      <c r="AS1252" s="158"/>
      <c r="AT1252" s="159"/>
      <c r="AU1252" s="161"/>
      <c r="AV1252" s="156"/>
      <c r="AW1252" s="162"/>
      <c r="AX1252" s="163"/>
      <c r="AY1252" s="164"/>
      <c r="AZ1252" s="159"/>
      <c r="BA1252" s="161"/>
      <c r="BB1252" s="165"/>
    </row>
    <row r="1253" spans="1:58" s="154" customFormat="1" ht="15" customHeight="1">
      <c r="A1253" s="168" t="s">
        <v>4696</v>
      </c>
      <c r="B1253" s="153" t="s">
        <v>4806</v>
      </c>
      <c r="C1253" s="154" t="s">
        <v>4700</v>
      </c>
      <c r="D1253" s="170">
        <v>225</v>
      </c>
      <c r="E1253" s="154">
        <v>1</v>
      </c>
      <c r="F1253" s="154" t="s">
        <v>4948</v>
      </c>
      <c r="G1253" s="154" t="s">
        <v>4807</v>
      </c>
      <c r="J1253" s="154" t="s">
        <v>31</v>
      </c>
      <c r="K1253" s="154" t="s">
        <v>2426</v>
      </c>
      <c r="N1253" s="155"/>
      <c r="O1253" s="156"/>
      <c r="P1253" s="157"/>
      <c r="Q1253" s="158"/>
      <c r="R1253" s="159"/>
      <c r="S1253" s="160"/>
      <c r="T1253" s="161"/>
      <c r="U1253" s="156"/>
      <c r="V1253" s="162"/>
      <c r="W1253" s="163"/>
      <c r="X1253" s="164">
        <v>4</v>
      </c>
      <c r="Y1253" s="159" t="s">
        <v>1073</v>
      </c>
      <c r="Z1253" s="161"/>
      <c r="AA1253" s="165">
        <v>1</v>
      </c>
      <c r="AD1253" s="154" t="s">
        <v>4798</v>
      </c>
      <c r="AE1253" s="155"/>
      <c r="AF1253" s="154" t="s">
        <v>4808</v>
      </c>
      <c r="AP1253" s="155"/>
      <c r="AQ1253" s="156"/>
      <c r="AR1253" s="157"/>
      <c r="AS1253" s="158"/>
      <c r="AT1253" s="159"/>
      <c r="AU1253" s="161"/>
      <c r="AV1253" s="156"/>
      <c r="AW1253" s="162"/>
      <c r="AX1253" s="163"/>
      <c r="AY1253" s="164"/>
      <c r="AZ1253" s="159"/>
      <c r="BA1253" s="161"/>
      <c r="BB1253" s="165"/>
    </row>
    <row r="1254" spans="1:58" s="154" customFormat="1" ht="15" customHeight="1">
      <c r="A1254" s="168" t="s">
        <v>4696</v>
      </c>
      <c r="B1254" s="153" t="s">
        <v>4809</v>
      </c>
      <c r="C1254" s="154" t="s">
        <v>4700</v>
      </c>
      <c r="D1254" s="170">
        <v>226</v>
      </c>
      <c r="E1254" s="154">
        <v>1</v>
      </c>
      <c r="F1254" s="154" t="s">
        <v>4948</v>
      </c>
      <c r="G1254" s="154" t="s">
        <v>4810</v>
      </c>
      <c r="J1254" s="154" t="s">
        <v>31</v>
      </c>
      <c r="K1254" s="154" t="s">
        <v>2426</v>
      </c>
      <c r="N1254" s="155"/>
      <c r="O1254" s="156"/>
      <c r="P1254" s="157"/>
      <c r="Q1254" s="158"/>
      <c r="R1254" s="159"/>
      <c r="S1254" s="160"/>
      <c r="T1254" s="161"/>
      <c r="U1254" s="156"/>
      <c r="V1254" s="162"/>
      <c r="W1254" s="163"/>
      <c r="X1254" s="164">
        <v>1</v>
      </c>
      <c r="Y1254" s="159" t="s">
        <v>1111</v>
      </c>
      <c r="Z1254" s="161"/>
      <c r="AA1254" s="165">
        <v>1</v>
      </c>
      <c r="AD1254" s="154" t="s">
        <v>4798</v>
      </c>
      <c r="AE1254" s="155"/>
      <c r="AF1254" s="154" t="s">
        <v>4811</v>
      </c>
      <c r="AP1254" s="155"/>
      <c r="AQ1254" s="156"/>
      <c r="AR1254" s="157"/>
      <c r="AS1254" s="158"/>
      <c r="AT1254" s="159"/>
      <c r="AU1254" s="161"/>
      <c r="AV1254" s="156"/>
      <c r="AW1254" s="162"/>
      <c r="AX1254" s="163"/>
      <c r="AY1254" s="164"/>
      <c r="AZ1254" s="159"/>
      <c r="BA1254" s="161"/>
      <c r="BB1254" s="165"/>
    </row>
    <row r="1255" spans="1:58" s="154" customFormat="1" ht="15" customHeight="1">
      <c r="A1255" s="168" t="s">
        <v>4696</v>
      </c>
      <c r="B1255" s="153" t="s">
        <v>4812</v>
      </c>
      <c r="C1255" s="154" t="s">
        <v>4700</v>
      </c>
      <c r="D1255" s="170">
        <v>227</v>
      </c>
      <c r="E1255" s="154">
        <v>1</v>
      </c>
      <c r="F1255" s="154" t="s">
        <v>4948</v>
      </c>
      <c r="G1255" s="154" t="s">
        <v>4813</v>
      </c>
      <c r="J1255" s="154" t="s">
        <v>31</v>
      </c>
      <c r="K1255" s="154" t="s">
        <v>2426</v>
      </c>
      <c r="N1255" s="155"/>
      <c r="O1255" s="156"/>
      <c r="P1255" s="157"/>
      <c r="Q1255" s="158"/>
      <c r="R1255" s="159"/>
      <c r="S1255" s="160"/>
      <c r="T1255" s="161"/>
      <c r="U1255" s="156"/>
      <c r="V1255" s="162"/>
      <c r="W1255" s="163"/>
      <c r="X1255" s="164">
        <v>3</v>
      </c>
      <c r="Y1255" s="159"/>
      <c r="Z1255" s="161"/>
      <c r="AA1255" s="165">
        <v>2</v>
      </c>
      <c r="AD1255" s="154" t="s">
        <v>4798</v>
      </c>
      <c r="AE1255" s="155"/>
      <c r="AF1255" s="154" t="s">
        <v>4814</v>
      </c>
      <c r="AP1255" s="155"/>
      <c r="AQ1255" s="156"/>
      <c r="AR1255" s="157"/>
      <c r="AS1255" s="158"/>
      <c r="AT1255" s="159"/>
      <c r="AU1255" s="161"/>
      <c r="AV1255" s="156"/>
      <c r="AW1255" s="162"/>
      <c r="AX1255" s="163"/>
      <c r="AY1255" s="164"/>
      <c r="AZ1255" s="159"/>
      <c r="BA1255" s="161"/>
      <c r="BB1255" s="165"/>
    </row>
    <row r="1256" spans="1:58" s="154" customFormat="1" ht="15" customHeight="1">
      <c r="A1256" s="168" t="s">
        <v>4696</v>
      </c>
      <c r="B1256" s="153" t="s">
        <v>4815</v>
      </c>
      <c r="C1256" s="154" t="s">
        <v>4700</v>
      </c>
      <c r="D1256" s="170">
        <v>228</v>
      </c>
      <c r="E1256" s="154">
        <v>3</v>
      </c>
      <c r="F1256" s="154" t="s">
        <v>4948</v>
      </c>
      <c r="G1256" s="154" t="s">
        <v>4816</v>
      </c>
      <c r="J1256" s="154" t="s">
        <v>28</v>
      </c>
      <c r="K1256" s="154" t="s">
        <v>2426</v>
      </c>
      <c r="N1256" s="155"/>
      <c r="O1256" s="156"/>
      <c r="P1256" s="157"/>
      <c r="Q1256" s="158"/>
      <c r="R1256" s="159"/>
      <c r="S1256" s="160"/>
      <c r="T1256" s="161"/>
      <c r="U1256" s="156"/>
      <c r="V1256" s="162"/>
      <c r="W1256" s="163"/>
      <c r="X1256" s="164"/>
      <c r="Y1256" s="159"/>
      <c r="Z1256" s="161"/>
      <c r="AA1256" s="165"/>
      <c r="AD1256" s="154" t="s">
        <v>479</v>
      </c>
      <c r="AE1256" s="155"/>
      <c r="AF1256" s="154" t="s">
        <v>4817</v>
      </c>
      <c r="AP1256" s="155"/>
      <c r="AQ1256" s="156"/>
      <c r="AR1256" s="157"/>
      <c r="AS1256" s="158"/>
      <c r="AT1256" s="159"/>
      <c r="AU1256" s="161"/>
      <c r="AV1256" s="156"/>
      <c r="AW1256" s="162"/>
      <c r="AX1256" s="163"/>
      <c r="AY1256" s="164"/>
      <c r="AZ1256" s="159"/>
      <c r="BA1256" s="161"/>
      <c r="BB1256" s="165"/>
      <c r="BF1256" s="155"/>
    </row>
    <row r="1257" spans="1:58" s="154" customFormat="1" ht="15" customHeight="1">
      <c r="A1257" s="168" t="s">
        <v>4744</v>
      </c>
      <c r="B1257" s="153" t="s">
        <v>4818</v>
      </c>
      <c r="C1257" s="154" t="s">
        <v>4819</v>
      </c>
      <c r="D1257" s="170">
        <v>229</v>
      </c>
      <c r="E1257" s="154">
        <v>2</v>
      </c>
      <c r="G1257" s="154" t="s">
        <v>4820</v>
      </c>
      <c r="J1257" s="154" t="s">
        <v>257</v>
      </c>
      <c r="K1257" s="154" t="s">
        <v>198</v>
      </c>
      <c r="L1257" s="154">
        <v>4</v>
      </c>
      <c r="N1257" s="155">
        <v>5</v>
      </c>
      <c r="O1257" s="156"/>
      <c r="P1257" s="157"/>
      <c r="Q1257" s="158">
        <v>2</v>
      </c>
      <c r="R1257" s="159"/>
      <c r="S1257" s="160"/>
      <c r="T1257" s="161"/>
      <c r="U1257" s="156"/>
      <c r="V1257" s="162"/>
      <c r="W1257" s="163"/>
      <c r="X1257" s="164"/>
      <c r="Y1257" s="159"/>
      <c r="Z1257" s="161"/>
      <c r="AA1257" s="165"/>
      <c r="AB1257" s="154" t="s">
        <v>1088</v>
      </c>
      <c r="AC1257" s="154" t="s">
        <v>322</v>
      </c>
      <c r="AD1257" s="154" t="s">
        <v>259</v>
      </c>
      <c r="AE1257" s="155"/>
      <c r="AF1257" s="154" t="s">
        <v>4821</v>
      </c>
      <c r="AP1257" s="155"/>
      <c r="AQ1257" s="156"/>
      <c r="AR1257" s="157"/>
      <c r="AS1257" s="158"/>
      <c r="AT1257" s="159"/>
      <c r="AU1257" s="161"/>
      <c r="AV1257" s="156"/>
      <c r="AW1257" s="162"/>
      <c r="AX1257" s="163"/>
      <c r="AY1257" s="164"/>
      <c r="AZ1257" s="159"/>
      <c r="BA1257" s="161"/>
      <c r="BB1257" s="165"/>
      <c r="BF1257" s="155"/>
    </row>
    <row r="1258" spans="1:58" s="154" customFormat="1" ht="15" customHeight="1">
      <c r="A1258" s="153" t="s">
        <v>4744</v>
      </c>
      <c r="B1258" s="153" t="s">
        <v>4822</v>
      </c>
      <c r="C1258" s="154" t="s">
        <v>4819</v>
      </c>
      <c r="D1258" s="170">
        <v>230</v>
      </c>
      <c r="E1258" s="154">
        <v>2</v>
      </c>
      <c r="G1258" s="154" t="s">
        <v>3881</v>
      </c>
      <c r="H1258" s="154" t="s">
        <v>4823</v>
      </c>
      <c r="J1258" s="154" t="s">
        <v>257</v>
      </c>
      <c r="K1258" s="154" t="s">
        <v>199</v>
      </c>
      <c r="L1258" s="154">
        <v>4</v>
      </c>
      <c r="N1258" s="155">
        <v>2</v>
      </c>
      <c r="O1258" s="156"/>
      <c r="P1258" s="157">
        <v>2</v>
      </c>
      <c r="Q1258" s="158"/>
      <c r="R1258" s="159"/>
      <c r="S1258" s="160"/>
      <c r="T1258" s="161"/>
      <c r="U1258" s="156"/>
      <c r="V1258" s="162"/>
      <c r="W1258" s="163"/>
      <c r="X1258" s="164"/>
      <c r="Y1258" s="159"/>
      <c r="Z1258" s="161"/>
      <c r="AA1258" s="165"/>
      <c r="AB1258" s="154" t="s">
        <v>1084</v>
      </c>
      <c r="AC1258" s="154" t="s">
        <v>258</v>
      </c>
      <c r="AD1258" s="154" t="s">
        <v>276</v>
      </c>
      <c r="AE1258" s="155"/>
      <c r="AF1258" s="154" t="s">
        <v>4824</v>
      </c>
      <c r="AI1258" s="153"/>
      <c r="AP1258" s="155"/>
      <c r="AQ1258" s="156"/>
      <c r="AR1258" s="157"/>
      <c r="AS1258" s="158"/>
      <c r="AT1258" s="159"/>
      <c r="AU1258" s="161"/>
      <c r="AV1258" s="156"/>
      <c r="AW1258" s="162"/>
      <c r="AX1258" s="163"/>
      <c r="AY1258" s="164"/>
      <c r="AZ1258" s="159"/>
      <c r="BA1258" s="161"/>
      <c r="BB1258" s="165"/>
      <c r="BF1258" s="155"/>
    </row>
    <row r="1259" spans="1:58" s="154" customFormat="1" ht="15" customHeight="1">
      <c r="A1259" s="168" t="s">
        <v>4744</v>
      </c>
      <c r="B1259" s="153" t="s">
        <v>4825</v>
      </c>
      <c r="C1259" s="154" t="s">
        <v>4819</v>
      </c>
      <c r="D1259" s="170">
        <v>231</v>
      </c>
      <c r="E1259" s="154">
        <v>2</v>
      </c>
      <c r="G1259" s="154" t="s">
        <v>3881</v>
      </c>
      <c r="H1259" s="154" t="s">
        <v>4826</v>
      </c>
      <c r="J1259" s="154" t="s">
        <v>257</v>
      </c>
      <c r="K1259" s="154" t="s">
        <v>199</v>
      </c>
      <c r="L1259" s="154">
        <v>4</v>
      </c>
      <c r="N1259" s="155">
        <v>2</v>
      </c>
      <c r="O1259" s="156">
        <v>2</v>
      </c>
      <c r="P1259" s="157"/>
      <c r="Q1259" s="158"/>
      <c r="R1259" s="159"/>
      <c r="S1259" s="160"/>
      <c r="T1259" s="161"/>
      <c r="U1259" s="156"/>
      <c r="V1259" s="162"/>
      <c r="W1259" s="163"/>
      <c r="X1259" s="164"/>
      <c r="Y1259" s="159"/>
      <c r="Z1259" s="161"/>
      <c r="AA1259" s="165"/>
      <c r="AB1259" s="154" t="s">
        <v>1094</v>
      </c>
      <c r="AC1259" s="154" t="s">
        <v>258</v>
      </c>
      <c r="AD1259" s="154" t="s">
        <v>276</v>
      </c>
      <c r="AE1259" s="155"/>
      <c r="AF1259" s="154" t="s">
        <v>4827</v>
      </c>
      <c r="AP1259" s="155"/>
      <c r="AQ1259" s="156"/>
      <c r="AR1259" s="157"/>
      <c r="AS1259" s="158"/>
      <c r="AT1259" s="159"/>
      <c r="AU1259" s="161"/>
      <c r="AV1259" s="156"/>
      <c r="AW1259" s="162"/>
      <c r="AX1259" s="163"/>
      <c r="AY1259" s="164"/>
      <c r="AZ1259" s="159"/>
      <c r="BA1259" s="161"/>
      <c r="BB1259" s="165"/>
      <c r="BF1259" s="155"/>
    </row>
    <row r="1260" spans="1:58" s="154" customFormat="1" ht="15" customHeight="1">
      <c r="A1260" s="168" t="s">
        <v>4744</v>
      </c>
      <c r="B1260" s="169" t="s">
        <v>4828</v>
      </c>
      <c r="C1260" s="154" t="s">
        <v>4819</v>
      </c>
      <c r="D1260" s="170">
        <v>232</v>
      </c>
      <c r="E1260" s="154">
        <v>2</v>
      </c>
      <c r="G1260" s="154" t="s">
        <v>4829</v>
      </c>
      <c r="J1260" s="154" t="s">
        <v>27</v>
      </c>
      <c r="K1260" s="154" t="s">
        <v>201</v>
      </c>
      <c r="N1260" s="155">
        <v>2</v>
      </c>
      <c r="O1260" s="156"/>
      <c r="P1260" s="157">
        <v>1</v>
      </c>
      <c r="Q1260" s="158"/>
      <c r="R1260" s="159">
        <v>1</v>
      </c>
      <c r="S1260" s="160"/>
      <c r="T1260" s="161"/>
      <c r="U1260" s="156"/>
      <c r="V1260" s="162"/>
      <c r="W1260" s="163"/>
      <c r="X1260" s="164"/>
      <c r="Y1260" s="159"/>
      <c r="Z1260" s="161"/>
      <c r="AA1260" s="165"/>
      <c r="AB1260" s="154" t="s">
        <v>1089</v>
      </c>
      <c r="AD1260" s="154" t="s">
        <v>1412</v>
      </c>
      <c r="AE1260" s="155"/>
      <c r="AF1260" s="154" t="s">
        <v>4830</v>
      </c>
      <c r="AP1260" s="155"/>
      <c r="AQ1260" s="156"/>
      <c r="AR1260" s="157"/>
      <c r="AS1260" s="158"/>
      <c r="AT1260" s="159"/>
      <c r="AU1260" s="161"/>
      <c r="AV1260" s="156"/>
      <c r="AW1260" s="162"/>
      <c r="AX1260" s="163"/>
      <c r="AY1260" s="164"/>
      <c r="AZ1260" s="159"/>
      <c r="BA1260" s="161"/>
      <c r="BB1260" s="165"/>
      <c r="BF1260" s="155"/>
    </row>
    <row r="1261" spans="1:58" s="154" customFormat="1" ht="15" customHeight="1">
      <c r="A1261" s="153" t="s">
        <v>4744</v>
      </c>
      <c r="B1261" s="153" t="s">
        <v>4831</v>
      </c>
      <c r="C1261" s="154" t="s">
        <v>4819</v>
      </c>
      <c r="D1261" s="170">
        <v>233</v>
      </c>
      <c r="E1261" s="154">
        <v>2</v>
      </c>
      <c r="G1261" s="154" t="s">
        <v>4832</v>
      </c>
      <c r="J1261" s="154" t="s">
        <v>27</v>
      </c>
      <c r="K1261" s="154" t="s">
        <v>201</v>
      </c>
      <c r="L1261" s="154">
        <v>1</v>
      </c>
      <c r="N1261" s="155">
        <v>0</v>
      </c>
      <c r="O1261" s="156"/>
      <c r="P1261" s="157"/>
      <c r="Q1261" s="158"/>
      <c r="R1261" s="159"/>
      <c r="S1261" s="160"/>
      <c r="T1261" s="161"/>
      <c r="U1261" s="156"/>
      <c r="V1261" s="162"/>
      <c r="W1261" s="163"/>
      <c r="X1261" s="164"/>
      <c r="Y1261" s="159"/>
      <c r="Z1261" s="161"/>
      <c r="AA1261" s="165"/>
      <c r="AD1261" s="154" t="s">
        <v>4833</v>
      </c>
      <c r="AE1261" s="155"/>
      <c r="AF1261" s="154" t="s">
        <v>4834</v>
      </c>
      <c r="AP1261" s="155"/>
      <c r="AQ1261" s="156"/>
      <c r="AR1261" s="157"/>
      <c r="AS1261" s="158"/>
      <c r="AT1261" s="159"/>
      <c r="AU1261" s="161"/>
      <c r="AV1261" s="156"/>
      <c r="AW1261" s="162"/>
      <c r="AX1261" s="163"/>
      <c r="AY1261" s="164"/>
      <c r="AZ1261" s="159"/>
      <c r="BA1261" s="161"/>
      <c r="BB1261" s="165"/>
      <c r="BF1261" s="155"/>
    </row>
    <row r="1262" spans="1:58" s="154" customFormat="1" ht="15" customHeight="1">
      <c r="A1262" s="168" t="s">
        <v>4744</v>
      </c>
      <c r="B1262" s="153" t="s">
        <v>4835</v>
      </c>
      <c r="C1262" s="154" t="s">
        <v>4819</v>
      </c>
      <c r="D1262" s="170">
        <v>234</v>
      </c>
      <c r="E1262" s="154">
        <v>2</v>
      </c>
      <c r="G1262" s="154" t="s">
        <v>4836</v>
      </c>
      <c r="J1262" s="154" t="s">
        <v>27</v>
      </c>
      <c r="K1262" s="154" t="s">
        <v>200</v>
      </c>
      <c r="L1262" s="154">
        <v>1</v>
      </c>
      <c r="N1262" s="155">
        <v>0</v>
      </c>
      <c r="O1262" s="156">
        <v>1</v>
      </c>
      <c r="P1262" s="157"/>
      <c r="Q1262" s="158"/>
      <c r="R1262" s="159"/>
      <c r="S1262" s="160"/>
      <c r="T1262" s="161"/>
      <c r="U1262" s="156"/>
      <c r="V1262" s="162"/>
      <c r="W1262" s="163"/>
      <c r="X1262" s="164"/>
      <c r="Y1262" s="159"/>
      <c r="Z1262" s="161"/>
      <c r="AA1262" s="165"/>
      <c r="AB1262" s="154" t="s">
        <v>204</v>
      </c>
      <c r="AD1262" s="154" t="s">
        <v>2567</v>
      </c>
      <c r="AF1262" s="154" t="s">
        <v>4837</v>
      </c>
      <c r="AP1262" s="155"/>
      <c r="AQ1262" s="156"/>
      <c r="AR1262" s="157"/>
      <c r="AS1262" s="158"/>
      <c r="AT1262" s="159"/>
      <c r="AU1262" s="161"/>
      <c r="AV1262" s="156"/>
      <c r="AW1262" s="162"/>
      <c r="AX1262" s="163"/>
      <c r="AY1262" s="164"/>
      <c r="AZ1262" s="159"/>
      <c r="BA1262" s="161"/>
      <c r="BB1262" s="165"/>
      <c r="BF1262" s="155"/>
    </row>
    <row r="1263" spans="1:58" s="154" customFormat="1" ht="15" customHeight="1">
      <c r="A1263" s="168" t="s">
        <v>4744</v>
      </c>
      <c r="B1263" s="153" t="s">
        <v>4838</v>
      </c>
      <c r="C1263" s="154" t="s">
        <v>4819</v>
      </c>
      <c r="D1263" s="170">
        <v>235</v>
      </c>
      <c r="E1263" s="154">
        <v>2</v>
      </c>
      <c r="G1263" s="154" t="s">
        <v>4839</v>
      </c>
      <c r="J1263" s="154" t="s">
        <v>257</v>
      </c>
      <c r="K1263" s="154" t="s">
        <v>200</v>
      </c>
      <c r="L1263" s="154">
        <v>3</v>
      </c>
      <c r="N1263" s="155">
        <v>3</v>
      </c>
      <c r="O1263" s="156"/>
      <c r="P1263" s="157"/>
      <c r="Q1263" s="158"/>
      <c r="R1263" s="159"/>
      <c r="S1263" s="160">
        <v>1</v>
      </c>
      <c r="T1263" s="161"/>
      <c r="U1263" s="156"/>
      <c r="V1263" s="162"/>
      <c r="W1263" s="163"/>
      <c r="X1263" s="164"/>
      <c r="Y1263" s="159"/>
      <c r="Z1263" s="161"/>
      <c r="AA1263" s="165"/>
      <c r="AB1263" s="154" t="s">
        <v>208</v>
      </c>
      <c r="AC1263" s="154" t="s">
        <v>275</v>
      </c>
      <c r="AD1263" s="154" t="s">
        <v>4840</v>
      </c>
      <c r="AE1263" s="155"/>
      <c r="AF1263" s="154" t="s">
        <v>4841</v>
      </c>
      <c r="AP1263" s="155"/>
      <c r="AQ1263" s="156"/>
      <c r="AR1263" s="157"/>
      <c r="AS1263" s="158"/>
      <c r="AT1263" s="159"/>
      <c r="AU1263" s="161"/>
      <c r="AV1263" s="156"/>
      <c r="AW1263" s="162"/>
      <c r="AX1263" s="163"/>
      <c r="AY1263" s="164"/>
      <c r="AZ1263" s="159"/>
      <c r="BA1263" s="161"/>
      <c r="BB1263" s="165"/>
      <c r="BF1263" s="155"/>
    </row>
    <row r="1264" spans="1:58" s="154" customFormat="1" ht="15" customHeight="1">
      <c r="A1264" s="153" t="s">
        <v>4744</v>
      </c>
      <c r="B1264" s="153" t="s">
        <v>4842</v>
      </c>
      <c r="C1264" s="154" t="s">
        <v>4819</v>
      </c>
      <c r="D1264" s="170">
        <v>236</v>
      </c>
      <c r="E1264" s="154">
        <v>2</v>
      </c>
      <c r="G1264" s="154" t="s">
        <v>4843</v>
      </c>
      <c r="J1264" s="154" t="s">
        <v>257</v>
      </c>
      <c r="K1264" s="154" t="s">
        <v>202</v>
      </c>
      <c r="L1264" s="154">
        <v>3</v>
      </c>
      <c r="N1264" s="155">
        <v>2</v>
      </c>
      <c r="O1264" s="156">
        <v>1</v>
      </c>
      <c r="P1264" s="157"/>
      <c r="Q1264" s="158"/>
      <c r="R1264" s="159"/>
      <c r="S1264" s="160"/>
      <c r="T1264" s="161"/>
      <c r="U1264" s="156"/>
      <c r="V1264" s="162"/>
      <c r="W1264" s="163"/>
      <c r="X1264" s="164"/>
      <c r="Y1264" s="159"/>
      <c r="Z1264" s="161"/>
      <c r="AA1264" s="165"/>
      <c r="AB1264" s="154" t="s">
        <v>204</v>
      </c>
      <c r="AD1264" s="154" t="s">
        <v>289</v>
      </c>
      <c r="AE1264" s="155"/>
      <c r="AF1264" s="154" t="s">
        <v>4844</v>
      </c>
      <c r="AP1264" s="155"/>
      <c r="AQ1264" s="156"/>
      <c r="AR1264" s="157"/>
      <c r="AS1264" s="158"/>
      <c r="AT1264" s="159"/>
      <c r="AU1264" s="161"/>
      <c r="AV1264" s="156"/>
      <c r="AW1264" s="162"/>
      <c r="AX1264" s="163"/>
      <c r="AY1264" s="164"/>
      <c r="AZ1264" s="159"/>
      <c r="BA1264" s="161"/>
      <c r="BB1264" s="165"/>
      <c r="BF1264" s="155"/>
    </row>
    <row r="1265" spans="1:59" s="154" customFormat="1" ht="15" customHeight="1">
      <c r="A1265" s="168" t="s">
        <v>4744</v>
      </c>
      <c r="B1265" s="153" t="s">
        <v>4845</v>
      </c>
      <c r="C1265" s="154" t="s">
        <v>4819</v>
      </c>
      <c r="D1265" s="170">
        <v>237</v>
      </c>
      <c r="E1265" s="154">
        <v>1</v>
      </c>
      <c r="F1265" s="154" t="s">
        <v>4745</v>
      </c>
      <c r="G1265" s="154" t="s">
        <v>4745</v>
      </c>
      <c r="J1265" s="154" t="s">
        <v>618</v>
      </c>
      <c r="K1265" s="154" t="s">
        <v>2426</v>
      </c>
      <c r="N1265" s="155"/>
      <c r="O1265" s="156"/>
      <c r="P1265" s="157"/>
      <c r="Q1265" s="158"/>
      <c r="R1265" s="159"/>
      <c r="S1265" s="160"/>
      <c r="T1265" s="161"/>
      <c r="U1265" s="156"/>
      <c r="V1265" s="162"/>
      <c r="W1265" s="163"/>
      <c r="X1265" s="164"/>
      <c r="Y1265" s="159"/>
      <c r="Z1265" s="161"/>
      <c r="AA1265" s="165"/>
      <c r="AE1265" s="155"/>
      <c r="AF1265" s="154" t="s">
        <v>4846</v>
      </c>
      <c r="AI1265" s="154" t="s">
        <v>4745</v>
      </c>
      <c r="AL1265" s="154" t="s">
        <v>618</v>
      </c>
      <c r="AM1265" s="154" t="s">
        <v>2426</v>
      </c>
      <c r="AP1265" s="155"/>
      <c r="AQ1265" s="156"/>
      <c r="AR1265" s="157"/>
      <c r="AS1265" s="158"/>
      <c r="AT1265" s="159"/>
      <c r="AU1265" s="161"/>
      <c r="AV1265" s="156"/>
      <c r="AW1265" s="162"/>
      <c r="AX1265" s="163"/>
      <c r="AY1265" s="164"/>
      <c r="AZ1265" s="159"/>
      <c r="BA1265" s="161"/>
      <c r="BB1265" s="165"/>
      <c r="BF1265" s="155"/>
      <c r="BG1265" s="154" t="s">
        <v>4847</v>
      </c>
    </row>
    <row r="1266" spans="1:59" s="154" customFormat="1" ht="15" customHeight="1">
      <c r="A1266" s="168" t="s">
        <v>4744</v>
      </c>
      <c r="B1266" s="153" t="s">
        <v>4848</v>
      </c>
      <c r="C1266" s="154" t="s">
        <v>4819</v>
      </c>
      <c r="D1266" s="170">
        <v>238</v>
      </c>
      <c r="E1266" s="154">
        <v>1</v>
      </c>
      <c r="F1266" s="154" t="s">
        <v>4745</v>
      </c>
      <c r="G1266" s="154" t="s">
        <v>4849</v>
      </c>
      <c r="J1266" s="154" t="s">
        <v>619</v>
      </c>
      <c r="K1266" s="154" t="s">
        <v>2426</v>
      </c>
      <c r="N1266" s="155"/>
      <c r="O1266" s="156"/>
      <c r="P1266" s="157"/>
      <c r="Q1266" s="158"/>
      <c r="R1266" s="159"/>
      <c r="S1266" s="160"/>
      <c r="T1266" s="161"/>
      <c r="U1266" s="156"/>
      <c r="V1266" s="162"/>
      <c r="W1266" s="163"/>
      <c r="X1266" s="164"/>
      <c r="Y1266" s="159"/>
      <c r="Z1266" s="161">
        <v>5</v>
      </c>
      <c r="AA1266" s="165"/>
      <c r="AE1266" s="155"/>
      <c r="AF1266" s="154" t="s">
        <v>4850</v>
      </c>
      <c r="AI1266" s="154" t="s">
        <v>4849</v>
      </c>
      <c r="AL1266" s="154" t="s">
        <v>619</v>
      </c>
      <c r="AM1266" s="154" t="s">
        <v>2426</v>
      </c>
      <c r="AP1266" s="155"/>
      <c r="AQ1266" s="156"/>
      <c r="AR1266" s="157"/>
      <c r="AS1266" s="158"/>
      <c r="AT1266" s="159"/>
      <c r="AU1266" s="161"/>
      <c r="AV1266" s="156"/>
      <c r="AW1266" s="162"/>
      <c r="AX1266" s="163"/>
      <c r="AY1266" s="164"/>
      <c r="AZ1266" s="159"/>
      <c r="BA1266" s="161"/>
      <c r="BB1266" s="165"/>
      <c r="BF1266" s="155"/>
      <c r="BG1266" s="154" t="s">
        <v>4938</v>
      </c>
    </row>
    <row r="1267" spans="1:59" s="154" customFormat="1" ht="15" customHeight="1">
      <c r="A1267" s="153" t="s">
        <v>4744</v>
      </c>
      <c r="B1267" s="153" t="s">
        <v>4851</v>
      </c>
      <c r="C1267" s="154" t="s">
        <v>4819</v>
      </c>
      <c r="D1267" s="170">
        <v>239</v>
      </c>
      <c r="E1267" s="154">
        <v>1</v>
      </c>
      <c r="F1267" s="154" t="s">
        <v>4745</v>
      </c>
      <c r="G1267" s="154" t="s">
        <v>2294</v>
      </c>
      <c r="J1267" s="154" t="s">
        <v>619</v>
      </c>
      <c r="K1267" s="154" t="s">
        <v>2426</v>
      </c>
      <c r="N1267" s="155"/>
      <c r="O1267" s="156"/>
      <c r="P1267" s="157"/>
      <c r="Q1267" s="158"/>
      <c r="R1267" s="159"/>
      <c r="S1267" s="160"/>
      <c r="T1267" s="161"/>
      <c r="U1267" s="156"/>
      <c r="V1267" s="162"/>
      <c r="W1267" s="163"/>
      <c r="X1267" s="164"/>
      <c r="Y1267" s="159"/>
      <c r="Z1267" s="161">
        <v>7</v>
      </c>
      <c r="AA1267" s="165"/>
      <c r="AE1267" s="155"/>
      <c r="AF1267" s="154" t="s">
        <v>4852</v>
      </c>
      <c r="AI1267" s="154" t="s">
        <v>2294</v>
      </c>
      <c r="AL1267" s="154" t="s">
        <v>619</v>
      </c>
      <c r="AM1267" s="154" t="s">
        <v>2426</v>
      </c>
      <c r="AP1267" s="155"/>
      <c r="AQ1267" s="156"/>
      <c r="AR1267" s="157"/>
      <c r="AS1267" s="158"/>
      <c r="AT1267" s="159"/>
      <c r="AU1267" s="161"/>
      <c r="AV1267" s="156"/>
      <c r="AW1267" s="162"/>
      <c r="AX1267" s="163"/>
      <c r="AY1267" s="164"/>
      <c r="AZ1267" s="159"/>
      <c r="BA1267" s="161"/>
      <c r="BB1267" s="165"/>
      <c r="BF1267" s="155"/>
      <c r="BG1267" s="154" t="s">
        <v>4939</v>
      </c>
    </row>
    <row r="1268" spans="1:59" s="154" customFormat="1" ht="15" customHeight="1">
      <c r="A1268" s="168" t="s">
        <v>4744</v>
      </c>
      <c r="B1268" s="153" t="s">
        <v>4853</v>
      </c>
      <c r="C1268" s="154" t="s">
        <v>4819</v>
      </c>
      <c r="D1268" s="170">
        <v>240</v>
      </c>
      <c r="E1268" s="154">
        <v>1</v>
      </c>
      <c r="F1268" s="154" t="s">
        <v>4745</v>
      </c>
      <c r="G1268" s="154" t="s">
        <v>4854</v>
      </c>
      <c r="J1268" s="154" t="s">
        <v>619</v>
      </c>
      <c r="K1268" s="154" t="s">
        <v>2426</v>
      </c>
      <c r="N1268" s="155"/>
      <c r="O1268" s="156"/>
      <c r="P1268" s="157"/>
      <c r="Q1268" s="158"/>
      <c r="R1268" s="159"/>
      <c r="S1268" s="160"/>
      <c r="T1268" s="161"/>
      <c r="U1268" s="156"/>
      <c r="V1268" s="162"/>
      <c r="W1268" s="163"/>
      <c r="X1268" s="164"/>
      <c r="Y1268" s="159"/>
      <c r="Z1268" s="161">
        <v>7</v>
      </c>
      <c r="AA1268" s="165"/>
      <c r="AE1268" s="155"/>
      <c r="AF1268" s="154" t="s">
        <v>4855</v>
      </c>
      <c r="AI1268" s="154" t="s">
        <v>4854</v>
      </c>
      <c r="AL1268" s="154" t="s">
        <v>619</v>
      </c>
      <c r="AM1268" s="154" t="s">
        <v>2426</v>
      </c>
      <c r="AP1268" s="155"/>
      <c r="AQ1268" s="156"/>
      <c r="AR1268" s="157"/>
      <c r="AS1268" s="158"/>
      <c r="AT1268" s="159"/>
      <c r="AU1268" s="161"/>
      <c r="AV1268" s="156"/>
      <c r="AW1268" s="162"/>
      <c r="AX1268" s="163"/>
      <c r="AY1268" s="164"/>
      <c r="AZ1268" s="159"/>
      <c r="BA1268" s="161"/>
      <c r="BB1268" s="165"/>
      <c r="BF1268" s="155"/>
      <c r="BG1268" s="154" t="s">
        <v>4940</v>
      </c>
    </row>
    <row r="1269" spans="1:59" s="154" customFormat="1" ht="15" customHeight="1">
      <c r="A1269" s="168" t="s">
        <v>4744</v>
      </c>
      <c r="B1269" s="169" t="s">
        <v>4856</v>
      </c>
      <c r="C1269" s="154" t="s">
        <v>4819</v>
      </c>
      <c r="D1269" s="170">
        <v>241</v>
      </c>
      <c r="E1269" s="154">
        <v>1</v>
      </c>
      <c r="F1269" s="154" t="s">
        <v>4745</v>
      </c>
      <c r="G1269" s="154" t="s">
        <v>4857</v>
      </c>
      <c r="J1269" s="154" t="s">
        <v>621</v>
      </c>
      <c r="K1269" s="154" t="s">
        <v>2426</v>
      </c>
      <c r="N1269" s="155"/>
      <c r="O1269" s="156"/>
      <c r="P1269" s="157"/>
      <c r="Q1269" s="158"/>
      <c r="R1269" s="159"/>
      <c r="S1269" s="160"/>
      <c r="T1269" s="161"/>
      <c r="U1269" s="156"/>
      <c r="V1269" s="162"/>
      <c r="W1269" s="163"/>
      <c r="X1269" s="164"/>
      <c r="Y1269" s="159" t="s">
        <v>1111</v>
      </c>
      <c r="Z1269" s="161"/>
      <c r="AA1269" s="165"/>
      <c r="AE1269" s="155"/>
      <c r="AF1269" s="154" t="s">
        <v>4858</v>
      </c>
      <c r="AI1269" s="154" t="s">
        <v>4857</v>
      </c>
      <c r="AL1269" s="154" t="s">
        <v>621</v>
      </c>
      <c r="AM1269" s="154" t="s">
        <v>2426</v>
      </c>
      <c r="AP1269" s="155"/>
      <c r="AQ1269" s="156"/>
      <c r="AR1269" s="157"/>
      <c r="AS1269" s="158"/>
      <c r="AT1269" s="159"/>
      <c r="AU1269" s="161"/>
      <c r="AV1269" s="156"/>
      <c r="AW1269" s="162"/>
      <c r="AX1269" s="163"/>
      <c r="AY1269" s="164"/>
      <c r="AZ1269" s="159"/>
      <c r="BA1269" s="161"/>
      <c r="BB1269" s="165"/>
      <c r="BF1269" s="155"/>
      <c r="BG1269" s="154" t="s">
        <v>4941</v>
      </c>
    </row>
    <row r="1270" spans="1:59" s="154" customFormat="1" ht="15" customHeight="1">
      <c r="A1270" s="153" t="s">
        <v>4744</v>
      </c>
      <c r="B1270" s="153" t="s">
        <v>4859</v>
      </c>
      <c r="C1270" s="154" t="s">
        <v>4819</v>
      </c>
      <c r="D1270" s="155">
        <v>242</v>
      </c>
      <c r="E1270" s="154">
        <v>1</v>
      </c>
      <c r="F1270" s="154" t="s">
        <v>4745</v>
      </c>
      <c r="G1270" s="154" t="s">
        <v>1750</v>
      </c>
      <c r="J1270" s="154" t="s">
        <v>621</v>
      </c>
      <c r="K1270" s="154" t="s">
        <v>2426</v>
      </c>
      <c r="N1270" s="155"/>
      <c r="O1270" s="156"/>
      <c r="P1270" s="157"/>
      <c r="Q1270" s="158"/>
      <c r="R1270" s="159"/>
      <c r="S1270" s="160"/>
      <c r="T1270" s="161"/>
      <c r="U1270" s="156"/>
      <c r="V1270" s="162"/>
      <c r="W1270" s="163"/>
      <c r="X1270" s="164"/>
      <c r="Y1270" s="159">
        <v>0</v>
      </c>
      <c r="Z1270" s="161"/>
      <c r="AA1270" s="165"/>
      <c r="AE1270" s="155"/>
      <c r="AF1270" s="154" t="s">
        <v>4942</v>
      </c>
      <c r="AI1270" s="154" t="s">
        <v>1750</v>
      </c>
      <c r="AL1270" s="154" t="s">
        <v>621</v>
      </c>
      <c r="AM1270" s="154" t="s">
        <v>2426</v>
      </c>
      <c r="AP1270" s="155"/>
      <c r="AQ1270" s="156"/>
      <c r="AR1270" s="157"/>
      <c r="AS1270" s="158"/>
      <c r="AT1270" s="159"/>
      <c r="AU1270" s="161"/>
      <c r="AV1270" s="156"/>
      <c r="AW1270" s="162"/>
      <c r="AX1270" s="163"/>
      <c r="AY1270" s="164"/>
      <c r="AZ1270" s="159"/>
      <c r="BA1270" s="161"/>
      <c r="BB1270" s="165"/>
      <c r="BF1270" s="155"/>
      <c r="BG1270" s="154" t="s">
        <v>4943</v>
      </c>
    </row>
    <row r="1271" spans="1:59" s="154" customFormat="1" ht="15" customHeight="1">
      <c r="A1271" s="168" t="s">
        <v>4744</v>
      </c>
      <c r="B1271" s="153" t="s">
        <v>4860</v>
      </c>
      <c r="C1271" s="154" t="s">
        <v>4819</v>
      </c>
      <c r="D1271" s="155">
        <v>243</v>
      </c>
      <c r="E1271" s="154">
        <v>1</v>
      </c>
      <c r="F1271" s="154" t="s">
        <v>4745</v>
      </c>
      <c r="G1271" s="154" t="s">
        <v>4861</v>
      </c>
      <c r="J1271" s="154" t="s">
        <v>621</v>
      </c>
      <c r="K1271" s="154" t="s">
        <v>2426</v>
      </c>
      <c r="N1271" s="155"/>
      <c r="O1271" s="156"/>
      <c r="P1271" s="157"/>
      <c r="Q1271" s="158"/>
      <c r="R1271" s="159"/>
      <c r="S1271" s="160"/>
      <c r="T1271" s="161"/>
      <c r="U1271" s="156"/>
      <c r="V1271" s="162"/>
      <c r="W1271" s="163"/>
      <c r="X1271" s="164"/>
      <c r="Y1271" s="159">
        <v>0</v>
      </c>
      <c r="Z1271" s="161"/>
      <c r="AA1271" s="165"/>
      <c r="AE1271" s="155"/>
      <c r="AF1271" s="154" t="s">
        <v>4944</v>
      </c>
      <c r="AI1271" s="154" t="s">
        <v>4861</v>
      </c>
      <c r="AL1271" s="154" t="s">
        <v>621</v>
      </c>
      <c r="AM1271" s="154" t="s">
        <v>2426</v>
      </c>
      <c r="AP1271" s="155"/>
      <c r="AQ1271" s="156"/>
      <c r="AR1271" s="157"/>
      <c r="AS1271" s="158"/>
      <c r="AT1271" s="159"/>
      <c r="AU1271" s="161"/>
      <c r="AV1271" s="156"/>
      <c r="AW1271" s="162"/>
      <c r="AX1271" s="163"/>
      <c r="AY1271" s="164"/>
      <c r="AZ1271" s="159"/>
      <c r="BA1271" s="161"/>
      <c r="BB1271" s="165"/>
      <c r="BF1271" s="155"/>
      <c r="BG1271" s="154" t="s">
        <v>4945</v>
      </c>
    </row>
    <row r="1272" spans="1:59" s="154" customFormat="1" ht="15" customHeight="1">
      <c r="A1272" s="168" t="s">
        <v>4744</v>
      </c>
      <c r="B1272" s="153" t="s">
        <v>4862</v>
      </c>
      <c r="C1272" s="154" t="s">
        <v>4819</v>
      </c>
      <c r="D1272" s="155">
        <v>244</v>
      </c>
      <c r="E1272" s="154">
        <v>4</v>
      </c>
      <c r="F1272" s="154" t="s">
        <v>4745</v>
      </c>
      <c r="G1272" s="154" t="s">
        <v>4863</v>
      </c>
      <c r="J1272" s="154" t="s">
        <v>203</v>
      </c>
      <c r="K1272" s="154" t="s">
        <v>2426</v>
      </c>
      <c r="N1272" s="155"/>
      <c r="O1272" s="156">
        <v>2</v>
      </c>
      <c r="P1272" s="157">
        <v>2</v>
      </c>
      <c r="Q1272" s="158">
        <v>2</v>
      </c>
      <c r="R1272" s="159">
        <v>2</v>
      </c>
      <c r="S1272" s="160"/>
      <c r="T1272" s="161">
        <v>7</v>
      </c>
      <c r="U1272" s="156">
        <v>7</v>
      </c>
      <c r="V1272" s="162"/>
      <c r="W1272" s="163"/>
      <c r="X1272" s="164"/>
      <c r="Y1272" s="159"/>
      <c r="Z1272" s="161"/>
      <c r="AA1272" s="165"/>
      <c r="AD1272" s="154" t="s">
        <v>490</v>
      </c>
      <c r="AE1272" s="155"/>
      <c r="AF1272" s="154" t="s">
        <v>4864</v>
      </c>
      <c r="AI1272" s="154" t="s">
        <v>4863</v>
      </c>
      <c r="AL1272" s="154" t="s">
        <v>203</v>
      </c>
      <c r="AM1272" s="154" t="s">
        <v>2426</v>
      </c>
      <c r="AP1272" s="155"/>
      <c r="AQ1272" s="156"/>
      <c r="AR1272" s="157"/>
      <c r="AS1272" s="158"/>
      <c r="AT1272" s="159"/>
      <c r="AU1272" s="161"/>
      <c r="AV1272" s="156"/>
      <c r="AW1272" s="162"/>
      <c r="AX1272" s="163"/>
      <c r="AY1272" s="164"/>
      <c r="AZ1272" s="159"/>
      <c r="BA1272" s="161"/>
      <c r="BB1272" s="165"/>
      <c r="BE1272" s="154" t="s">
        <v>490</v>
      </c>
      <c r="BF1272" s="155"/>
      <c r="BG1272" s="154" t="s">
        <v>4946</v>
      </c>
    </row>
    <row r="1273" spans="1:59" s="154" customFormat="1" ht="15" customHeight="1">
      <c r="A1273" s="153" t="s">
        <v>4744</v>
      </c>
      <c r="B1273" s="153" t="s">
        <v>4865</v>
      </c>
      <c r="C1273" s="154" t="s">
        <v>4819</v>
      </c>
      <c r="D1273" s="155">
        <v>245</v>
      </c>
      <c r="E1273" s="154">
        <v>1</v>
      </c>
      <c r="F1273" s="154" t="s">
        <v>4745</v>
      </c>
      <c r="G1273" s="154" t="s">
        <v>4866</v>
      </c>
      <c r="J1273" s="154" t="s">
        <v>31</v>
      </c>
      <c r="K1273" s="154" t="s">
        <v>2426</v>
      </c>
      <c r="N1273" s="155"/>
      <c r="O1273" s="156"/>
      <c r="P1273" s="157"/>
      <c r="Q1273" s="158"/>
      <c r="R1273" s="159"/>
      <c r="S1273" s="160"/>
      <c r="T1273" s="161"/>
      <c r="U1273" s="156"/>
      <c r="V1273" s="162"/>
      <c r="W1273" s="163"/>
      <c r="X1273" s="164"/>
      <c r="Y1273" s="159"/>
      <c r="Z1273" s="161"/>
      <c r="AA1273" s="165"/>
      <c r="AD1273" s="154" t="s">
        <v>4867</v>
      </c>
      <c r="AE1273" s="155"/>
      <c r="AI1273" s="154" t="s">
        <v>4866</v>
      </c>
      <c r="AL1273" s="154" t="s">
        <v>31</v>
      </c>
      <c r="AM1273" s="154" t="s">
        <v>2426</v>
      </c>
      <c r="AP1273" s="155"/>
      <c r="AQ1273" s="156"/>
      <c r="AR1273" s="157"/>
      <c r="AS1273" s="158"/>
      <c r="AT1273" s="159"/>
      <c r="AU1273" s="161"/>
      <c r="AV1273" s="156"/>
      <c r="AW1273" s="162"/>
      <c r="AX1273" s="163"/>
      <c r="AY1273" s="164"/>
      <c r="AZ1273" s="159">
        <v>0</v>
      </c>
      <c r="BA1273" s="161"/>
      <c r="BB1273" s="165"/>
      <c r="BE1273" s="154" t="s">
        <v>4867</v>
      </c>
      <c r="BF1273" s="155"/>
      <c r="BG1273" s="154" t="s">
        <v>4868</v>
      </c>
    </row>
    <row r="1274" spans="1:59" s="154" customFormat="1" ht="15" customHeight="1">
      <c r="A1274" s="168" t="s">
        <v>4744</v>
      </c>
      <c r="B1274" s="153" t="s">
        <v>4869</v>
      </c>
      <c r="C1274" s="154" t="s">
        <v>4819</v>
      </c>
      <c r="D1274" s="155">
        <v>246</v>
      </c>
      <c r="E1274" s="154">
        <v>1</v>
      </c>
      <c r="F1274" s="154" t="s">
        <v>4745</v>
      </c>
      <c r="G1274" s="154" t="s">
        <v>4866</v>
      </c>
      <c r="J1274" s="154" t="s">
        <v>31</v>
      </c>
      <c r="K1274" s="154" t="s">
        <v>2426</v>
      </c>
      <c r="N1274" s="155"/>
      <c r="O1274" s="156"/>
      <c r="P1274" s="157"/>
      <c r="Q1274" s="158"/>
      <c r="R1274" s="159"/>
      <c r="S1274" s="160"/>
      <c r="T1274" s="161"/>
      <c r="U1274" s="156"/>
      <c r="V1274" s="162"/>
      <c r="W1274" s="163"/>
      <c r="X1274" s="164"/>
      <c r="Y1274" s="159"/>
      <c r="Z1274" s="161"/>
      <c r="AA1274" s="165"/>
      <c r="AD1274" s="154" t="s">
        <v>4867</v>
      </c>
      <c r="AE1274" s="155"/>
      <c r="AI1274" s="154" t="s">
        <v>4866</v>
      </c>
      <c r="AJ1274" s="171"/>
      <c r="AL1274" s="154" t="s">
        <v>31</v>
      </c>
      <c r="AM1274" s="154" t="s">
        <v>2426</v>
      </c>
      <c r="AP1274" s="155"/>
      <c r="AQ1274" s="156"/>
      <c r="AR1274" s="157"/>
      <c r="AS1274" s="158"/>
      <c r="AT1274" s="159"/>
      <c r="AU1274" s="161"/>
      <c r="AV1274" s="156"/>
      <c r="AW1274" s="162"/>
      <c r="AX1274" s="163"/>
      <c r="AY1274" s="164"/>
      <c r="AZ1274" s="159" t="s">
        <v>1073</v>
      </c>
      <c r="BA1274" s="161"/>
      <c r="BB1274" s="165">
        <v>1</v>
      </c>
      <c r="BE1274" s="154" t="s">
        <v>4867</v>
      </c>
      <c r="BF1274" s="155"/>
      <c r="BG1274" s="154" t="s">
        <v>4870</v>
      </c>
    </row>
    <row r="1275" spans="1:59" s="154" customFormat="1" ht="15" customHeight="1">
      <c r="A1275" s="168" t="s">
        <v>4744</v>
      </c>
      <c r="B1275" s="153" t="s">
        <v>4871</v>
      </c>
      <c r="C1275" s="154" t="s">
        <v>4819</v>
      </c>
      <c r="D1275" s="155">
        <v>247</v>
      </c>
      <c r="E1275" s="154">
        <v>1</v>
      </c>
      <c r="F1275" s="154" t="s">
        <v>4745</v>
      </c>
      <c r="G1275" s="154" t="s">
        <v>4866</v>
      </c>
      <c r="J1275" s="154" t="s">
        <v>31</v>
      </c>
      <c r="K1275" s="154" t="s">
        <v>2426</v>
      </c>
      <c r="N1275" s="155"/>
      <c r="O1275" s="156"/>
      <c r="P1275" s="157"/>
      <c r="Q1275" s="158"/>
      <c r="R1275" s="159"/>
      <c r="S1275" s="160"/>
      <c r="T1275" s="161"/>
      <c r="U1275" s="156"/>
      <c r="V1275" s="162"/>
      <c r="W1275" s="163"/>
      <c r="X1275" s="164"/>
      <c r="Y1275" s="159"/>
      <c r="Z1275" s="161"/>
      <c r="AA1275" s="165"/>
      <c r="AD1275" s="154" t="s">
        <v>4867</v>
      </c>
      <c r="AE1275" s="155"/>
      <c r="AI1275" s="154" t="s">
        <v>4866</v>
      </c>
      <c r="AL1275" s="154" t="s">
        <v>31</v>
      </c>
      <c r="AM1275" s="154" t="s">
        <v>2426</v>
      </c>
      <c r="AP1275" s="155"/>
      <c r="AQ1275" s="156"/>
      <c r="AR1275" s="157"/>
      <c r="AS1275" s="158"/>
      <c r="AT1275" s="159"/>
      <c r="AU1275" s="161"/>
      <c r="AV1275" s="156"/>
      <c r="AW1275" s="162"/>
      <c r="AX1275" s="163"/>
      <c r="AY1275" s="164"/>
      <c r="AZ1275" s="159" t="s">
        <v>1073</v>
      </c>
      <c r="BA1275" s="161"/>
      <c r="BB1275" s="165">
        <v>1</v>
      </c>
      <c r="BE1275" s="154" t="s">
        <v>4867</v>
      </c>
      <c r="BF1275" s="155"/>
      <c r="BG1275" s="154" t="s">
        <v>4872</v>
      </c>
    </row>
    <row r="1276" spans="1:59" s="154" customFormat="1" ht="15" customHeight="1">
      <c r="A1276" s="153" t="s">
        <v>4744</v>
      </c>
      <c r="B1276" s="153" t="s">
        <v>4873</v>
      </c>
      <c r="C1276" s="154" t="s">
        <v>4819</v>
      </c>
      <c r="D1276" s="155">
        <v>248</v>
      </c>
      <c r="E1276" s="154">
        <v>1</v>
      </c>
      <c r="F1276" s="154" t="s">
        <v>4745</v>
      </c>
      <c r="G1276" s="154" t="s">
        <v>4874</v>
      </c>
      <c r="J1276" s="154" t="s">
        <v>31</v>
      </c>
      <c r="K1276" s="154" t="s">
        <v>2426</v>
      </c>
      <c r="N1276" s="155"/>
      <c r="O1276" s="156"/>
      <c r="P1276" s="157"/>
      <c r="Q1276" s="158"/>
      <c r="R1276" s="159"/>
      <c r="S1276" s="160"/>
      <c r="T1276" s="161"/>
      <c r="U1276" s="156"/>
      <c r="V1276" s="162"/>
      <c r="W1276" s="163"/>
      <c r="X1276" s="164"/>
      <c r="Y1276" s="159"/>
      <c r="Z1276" s="161"/>
      <c r="AA1276" s="165"/>
      <c r="AD1276" s="154" t="s">
        <v>4867</v>
      </c>
      <c r="AE1276" s="155"/>
      <c r="AI1276" s="154" t="s">
        <v>4874</v>
      </c>
      <c r="AJ1276" s="154" t="s">
        <v>4875</v>
      </c>
      <c r="AL1276" s="154" t="s">
        <v>31</v>
      </c>
      <c r="AM1276" s="154" t="s">
        <v>2426</v>
      </c>
      <c r="AP1276" s="155"/>
      <c r="AQ1276" s="156"/>
      <c r="AR1276" s="157"/>
      <c r="AS1276" s="158"/>
      <c r="AT1276" s="159"/>
      <c r="AU1276" s="161"/>
      <c r="AV1276" s="156"/>
      <c r="AW1276" s="162"/>
      <c r="AX1276" s="163"/>
      <c r="AY1276" s="164"/>
      <c r="AZ1276" s="159" t="s">
        <v>1073</v>
      </c>
      <c r="BA1276" s="161"/>
      <c r="BB1276" s="165"/>
      <c r="BE1276" s="154" t="s">
        <v>4867</v>
      </c>
      <c r="BF1276" s="155"/>
      <c r="BG1276" s="154" t="s">
        <v>4876</v>
      </c>
    </row>
    <row r="1277" spans="1:59" s="154" customFormat="1" ht="15" customHeight="1">
      <c r="A1277" s="168" t="s">
        <v>4744</v>
      </c>
      <c r="B1277" s="153" t="s">
        <v>4877</v>
      </c>
      <c r="C1277" s="154" t="s">
        <v>4819</v>
      </c>
      <c r="D1277" s="155">
        <v>249</v>
      </c>
      <c r="E1277" s="154">
        <v>1</v>
      </c>
      <c r="F1277" s="154" t="s">
        <v>4745</v>
      </c>
      <c r="G1277" s="154" t="s">
        <v>4874</v>
      </c>
      <c r="J1277" s="154" t="s">
        <v>31</v>
      </c>
      <c r="K1277" s="154" t="s">
        <v>2426</v>
      </c>
      <c r="N1277" s="155"/>
      <c r="O1277" s="156"/>
      <c r="P1277" s="157"/>
      <c r="Q1277" s="158"/>
      <c r="R1277" s="159"/>
      <c r="S1277" s="160"/>
      <c r="T1277" s="161"/>
      <c r="U1277" s="156"/>
      <c r="V1277" s="162"/>
      <c r="W1277" s="163"/>
      <c r="X1277" s="164"/>
      <c r="Y1277" s="159"/>
      <c r="Z1277" s="161"/>
      <c r="AA1277" s="165"/>
      <c r="AD1277" s="154" t="s">
        <v>4867</v>
      </c>
      <c r="AE1277" s="155"/>
      <c r="AI1277" s="154" t="s">
        <v>4874</v>
      </c>
      <c r="AJ1277" s="154" t="s">
        <v>4878</v>
      </c>
      <c r="AL1277" s="154" t="s">
        <v>31</v>
      </c>
      <c r="AM1277" s="154" t="s">
        <v>2426</v>
      </c>
      <c r="AP1277" s="155"/>
      <c r="AQ1277" s="156"/>
      <c r="AR1277" s="157"/>
      <c r="AS1277" s="158"/>
      <c r="AT1277" s="159"/>
      <c r="AU1277" s="161"/>
      <c r="AV1277" s="156"/>
      <c r="AW1277" s="162"/>
      <c r="AX1277" s="163"/>
      <c r="AY1277" s="164"/>
      <c r="AZ1277" s="159" t="s">
        <v>1073</v>
      </c>
      <c r="BA1277" s="161"/>
      <c r="BB1277" s="165"/>
      <c r="BE1277" s="154" t="s">
        <v>4867</v>
      </c>
      <c r="BF1277" s="155"/>
      <c r="BG1277" s="154" t="s">
        <v>4876</v>
      </c>
    </row>
    <row r="1278" spans="1:59" s="154" customFormat="1" ht="15" customHeight="1">
      <c r="A1278" s="168" t="s">
        <v>4744</v>
      </c>
      <c r="B1278" s="153" t="s">
        <v>4879</v>
      </c>
      <c r="C1278" s="154" t="s">
        <v>4819</v>
      </c>
      <c r="D1278" s="155">
        <v>250</v>
      </c>
      <c r="E1278" s="154">
        <v>1</v>
      </c>
      <c r="F1278" s="154" t="s">
        <v>4745</v>
      </c>
      <c r="G1278" s="154" t="s">
        <v>4874</v>
      </c>
      <c r="J1278" s="154" t="s">
        <v>31</v>
      </c>
      <c r="K1278" s="154" t="s">
        <v>2426</v>
      </c>
      <c r="N1278" s="155"/>
      <c r="O1278" s="156"/>
      <c r="P1278" s="157"/>
      <c r="Q1278" s="158"/>
      <c r="R1278" s="159"/>
      <c r="S1278" s="160"/>
      <c r="T1278" s="161"/>
      <c r="U1278" s="156"/>
      <c r="V1278" s="162"/>
      <c r="W1278" s="163"/>
      <c r="X1278" s="164"/>
      <c r="Y1278" s="159"/>
      <c r="Z1278" s="161"/>
      <c r="AA1278" s="165"/>
      <c r="AD1278" s="154" t="s">
        <v>4867</v>
      </c>
      <c r="AE1278" s="155"/>
      <c r="AI1278" s="154" t="s">
        <v>4874</v>
      </c>
      <c r="AJ1278" s="154" t="s">
        <v>4880</v>
      </c>
      <c r="AL1278" s="154" t="s">
        <v>31</v>
      </c>
      <c r="AM1278" s="154" t="s">
        <v>2426</v>
      </c>
      <c r="AP1278" s="155"/>
      <c r="AQ1278" s="156"/>
      <c r="AR1278" s="157"/>
      <c r="AS1278" s="158"/>
      <c r="AT1278" s="159"/>
      <c r="AU1278" s="161"/>
      <c r="AV1278" s="156"/>
      <c r="AW1278" s="162"/>
      <c r="AX1278" s="163"/>
      <c r="AY1278" s="164"/>
      <c r="AZ1278" s="159" t="s">
        <v>1073</v>
      </c>
      <c r="BA1278" s="161"/>
      <c r="BB1278" s="165"/>
      <c r="BE1278" s="154" t="s">
        <v>4867</v>
      </c>
      <c r="BF1278" s="155"/>
      <c r="BG1278" s="154" t="s">
        <v>4876</v>
      </c>
    </row>
    <row r="1279" spans="1:59" s="154" customFormat="1" ht="15" customHeight="1">
      <c r="A1279" s="153" t="s">
        <v>4744</v>
      </c>
      <c r="B1279" s="23" t="s">
        <v>4881</v>
      </c>
      <c r="C1279" s="154" t="s">
        <v>4819</v>
      </c>
      <c r="D1279" s="155">
        <v>251</v>
      </c>
      <c r="E1279" s="154">
        <v>1</v>
      </c>
      <c r="F1279" s="154" t="s">
        <v>4745</v>
      </c>
      <c r="G1279" s="154" t="s">
        <v>4882</v>
      </c>
      <c r="J1279" s="154" t="s">
        <v>31</v>
      </c>
      <c r="K1279" s="154" t="s">
        <v>2426</v>
      </c>
      <c r="N1279" s="155"/>
      <c r="O1279" s="156"/>
      <c r="P1279" s="157"/>
      <c r="Q1279" s="158"/>
      <c r="R1279" s="159"/>
      <c r="S1279" s="160"/>
      <c r="T1279" s="161"/>
      <c r="U1279" s="156"/>
      <c r="V1279" s="162"/>
      <c r="W1279" s="163"/>
      <c r="X1279" s="164"/>
      <c r="Y1279" s="159"/>
      <c r="Z1279" s="161"/>
      <c r="AA1279" s="165"/>
      <c r="AD1279" s="154" t="s">
        <v>4867</v>
      </c>
      <c r="AE1279" s="155"/>
      <c r="AI1279" s="154" t="s">
        <v>4882</v>
      </c>
      <c r="AL1279" s="154" t="s">
        <v>31</v>
      </c>
      <c r="AM1279" s="154" t="s">
        <v>2426</v>
      </c>
      <c r="AP1279" s="155"/>
      <c r="AQ1279" s="156"/>
      <c r="AR1279" s="157"/>
      <c r="AS1279" s="158"/>
      <c r="AT1279" s="159"/>
      <c r="AU1279" s="161"/>
      <c r="AV1279" s="156"/>
      <c r="AW1279" s="162"/>
      <c r="AX1279" s="163"/>
      <c r="AY1279" s="164"/>
      <c r="AZ1279" s="159" t="s">
        <v>4883</v>
      </c>
      <c r="BA1279" s="161"/>
      <c r="BB1279" s="165"/>
      <c r="BE1279" s="154" t="s">
        <v>4867</v>
      </c>
      <c r="BF1279" s="155"/>
      <c r="BG1279" s="154" t="s">
        <v>4884</v>
      </c>
    </row>
    <row r="1280" spans="1:59" s="154" customFormat="1" ht="15" customHeight="1">
      <c r="A1280" s="168" t="s">
        <v>4744</v>
      </c>
      <c r="B1280" s="23" t="s">
        <v>4885</v>
      </c>
      <c r="C1280" s="154" t="s">
        <v>4819</v>
      </c>
      <c r="D1280" s="155">
        <v>252</v>
      </c>
      <c r="E1280" s="154">
        <v>1</v>
      </c>
      <c r="F1280" s="154" t="s">
        <v>4745</v>
      </c>
      <c r="G1280" s="154" t="s">
        <v>4886</v>
      </c>
      <c r="J1280" s="154" t="s">
        <v>31</v>
      </c>
      <c r="K1280" s="154" t="s">
        <v>2426</v>
      </c>
      <c r="N1280" s="155"/>
      <c r="O1280" s="156"/>
      <c r="P1280" s="157"/>
      <c r="Q1280" s="158"/>
      <c r="R1280" s="159"/>
      <c r="S1280" s="160"/>
      <c r="T1280" s="161"/>
      <c r="U1280" s="156"/>
      <c r="V1280" s="162"/>
      <c r="W1280" s="163"/>
      <c r="X1280" s="164"/>
      <c r="Y1280" s="159"/>
      <c r="Z1280" s="161"/>
      <c r="AA1280" s="165"/>
      <c r="AD1280" s="154" t="s">
        <v>4867</v>
      </c>
      <c r="AE1280" s="155"/>
      <c r="AI1280" s="154" t="s">
        <v>4886</v>
      </c>
      <c r="AL1280" s="154" t="s">
        <v>31</v>
      </c>
      <c r="AM1280" s="154" t="s">
        <v>2426</v>
      </c>
      <c r="AP1280" s="155"/>
      <c r="AQ1280" s="156"/>
      <c r="AR1280" s="157"/>
      <c r="AS1280" s="158"/>
      <c r="AT1280" s="159"/>
      <c r="AU1280" s="161"/>
      <c r="AV1280" s="156"/>
      <c r="AW1280" s="162"/>
      <c r="AX1280" s="163"/>
      <c r="AY1280" s="164"/>
      <c r="AZ1280" s="159" t="s">
        <v>1073</v>
      </c>
      <c r="BA1280" s="161"/>
      <c r="BB1280" s="165">
        <v>1</v>
      </c>
      <c r="BE1280" s="154" t="s">
        <v>4867</v>
      </c>
      <c r="BF1280" s="155"/>
      <c r="BG1280" s="154" t="s">
        <v>4887</v>
      </c>
    </row>
    <row r="1281" spans="1:59" s="154" customFormat="1" ht="15" customHeight="1">
      <c r="A1281" s="168" t="s">
        <v>4744</v>
      </c>
      <c r="B1281" s="23" t="s">
        <v>4888</v>
      </c>
      <c r="C1281" s="154" t="s">
        <v>4819</v>
      </c>
      <c r="D1281" s="155">
        <v>253</v>
      </c>
      <c r="E1281" s="154">
        <v>1</v>
      </c>
      <c r="F1281" s="154" t="s">
        <v>4745</v>
      </c>
      <c r="G1281" s="154" t="s">
        <v>4889</v>
      </c>
      <c r="J1281" s="154" t="s">
        <v>31</v>
      </c>
      <c r="K1281" s="154" t="s">
        <v>2426</v>
      </c>
      <c r="N1281" s="155"/>
      <c r="O1281" s="156"/>
      <c r="P1281" s="157"/>
      <c r="Q1281" s="158"/>
      <c r="R1281" s="159"/>
      <c r="S1281" s="160"/>
      <c r="T1281" s="161"/>
      <c r="U1281" s="156"/>
      <c r="V1281" s="162"/>
      <c r="W1281" s="163"/>
      <c r="X1281" s="164"/>
      <c r="Y1281" s="159"/>
      <c r="Z1281" s="161"/>
      <c r="AA1281" s="165"/>
      <c r="AD1281" s="154" t="s">
        <v>4867</v>
      </c>
      <c r="AE1281" s="155"/>
      <c r="AI1281" s="154" t="s">
        <v>4889</v>
      </c>
      <c r="AL1281" s="154" t="s">
        <v>31</v>
      </c>
      <c r="AM1281" s="154" t="s">
        <v>2426</v>
      </c>
      <c r="AP1281" s="155"/>
      <c r="AQ1281" s="156"/>
      <c r="AR1281" s="157"/>
      <c r="AS1281" s="158"/>
      <c r="AT1281" s="159"/>
      <c r="AU1281" s="161"/>
      <c r="AV1281" s="156"/>
      <c r="AW1281" s="162"/>
      <c r="AX1281" s="163"/>
      <c r="AY1281" s="164"/>
      <c r="AZ1281" s="159" t="s">
        <v>1073</v>
      </c>
      <c r="BA1281" s="161"/>
      <c r="BB1281" s="165"/>
      <c r="BE1281" s="154" t="s">
        <v>4867</v>
      </c>
      <c r="BF1281" s="155"/>
      <c r="BG1281" s="154" t="s">
        <v>4890</v>
      </c>
    </row>
    <row r="1282" spans="1:59" s="154" customFormat="1" ht="15" customHeight="1">
      <c r="A1282" s="153" t="s">
        <v>4744</v>
      </c>
      <c r="B1282" s="23" t="s">
        <v>4891</v>
      </c>
      <c r="C1282" s="154" t="s">
        <v>4819</v>
      </c>
      <c r="D1282" s="155">
        <v>254</v>
      </c>
      <c r="E1282" s="154">
        <v>1</v>
      </c>
      <c r="F1282" s="154" t="s">
        <v>4745</v>
      </c>
      <c r="G1282" s="154" t="s">
        <v>4892</v>
      </c>
      <c r="J1282" s="154" t="s">
        <v>31</v>
      </c>
      <c r="K1282" s="154" t="s">
        <v>2426</v>
      </c>
      <c r="N1282" s="155"/>
      <c r="O1282" s="156"/>
      <c r="P1282" s="157"/>
      <c r="Q1282" s="158"/>
      <c r="R1282" s="159"/>
      <c r="S1282" s="160"/>
      <c r="T1282" s="161"/>
      <c r="U1282" s="156"/>
      <c r="V1282" s="162"/>
      <c r="W1282" s="163"/>
      <c r="X1282" s="164"/>
      <c r="Y1282" s="159"/>
      <c r="Z1282" s="161"/>
      <c r="AA1282" s="165"/>
      <c r="AD1282" s="154" t="s">
        <v>4867</v>
      </c>
      <c r="AE1282" s="155"/>
      <c r="AI1282" s="154" t="s">
        <v>4892</v>
      </c>
      <c r="AL1282" s="154" t="s">
        <v>31</v>
      </c>
      <c r="AM1282" s="154" t="s">
        <v>2426</v>
      </c>
      <c r="AP1282" s="155"/>
      <c r="AQ1282" s="156"/>
      <c r="AR1282" s="157"/>
      <c r="AS1282" s="158"/>
      <c r="AT1282" s="159"/>
      <c r="AU1282" s="161"/>
      <c r="AV1282" s="156"/>
      <c r="AW1282" s="162"/>
      <c r="AX1282" s="163"/>
      <c r="AY1282" s="164"/>
      <c r="AZ1282" s="159" t="s">
        <v>1073</v>
      </c>
      <c r="BA1282" s="161"/>
      <c r="BB1282" s="165">
        <v>1</v>
      </c>
      <c r="BE1282" s="154" t="s">
        <v>4867</v>
      </c>
      <c r="BF1282" s="155"/>
      <c r="BG1282" s="154" t="s">
        <v>4893</v>
      </c>
    </row>
    <row r="1283" spans="1:59" s="154" customFormat="1" ht="15" customHeight="1">
      <c r="A1283" s="168" t="s">
        <v>4744</v>
      </c>
      <c r="B1283" s="23" t="s">
        <v>4894</v>
      </c>
      <c r="C1283" s="154" t="s">
        <v>4819</v>
      </c>
      <c r="D1283" s="155">
        <v>255</v>
      </c>
      <c r="E1283" s="154">
        <v>1</v>
      </c>
      <c r="F1283" s="154" t="s">
        <v>4745</v>
      </c>
      <c r="G1283" s="154" t="s">
        <v>4895</v>
      </c>
      <c r="J1283" s="154" t="s">
        <v>31</v>
      </c>
      <c r="K1283" s="154" t="s">
        <v>2426</v>
      </c>
      <c r="N1283" s="155"/>
      <c r="O1283" s="156"/>
      <c r="P1283" s="157"/>
      <c r="Q1283" s="158"/>
      <c r="R1283" s="159"/>
      <c r="S1283" s="160"/>
      <c r="T1283" s="161"/>
      <c r="U1283" s="156"/>
      <c r="V1283" s="162"/>
      <c r="W1283" s="163"/>
      <c r="X1283" s="164"/>
      <c r="Y1283" s="159"/>
      <c r="Z1283" s="161"/>
      <c r="AA1283" s="165"/>
      <c r="AD1283" s="154" t="s">
        <v>4867</v>
      </c>
      <c r="AE1283" s="155"/>
      <c r="AI1283" s="154" t="s">
        <v>4895</v>
      </c>
      <c r="AL1283" s="154" t="s">
        <v>31</v>
      </c>
      <c r="AM1283" s="154" t="s">
        <v>2426</v>
      </c>
      <c r="AP1283" s="155"/>
      <c r="AQ1283" s="156"/>
      <c r="AR1283" s="157"/>
      <c r="AS1283" s="158"/>
      <c r="AT1283" s="159"/>
      <c r="AU1283" s="161"/>
      <c r="AV1283" s="156"/>
      <c r="AW1283" s="162"/>
      <c r="AX1283" s="163"/>
      <c r="AY1283" s="164"/>
      <c r="AZ1283" s="159" t="s">
        <v>1111</v>
      </c>
      <c r="BA1283" s="161"/>
      <c r="BB1283" s="165">
        <v>2</v>
      </c>
      <c r="BE1283" s="154" t="s">
        <v>4867</v>
      </c>
      <c r="BF1283" s="155"/>
      <c r="BG1283" s="154" t="s">
        <v>4896</v>
      </c>
    </row>
    <row r="1284" spans="1:59" s="154" customFormat="1" ht="15" customHeight="1">
      <c r="A1284" s="168" t="s">
        <v>4744</v>
      </c>
      <c r="B1284" s="23" t="s">
        <v>4897</v>
      </c>
      <c r="C1284" s="154" t="s">
        <v>4819</v>
      </c>
      <c r="D1284" s="155">
        <v>256</v>
      </c>
      <c r="E1284" s="154">
        <v>1</v>
      </c>
      <c r="F1284" s="154" t="s">
        <v>4745</v>
      </c>
      <c r="G1284" s="154" t="s">
        <v>4898</v>
      </c>
      <c r="H1284" s="154" t="s">
        <v>4899</v>
      </c>
      <c r="I1284" s="154" t="s">
        <v>223</v>
      </c>
      <c r="J1284" s="154" t="s">
        <v>257</v>
      </c>
      <c r="K1284" s="154" t="s">
        <v>26</v>
      </c>
      <c r="N1284" s="155">
        <v>0</v>
      </c>
      <c r="O1284" s="156"/>
      <c r="P1284" s="157"/>
      <c r="Q1284" s="158"/>
      <c r="R1284" s="159"/>
      <c r="S1284" s="160"/>
      <c r="T1284" s="161"/>
      <c r="U1284" s="156"/>
      <c r="V1284" s="162"/>
      <c r="W1284" s="163"/>
      <c r="X1284" s="164"/>
      <c r="Y1284" s="159"/>
      <c r="Z1284" s="161"/>
      <c r="AA1284" s="165"/>
      <c r="AD1284" s="154" t="s">
        <v>4900</v>
      </c>
      <c r="AE1284" s="155"/>
      <c r="AF1284" s="154" t="s">
        <v>4901</v>
      </c>
      <c r="AP1284" s="155"/>
      <c r="AQ1284" s="156"/>
      <c r="AR1284" s="157"/>
      <c r="AS1284" s="158"/>
      <c r="AT1284" s="159"/>
      <c r="AU1284" s="161"/>
      <c r="AV1284" s="156"/>
      <c r="AW1284" s="162"/>
      <c r="AX1284" s="163"/>
      <c r="AY1284" s="164"/>
      <c r="AZ1284" s="159"/>
      <c r="BA1284" s="161"/>
      <c r="BB1284" s="165"/>
      <c r="BF1284" s="155"/>
    </row>
    <row r="1285" spans="1:59" s="154" customFormat="1" ht="15" customHeight="1">
      <c r="A1285" s="153" t="s">
        <v>4744</v>
      </c>
      <c r="B1285" s="23" t="s">
        <v>4902</v>
      </c>
      <c r="C1285" s="154" t="s">
        <v>4819</v>
      </c>
      <c r="D1285" s="155">
        <v>257</v>
      </c>
      <c r="E1285" s="154">
        <v>2</v>
      </c>
      <c r="F1285" s="154" t="s">
        <v>4745</v>
      </c>
      <c r="G1285" s="154" t="s">
        <v>4903</v>
      </c>
      <c r="J1285" s="154" t="s">
        <v>29</v>
      </c>
      <c r="K1285" s="154" t="s">
        <v>2426</v>
      </c>
      <c r="N1285" s="155"/>
      <c r="O1285" s="156"/>
      <c r="P1285" s="157"/>
      <c r="Q1285" s="158">
        <v>3</v>
      </c>
      <c r="R1285" s="159">
        <v>3</v>
      </c>
      <c r="S1285" s="160"/>
      <c r="T1285" s="161">
        <v>4</v>
      </c>
      <c r="U1285" s="156"/>
      <c r="V1285" s="162">
        <v>1</v>
      </c>
      <c r="W1285" s="163">
        <v>1</v>
      </c>
      <c r="X1285" s="164"/>
      <c r="Y1285" s="159"/>
      <c r="Z1285" s="161"/>
      <c r="AA1285" s="165"/>
      <c r="AD1285" s="154" t="s">
        <v>490</v>
      </c>
      <c r="AE1285" s="155"/>
      <c r="AF1285" s="154" t="s">
        <v>4904</v>
      </c>
      <c r="AP1285" s="155"/>
      <c r="AQ1285" s="156"/>
      <c r="AR1285" s="157"/>
      <c r="AS1285" s="158"/>
      <c r="AT1285" s="159"/>
      <c r="AU1285" s="161"/>
      <c r="AV1285" s="156"/>
      <c r="AW1285" s="162"/>
      <c r="AX1285" s="163"/>
      <c r="AY1285" s="164"/>
      <c r="AZ1285" s="159"/>
      <c r="BA1285" s="161"/>
      <c r="BB1285" s="165"/>
      <c r="BF1285" s="155"/>
    </row>
    <row r="1286" spans="1:59" s="154" customFormat="1" ht="15" customHeight="1">
      <c r="A1286" s="168" t="s">
        <v>4744</v>
      </c>
      <c r="B1286" s="23" t="s">
        <v>4905</v>
      </c>
      <c r="C1286" s="154" t="s">
        <v>4819</v>
      </c>
      <c r="D1286" s="155">
        <v>258</v>
      </c>
      <c r="E1286" s="154">
        <v>2</v>
      </c>
      <c r="F1286" s="154" t="s">
        <v>4745</v>
      </c>
      <c r="G1286" s="154" t="s">
        <v>4906</v>
      </c>
      <c r="J1286" s="154" t="s">
        <v>29</v>
      </c>
      <c r="K1286" s="154" t="s">
        <v>2426</v>
      </c>
      <c r="N1286" s="155"/>
      <c r="O1286" s="156"/>
      <c r="P1286" s="157"/>
      <c r="Q1286" s="158">
        <v>4</v>
      </c>
      <c r="R1286" s="159">
        <v>1</v>
      </c>
      <c r="S1286" s="160"/>
      <c r="T1286" s="161">
        <v>3</v>
      </c>
      <c r="U1286" s="156"/>
      <c r="V1286" s="162">
        <v>2</v>
      </c>
      <c r="W1286" s="163"/>
      <c r="X1286" s="164"/>
      <c r="Y1286" s="159"/>
      <c r="Z1286" s="161"/>
      <c r="AA1286" s="165"/>
      <c r="AD1286" s="154" t="s">
        <v>490</v>
      </c>
      <c r="AE1286" s="155"/>
      <c r="AF1286" s="154" t="s">
        <v>4907</v>
      </c>
      <c r="AP1286" s="155"/>
      <c r="AQ1286" s="156"/>
      <c r="AR1286" s="157"/>
      <c r="AS1286" s="158"/>
      <c r="AT1286" s="159"/>
      <c r="AU1286" s="161"/>
      <c r="AV1286" s="156"/>
      <c r="AW1286" s="162"/>
      <c r="AX1286" s="163"/>
      <c r="AY1286" s="164"/>
      <c r="AZ1286" s="159"/>
      <c r="BA1286" s="161"/>
      <c r="BB1286" s="165"/>
      <c r="BF1286" s="155"/>
    </row>
    <row r="1287" spans="1:59" s="154" customFormat="1" ht="15" customHeight="1">
      <c r="A1287" s="168" t="s">
        <v>4744</v>
      </c>
      <c r="B1287" s="23" t="s">
        <v>4908</v>
      </c>
      <c r="C1287" s="154" t="s">
        <v>4819</v>
      </c>
      <c r="D1287" s="155">
        <v>259</v>
      </c>
      <c r="E1287" s="154">
        <v>3</v>
      </c>
      <c r="F1287" s="154" t="s">
        <v>4745</v>
      </c>
      <c r="G1287" s="154" t="s">
        <v>4909</v>
      </c>
      <c r="J1287" s="154" t="s">
        <v>29</v>
      </c>
      <c r="K1287" s="154" t="s">
        <v>2426</v>
      </c>
      <c r="N1287" s="155"/>
      <c r="O1287" s="156"/>
      <c r="P1287" s="157"/>
      <c r="Q1287" s="158">
        <v>2</v>
      </c>
      <c r="R1287" s="159">
        <v>2</v>
      </c>
      <c r="S1287" s="160"/>
      <c r="T1287" s="161">
        <v>2</v>
      </c>
      <c r="U1287" s="156"/>
      <c r="V1287" s="162"/>
      <c r="W1287" s="163">
        <v>1</v>
      </c>
      <c r="X1287" s="164"/>
      <c r="Y1287" s="159"/>
      <c r="Z1287" s="161"/>
      <c r="AA1287" s="165"/>
      <c r="AD1287" s="154" t="s">
        <v>490</v>
      </c>
      <c r="AE1287" s="155"/>
      <c r="AF1287" s="154" t="s">
        <v>4910</v>
      </c>
      <c r="AP1287" s="155"/>
      <c r="AQ1287" s="156"/>
      <c r="AR1287" s="157"/>
      <c r="AS1287" s="158"/>
      <c r="AT1287" s="159"/>
      <c r="AU1287" s="161"/>
      <c r="AV1287" s="156"/>
      <c r="AW1287" s="162"/>
      <c r="AX1287" s="163"/>
      <c r="AY1287" s="164"/>
      <c r="AZ1287" s="159"/>
      <c r="BA1287" s="161"/>
      <c r="BB1287" s="165"/>
      <c r="BF1287" s="155"/>
    </row>
    <row r="1288" spans="1:59" s="154" customFormat="1" ht="15" customHeight="1">
      <c r="A1288" s="153" t="s">
        <v>4744</v>
      </c>
      <c r="B1288" s="23" t="s">
        <v>4911</v>
      </c>
      <c r="C1288" s="154" t="s">
        <v>4819</v>
      </c>
      <c r="D1288" s="155">
        <v>260</v>
      </c>
      <c r="E1288" s="154">
        <v>3</v>
      </c>
      <c r="F1288" s="154" t="s">
        <v>4745</v>
      </c>
      <c r="G1288" s="154" t="s">
        <v>4912</v>
      </c>
      <c r="J1288" s="154" t="s">
        <v>28</v>
      </c>
      <c r="K1288" s="154" t="s">
        <v>2426</v>
      </c>
      <c r="N1288" s="155"/>
      <c r="O1288" s="156"/>
      <c r="P1288" s="157"/>
      <c r="Q1288" s="158"/>
      <c r="R1288" s="159"/>
      <c r="S1288" s="160"/>
      <c r="T1288" s="161"/>
      <c r="U1288" s="156"/>
      <c r="V1288" s="162"/>
      <c r="W1288" s="163"/>
      <c r="X1288" s="164"/>
      <c r="Y1288" s="159"/>
      <c r="Z1288" s="161"/>
      <c r="AA1288" s="165"/>
      <c r="AD1288" s="154" t="s">
        <v>4913</v>
      </c>
      <c r="AE1288" s="155"/>
      <c r="AF1288" s="154" t="s">
        <v>4914</v>
      </c>
      <c r="AP1288" s="155"/>
      <c r="AQ1288" s="156"/>
      <c r="AR1288" s="157"/>
      <c r="AS1288" s="158"/>
      <c r="AT1288" s="159"/>
      <c r="AU1288" s="161"/>
      <c r="AV1288" s="156"/>
      <c r="AW1288" s="162"/>
      <c r="AX1288" s="163"/>
      <c r="AY1288" s="164"/>
      <c r="AZ1288" s="159"/>
      <c r="BA1288" s="161"/>
      <c r="BB1288" s="165"/>
      <c r="BF1288" s="155"/>
    </row>
    <row r="1289" spans="1:59" s="154" customFormat="1" ht="15" customHeight="1">
      <c r="A1289" s="168" t="s">
        <v>4744</v>
      </c>
      <c r="B1289" s="23" t="s">
        <v>4915</v>
      </c>
      <c r="C1289" s="154" t="s">
        <v>4819</v>
      </c>
      <c r="D1289" s="155">
        <v>261</v>
      </c>
      <c r="E1289" s="154">
        <v>3</v>
      </c>
      <c r="F1289" s="154" t="s">
        <v>4745</v>
      </c>
      <c r="G1289" s="154" t="s">
        <v>4916</v>
      </c>
      <c r="J1289" s="154" t="s">
        <v>28</v>
      </c>
      <c r="K1289" s="154" t="s">
        <v>2426</v>
      </c>
      <c r="N1289" s="155"/>
      <c r="O1289" s="156"/>
      <c r="P1289" s="157"/>
      <c r="Q1289" s="158"/>
      <c r="R1289" s="159"/>
      <c r="S1289" s="160"/>
      <c r="T1289" s="161"/>
      <c r="U1289" s="156"/>
      <c r="V1289" s="162"/>
      <c r="W1289" s="163"/>
      <c r="X1289" s="164"/>
      <c r="Y1289" s="159"/>
      <c r="Z1289" s="161"/>
      <c r="AA1289" s="165"/>
      <c r="AD1289" s="154" t="s">
        <v>4917</v>
      </c>
      <c r="AE1289" s="155"/>
      <c r="AF1289" s="154" t="s">
        <v>4918</v>
      </c>
      <c r="AP1289" s="155"/>
      <c r="AQ1289" s="156"/>
      <c r="AR1289" s="157"/>
      <c r="AS1289" s="158"/>
      <c r="AT1289" s="159"/>
      <c r="AU1289" s="161"/>
      <c r="AV1289" s="156"/>
      <c r="AW1289" s="162"/>
      <c r="AX1289" s="163"/>
      <c r="AY1289" s="164"/>
      <c r="AZ1289" s="159"/>
      <c r="BA1289" s="161"/>
      <c r="BB1289" s="165"/>
      <c r="BF1289" s="155"/>
    </row>
    <row r="1290" spans="1:59" s="154" customFormat="1" ht="15" customHeight="1">
      <c r="A1290" s="168" t="s">
        <v>4744</v>
      </c>
      <c r="B1290" s="23" t="s">
        <v>4919</v>
      </c>
      <c r="C1290" s="154" t="s">
        <v>4819</v>
      </c>
      <c r="D1290" s="155">
        <v>262</v>
      </c>
      <c r="E1290" s="154">
        <v>2</v>
      </c>
      <c r="F1290" s="154" t="s">
        <v>4745</v>
      </c>
      <c r="G1290" s="154" t="s">
        <v>4920</v>
      </c>
      <c r="J1290" s="154" t="s">
        <v>28</v>
      </c>
      <c r="K1290" s="154" t="s">
        <v>2426</v>
      </c>
      <c r="N1290" s="155"/>
      <c r="O1290" s="156"/>
      <c r="P1290" s="157"/>
      <c r="Q1290" s="158"/>
      <c r="R1290" s="159"/>
      <c r="S1290" s="160"/>
      <c r="T1290" s="161"/>
      <c r="U1290" s="156"/>
      <c r="V1290" s="162"/>
      <c r="W1290" s="163"/>
      <c r="X1290" s="164"/>
      <c r="Y1290" s="159"/>
      <c r="Z1290" s="161"/>
      <c r="AA1290" s="165"/>
      <c r="AD1290" s="154" t="s">
        <v>481</v>
      </c>
      <c r="AE1290" s="155"/>
      <c r="AF1290" s="154" t="s">
        <v>4921</v>
      </c>
      <c r="AP1290" s="155"/>
      <c r="AQ1290" s="156"/>
      <c r="AR1290" s="157"/>
      <c r="AS1290" s="158"/>
      <c r="AT1290" s="159"/>
      <c r="AU1290" s="161"/>
      <c r="AV1290" s="156"/>
      <c r="AW1290" s="162"/>
      <c r="AX1290" s="163"/>
      <c r="AY1290" s="164"/>
      <c r="AZ1290" s="159"/>
      <c r="BA1290" s="161"/>
      <c r="BB1290" s="165"/>
      <c r="BF1290" s="155"/>
    </row>
    <row r="1291" spans="1:59" s="154" customFormat="1" ht="15" customHeight="1">
      <c r="A1291" s="153" t="s">
        <v>4744</v>
      </c>
      <c r="B1291" s="23" t="s">
        <v>4922</v>
      </c>
      <c r="C1291" s="154" t="s">
        <v>4819</v>
      </c>
      <c r="D1291" s="155">
        <v>263</v>
      </c>
      <c r="E1291" s="154">
        <v>2</v>
      </c>
      <c r="F1291" s="154" t="s">
        <v>4745</v>
      </c>
      <c r="G1291" s="154" t="s">
        <v>4923</v>
      </c>
      <c r="J1291" s="154" t="s">
        <v>28</v>
      </c>
      <c r="K1291" s="154" t="s">
        <v>2426</v>
      </c>
      <c r="N1291" s="155"/>
      <c r="O1291" s="156"/>
      <c r="P1291" s="157"/>
      <c r="Q1291" s="158"/>
      <c r="R1291" s="159"/>
      <c r="S1291" s="160"/>
      <c r="T1291" s="161"/>
      <c r="U1291" s="156"/>
      <c r="V1291" s="162"/>
      <c r="W1291" s="163"/>
      <c r="X1291" s="164"/>
      <c r="Y1291" s="159"/>
      <c r="Z1291" s="161"/>
      <c r="AA1291" s="165"/>
      <c r="AD1291" s="154" t="s">
        <v>486</v>
      </c>
      <c r="AE1291" s="155"/>
      <c r="AF1291" s="154" t="s">
        <v>4924</v>
      </c>
      <c r="AP1291" s="155"/>
      <c r="AQ1291" s="156"/>
      <c r="AR1291" s="157"/>
      <c r="AS1291" s="158"/>
      <c r="AT1291" s="159"/>
      <c r="AU1291" s="161"/>
      <c r="AV1291" s="156"/>
      <c r="AW1291" s="162"/>
      <c r="AX1291" s="163"/>
      <c r="AY1291" s="164"/>
      <c r="AZ1291" s="159"/>
      <c r="BA1291" s="161"/>
      <c r="BB1291" s="165"/>
      <c r="BF1291" s="155"/>
    </row>
    <row r="1292" spans="1:59" s="154" customFormat="1" ht="15" customHeight="1">
      <c r="A1292" s="168" t="s">
        <v>4744</v>
      </c>
      <c r="B1292" s="23" t="s">
        <v>4925</v>
      </c>
      <c r="C1292" s="154" t="s">
        <v>4819</v>
      </c>
      <c r="D1292" s="155">
        <v>264</v>
      </c>
      <c r="E1292" s="154">
        <v>4</v>
      </c>
      <c r="F1292" s="154" t="s">
        <v>4745</v>
      </c>
      <c r="G1292" s="154" t="s">
        <v>4926</v>
      </c>
      <c r="J1292" s="154" t="s">
        <v>28</v>
      </c>
      <c r="K1292" s="154" t="s">
        <v>2426</v>
      </c>
      <c r="N1292" s="155"/>
      <c r="O1292" s="156"/>
      <c r="P1292" s="157"/>
      <c r="Q1292" s="158"/>
      <c r="R1292" s="159"/>
      <c r="S1292" s="160"/>
      <c r="T1292" s="161"/>
      <c r="U1292" s="156"/>
      <c r="V1292" s="162"/>
      <c r="W1292" s="163"/>
      <c r="X1292" s="164"/>
      <c r="Y1292" s="159"/>
      <c r="Z1292" s="161"/>
      <c r="AA1292" s="165"/>
      <c r="AD1292" s="154" t="s">
        <v>4927</v>
      </c>
      <c r="AE1292" s="155"/>
      <c r="AF1292" s="154" t="s">
        <v>4928</v>
      </c>
      <c r="AP1292" s="155"/>
      <c r="AQ1292" s="156"/>
      <c r="AR1292" s="157"/>
      <c r="AS1292" s="158"/>
      <c r="AT1292" s="159"/>
      <c r="AU1292" s="161"/>
      <c r="AV1292" s="156"/>
      <c r="AW1292" s="162"/>
      <c r="AX1292" s="163"/>
      <c r="AY1292" s="164"/>
      <c r="AZ1292" s="159"/>
      <c r="BA1292" s="161"/>
      <c r="BB1292" s="165"/>
      <c r="BF1292" s="155"/>
    </row>
    <row r="1293" spans="1:59" s="171" customFormat="1" ht="15" customHeight="1">
      <c r="A1293" s="168" t="s">
        <v>4951</v>
      </c>
      <c r="B1293" s="154" t="s">
        <v>4954</v>
      </c>
      <c r="C1293" s="154" t="s">
        <v>4955</v>
      </c>
      <c r="D1293" s="170">
        <v>265</v>
      </c>
      <c r="E1293" s="171">
        <v>2</v>
      </c>
      <c r="F1293" s="154"/>
      <c r="G1293" s="171" t="s">
        <v>4956</v>
      </c>
      <c r="J1293" s="171" t="s">
        <v>257</v>
      </c>
      <c r="K1293" s="171" t="s">
        <v>198</v>
      </c>
      <c r="L1293" s="171">
        <v>0</v>
      </c>
      <c r="N1293" s="170">
        <v>2</v>
      </c>
      <c r="O1293" s="156"/>
      <c r="P1293" s="157"/>
      <c r="Q1293" s="158"/>
      <c r="R1293" s="159">
        <v>1</v>
      </c>
      <c r="S1293" s="160"/>
      <c r="T1293" s="161"/>
      <c r="U1293" s="156"/>
      <c r="V1293" s="162"/>
      <c r="W1293" s="163"/>
      <c r="X1293" s="164"/>
      <c r="Y1293" s="159"/>
      <c r="Z1293" s="161"/>
      <c r="AA1293" s="165"/>
      <c r="AB1293" s="171" t="s">
        <v>207</v>
      </c>
      <c r="AD1293" s="171" t="s">
        <v>4957</v>
      </c>
      <c r="AE1293" s="170"/>
      <c r="AF1293" s="171" t="s">
        <v>4958</v>
      </c>
      <c r="AQ1293" s="156"/>
      <c r="AR1293" s="157"/>
      <c r="AS1293" s="158"/>
      <c r="AT1293" s="159"/>
      <c r="AU1293" s="161"/>
      <c r="AV1293" s="156"/>
      <c r="AW1293" s="162"/>
      <c r="AX1293" s="163"/>
      <c r="AY1293" s="164"/>
      <c r="AZ1293" s="159"/>
      <c r="BA1293" s="161"/>
      <c r="BB1293" s="165"/>
      <c r="BF1293" s="170"/>
    </row>
    <row r="1294" spans="1:59" s="154" customFormat="1" ht="15" customHeight="1">
      <c r="A1294" s="168" t="s">
        <v>4951</v>
      </c>
      <c r="B1294" s="154" t="s">
        <v>4959</v>
      </c>
      <c r="C1294" s="154" t="s">
        <v>4955</v>
      </c>
      <c r="D1294" s="170">
        <v>266</v>
      </c>
      <c r="E1294" s="154">
        <v>2</v>
      </c>
      <c r="G1294" s="154" t="s">
        <v>4960</v>
      </c>
      <c r="J1294" s="171" t="s">
        <v>27</v>
      </c>
      <c r="K1294" s="154" t="s">
        <v>198</v>
      </c>
      <c r="L1294" s="154">
        <v>3</v>
      </c>
      <c r="N1294" s="155">
        <v>1</v>
      </c>
      <c r="O1294" s="156">
        <v>1</v>
      </c>
      <c r="P1294" s="157"/>
      <c r="Q1294" s="158">
        <v>1</v>
      </c>
      <c r="R1294" s="159"/>
      <c r="S1294" s="160"/>
      <c r="T1294" s="161"/>
      <c r="U1294" s="156"/>
      <c r="V1294" s="162"/>
      <c r="W1294" s="163"/>
      <c r="X1294" s="164"/>
      <c r="Y1294" s="159"/>
      <c r="Z1294" s="161"/>
      <c r="AA1294" s="165"/>
      <c r="AB1294" s="154" t="s">
        <v>1083</v>
      </c>
      <c r="AD1294" s="154" t="s">
        <v>674</v>
      </c>
      <c r="AE1294" s="155"/>
      <c r="AF1294" s="154" t="s">
        <v>4961</v>
      </c>
      <c r="AL1294" s="171"/>
      <c r="AO1294" s="155"/>
      <c r="AP1294" s="155"/>
      <c r="AQ1294" s="156"/>
      <c r="AR1294" s="157"/>
      <c r="AS1294" s="158"/>
      <c r="AT1294" s="159"/>
      <c r="AU1294" s="161"/>
      <c r="AV1294" s="156"/>
      <c r="AW1294" s="162"/>
      <c r="AX1294" s="163"/>
      <c r="AY1294" s="164"/>
      <c r="AZ1294" s="159"/>
      <c r="BA1294" s="161"/>
      <c r="BB1294" s="165"/>
      <c r="BE1294" s="155"/>
    </row>
    <row r="1295" spans="1:59" s="154" customFormat="1" ht="15" customHeight="1">
      <c r="A1295" s="168" t="s">
        <v>4951</v>
      </c>
      <c r="B1295" s="153" t="s">
        <v>4962</v>
      </c>
      <c r="C1295" s="154" t="s">
        <v>4955</v>
      </c>
      <c r="D1295" s="170">
        <v>267</v>
      </c>
      <c r="E1295" s="154">
        <v>2</v>
      </c>
      <c r="G1295" s="154" t="s">
        <v>4963</v>
      </c>
      <c r="J1295" s="171" t="s">
        <v>257</v>
      </c>
      <c r="K1295" s="154" t="s">
        <v>199</v>
      </c>
      <c r="L1295" s="154">
        <v>3</v>
      </c>
      <c r="N1295" s="155">
        <v>2</v>
      </c>
      <c r="O1295" s="156"/>
      <c r="P1295" s="157">
        <v>1</v>
      </c>
      <c r="Q1295" s="158"/>
      <c r="R1295" s="159"/>
      <c r="S1295" s="160"/>
      <c r="T1295" s="161"/>
      <c r="U1295" s="156"/>
      <c r="V1295" s="162"/>
      <c r="W1295" s="163"/>
      <c r="X1295" s="164"/>
      <c r="Y1295" s="159"/>
      <c r="Z1295" s="161"/>
      <c r="AA1295" s="165"/>
      <c r="AB1295" s="154" t="s">
        <v>205</v>
      </c>
      <c r="AC1295" s="154" t="s">
        <v>378</v>
      </c>
      <c r="AD1295" s="154" t="s">
        <v>279</v>
      </c>
      <c r="AE1295" s="155"/>
      <c r="AF1295" s="154" t="s">
        <v>4964</v>
      </c>
      <c r="AL1295" s="171"/>
      <c r="AO1295" s="155"/>
      <c r="AP1295" s="155"/>
      <c r="AQ1295" s="156"/>
      <c r="AR1295" s="157"/>
      <c r="AS1295" s="158"/>
      <c r="AT1295" s="159"/>
      <c r="AU1295" s="161"/>
      <c r="AV1295" s="156"/>
      <c r="AW1295" s="162"/>
      <c r="AX1295" s="163"/>
      <c r="AY1295" s="164"/>
      <c r="AZ1295" s="159"/>
      <c r="BA1295" s="161"/>
      <c r="BB1295" s="165"/>
      <c r="BE1295" s="155"/>
    </row>
    <row r="1296" spans="1:59" s="154" customFormat="1" ht="15" customHeight="1">
      <c r="A1296" s="168" t="s">
        <v>4951</v>
      </c>
      <c r="B1296" s="153" t="s">
        <v>4965</v>
      </c>
      <c r="C1296" s="154" t="s">
        <v>4955</v>
      </c>
      <c r="D1296" s="170">
        <v>268</v>
      </c>
      <c r="E1296" s="154">
        <v>2</v>
      </c>
      <c r="G1296" s="154" t="s">
        <v>4966</v>
      </c>
      <c r="J1296" s="171" t="s">
        <v>257</v>
      </c>
      <c r="K1296" s="154" t="s">
        <v>201</v>
      </c>
      <c r="L1296" s="154">
        <v>0</v>
      </c>
      <c r="N1296" s="155">
        <v>2</v>
      </c>
      <c r="O1296" s="156"/>
      <c r="P1296" s="157"/>
      <c r="Q1296" s="158"/>
      <c r="R1296" s="159">
        <v>1</v>
      </c>
      <c r="S1296" s="160"/>
      <c r="T1296" s="161"/>
      <c r="U1296" s="156"/>
      <c r="V1296" s="162"/>
      <c r="W1296" s="163"/>
      <c r="X1296" s="164"/>
      <c r="Y1296" s="159"/>
      <c r="Z1296" s="161"/>
      <c r="AA1296" s="165"/>
      <c r="AB1296" s="154" t="s">
        <v>207</v>
      </c>
      <c r="AC1296" s="154" t="s">
        <v>258</v>
      </c>
      <c r="AD1296" s="154" t="s">
        <v>923</v>
      </c>
      <c r="AE1296" s="155"/>
      <c r="AF1296" s="154" t="s">
        <v>4967</v>
      </c>
      <c r="AL1296" s="171"/>
      <c r="AO1296" s="155"/>
      <c r="AP1296" s="155"/>
      <c r="AQ1296" s="156"/>
      <c r="AR1296" s="157"/>
      <c r="AS1296" s="158"/>
      <c r="AT1296" s="159"/>
      <c r="AU1296" s="161"/>
      <c r="AV1296" s="156"/>
      <c r="AW1296" s="162"/>
      <c r="AX1296" s="163"/>
      <c r="AY1296" s="164"/>
      <c r="AZ1296" s="159"/>
      <c r="BA1296" s="161"/>
      <c r="BB1296" s="165"/>
      <c r="BE1296" s="155"/>
    </row>
    <row r="1297" spans="1:59" s="154" customFormat="1" ht="15" customHeight="1">
      <c r="A1297" s="168" t="s">
        <v>4951</v>
      </c>
      <c r="B1297" s="153" t="s">
        <v>4968</v>
      </c>
      <c r="C1297" s="154" t="s">
        <v>4955</v>
      </c>
      <c r="D1297" s="170">
        <v>269</v>
      </c>
      <c r="E1297" s="154">
        <v>2</v>
      </c>
      <c r="G1297" s="154" t="s">
        <v>4969</v>
      </c>
      <c r="J1297" s="154" t="s">
        <v>27</v>
      </c>
      <c r="K1297" s="154" t="s">
        <v>201</v>
      </c>
      <c r="L1297" s="154">
        <v>0</v>
      </c>
      <c r="N1297" s="154">
        <v>2</v>
      </c>
      <c r="O1297" s="156"/>
      <c r="P1297" s="157"/>
      <c r="Q1297" s="158">
        <v>2</v>
      </c>
      <c r="R1297" s="159"/>
      <c r="S1297" s="160"/>
      <c r="T1297" s="161"/>
      <c r="U1297" s="156"/>
      <c r="V1297" s="162"/>
      <c r="W1297" s="163"/>
      <c r="X1297" s="164"/>
      <c r="Y1297" s="159"/>
      <c r="Z1297" s="161"/>
      <c r="AA1297" s="165"/>
      <c r="AB1297" s="154" t="s">
        <v>1088</v>
      </c>
      <c r="AD1297" s="154" t="s">
        <v>4970</v>
      </c>
      <c r="AF1297" s="154" t="s">
        <v>4971</v>
      </c>
      <c r="AO1297" s="155"/>
      <c r="AQ1297" s="156"/>
      <c r="AR1297" s="157"/>
      <c r="AS1297" s="158"/>
      <c r="AT1297" s="159"/>
      <c r="AU1297" s="161"/>
      <c r="AV1297" s="156"/>
      <c r="AW1297" s="162"/>
      <c r="AX1297" s="163"/>
      <c r="AY1297" s="164"/>
      <c r="AZ1297" s="159"/>
      <c r="BA1297" s="161"/>
      <c r="BB1297" s="165"/>
      <c r="BE1297" s="155"/>
    </row>
    <row r="1298" spans="1:59" s="154" customFormat="1" ht="15" customHeight="1">
      <c r="A1298" s="168" t="s">
        <v>4951</v>
      </c>
      <c r="B1298" s="169" t="s">
        <v>4972</v>
      </c>
      <c r="C1298" s="154" t="s">
        <v>4955</v>
      </c>
      <c r="D1298" s="170">
        <v>270</v>
      </c>
      <c r="E1298" s="154">
        <v>2</v>
      </c>
      <c r="G1298" s="154" t="s">
        <v>4973</v>
      </c>
      <c r="I1298" s="154" t="s">
        <v>223</v>
      </c>
      <c r="J1298" s="154" t="s">
        <v>257</v>
      </c>
      <c r="K1298" s="154" t="s">
        <v>201</v>
      </c>
      <c r="L1298" s="154">
        <v>2</v>
      </c>
      <c r="N1298" s="154">
        <v>3</v>
      </c>
      <c r="O1298" s="156"/>
      <c r="P1298" s="157">
        <v>2</v>
      </c>
      <c r="Q1298" s="158"/>
      <c r="R1298" s="159"/>
      <c r="S1298" s="160"/>
      <c r="T1298" s="161"/>
      <c r="U1298" s="156"/>
      <c r="V1298" s="162"/>
      <c r="W1298" s="163"/>
      <c r="X1298" s="164"/>
      <c r="Y1298" s="159"/>
      <c r="Z1298" s="161"/>
      <c r="AA1298" s="165"/>
      <c r="AB1298" s="154" t="s">
        <v>1084</v>
      </c>
      <c r="AD1298" s="154" t="s">
        <v>3892</v>
      </c>
      <c r="AF1298" s="154" t="s">
        <v>4974</v>
      </c>
      <c r="AO1298" s="155"/>
      <c r="AQ1298" s="156"/>
      <c r="AR1298" s="157"/>
      <c r="AS1298" s="158"/>
      <c r="AT1298" s="159"/>
      <c r="AU1298" s="161"/>
      <c r="AV1298" s="156"/>
      <c r="AW1298" s="162"/>
      <c r="AX1298" s="163"/>
      <c r="AY1298" s="164"/>
      <c r="AZ1298" s="159"/>
      <c r="BA1298" s="161"/>
      <c r="BB1298" s="165"/>
      <c r="BE1298" s="155"/>
    </row>
    <row r="1299" spans="1:59" s="154" customFormat="1" ht="15" customHeight="1">
      <c r="A1299" s="168" t="s">
        <v>4951</v>
      </c>
      <c r="B1299" s="153" t="s">
        <v>4975</v>
      </c>
      <c r="C1299" s="154" t="s">
        <v>4955</v>
      </c>
      <c r="D1299" s="170">
        <v>271</v>
      </c>
      <c r="E1299" s="154">
        <v>2</v>
      </c>
      <c r="G1299" s="154" t="s">
        <v>3900</v>
      </c>
      <c r="J1299" s="154" t="s">
        <v>257</v>
      </c>
      <c r="K1299" s="154" t="s">
        <v>200</v>
      </c>
      <c r="L1299" s="154">
        <v>4</v>
      </c>
      <c r="N1299" s="154">
        <v>2</v>
      </c>
      <c r="O1299" s="156">
        <v>1</v>
      </c>
      <c r="P1299" s="157"/>
      <c r="Q1299" s="158"/>
      <c r="R1299" s="159">
        <v>1</v>
      </c>
      <c r="S1299" s="160"/>
      <c r="T1299" s="161"/>
      <c r="U1299" s="156"/>
      <c r="V1299" s="162"/>
      <c r="W1299" s="163"/>
      <c r="X1299" s="164"/>
      <c r="Y1299" s="159"/>
      <c r="Z1299" s="161"/>
      <c r="AA1299" s="165"/>
      <c r="AB1299" s="154" t="s">
        <v>1085</v>
      </c>
      <c r="AC1299" s="154" t="s">
        <v>378</v>
      </c>
      <c r="AD1299" s="154" t="s">
        <v>279</v>
      </c>
      <c r="AF1299" s="154" t="s">
        <v>4976</v>
      </c>
      <c r="AO1299" s="155"/>
      <c r="AQ1299" s="156"/>
      <c r="AR1299" s="157"/>
      <c r="AS1299" s="158"/>
      <c r="AT1299" s="159"/>
      <c r="AU1299" s="161"/>
      <c r="AV1299" s="156"/>
      <c r="AW1299" s="162"/>
      <c r="AX1299" s="163"/>
      <c r="AY1299" s="164"/>
      <c r="AZ1299" s="159"/>
      <c r="BA1299" s="161"/>
      <c r="BB1299" s="165"/>
      <c r="BE1299" s="155"/>
    </row>
    <row r="1300" spans="1:59" s="154" customFormat="1" ht="15" customHeight="1">
      <c r="A1300" s="168" t="s">
        <v>4951</v>
      </c>
      <c r="B1300" s="153" t="s">
        <v>4977</v>
      </c>
      <c r="C1300" s="154" t="s">
        <v>4955</v>
      </c>
      <c r="D1300" s="170">
        <v>272</v>
      </c>
      <c r="E1300" s="154">
        <v>2</v>
      </c>
      <c r="G1300" s="154" t="s">
        <v>4978</v>
      </c>
      <c r="J1300" s="154" t="s">
        <v>27</v>
      </c>
      <c r="K1300" s="154" t="s">
        <v>202</v>
      </c>
      <c r="L1300" s="154">
        <v>0</v>
      </c>
      <c r="N1300" s="154">
        <v>1</v>
      </c>
      <c r="O1300" s="156"/>
      <c r="P1300" s="157"/>
      <c r="Q1300" s="158"/>
      <c r="R1300" s="159"/>
      <c r="S1300" s="160"/>
      <c r="T1300" s="161"/>
      <c r="U1300" s="156"/>
      <c r="V1300" s="162"/>
      <c r="W1300" s="163"/>
      <c r="X1300" s="164"/>
      <c r="Y1300" s="159"/>
      <c r="Z1300" s="161"/>
      <c r="AA1300" s="165"/>
      <c r="AD1300" s="154" t="s">
        <v>3912</v>
      </c>
      <c r="AF1300" s="154" t="s">
        <v>4979</v>
      </c>
      <c r="AO1300" s="155"/>
      <c r="AQ1300" s="156"/>
      <c r="AR1300" s="157"/>
      <c r="AS1300" s="158"/>
      <c r="AT1300" s="159"/>
      <c r="AU1300" s="161"/>
      <c r="AV1300" s="156"/>
      <c r="AW1300" s="162"/>
      <c r="AX1300" s="163"/>
      <c r="AY1300" s="164"/>
      <c r="AZ1300" s="159"/>
      <c r="BA1300" s="161"/>
      <c r="BB1300" s="165"/>
      <c r="BE1300" s="155"/>
    </row>
    <row r="1301" spans="1:59" s="154" customFormat="1" ht="15" customHeight="1">
      <c r="A1301" s="168" t="s">
        <v>4951</v>
      </c>
      <c r="B1301" s="153" t="s">
        <v>4980</v>
      </c>
      <c r="C1301" s="154" t="s">
        <v>4955</v>
      </c>
      <c r="D1301" s="170">
        <v>273</v>
      </c>
      <c r="E1301" s="154">
        <v>2</v>
      </c>
      <c r="G1301" s="154" t="s">
        <v>4981</v>
      </c>
      <c r="J1301" s="154" t="s">
        <v>257</v>
      </c>
      <c r="K1301" s="154" t="s">
        <v>202</v>
      </c>
      <c r="L1301" s="154">
        <v>3</v>
      </c>
      <c r="N1301" s="172">
        <v>3</v>
      </c>
      <c r="O1301" s="156"/>
      <c r="P1301" s="157"/>
      <c r="Q1301" s="158">
        <v>1</v>
      </c>
      <c r="R1301" s="159">
        <v>1</v>
      </c>
      <c r="S1301" s="160"/>
      <c r="T1301" s="161"/>
      <c r="U1301" s="156"/>
      <c r="V1301" s="162"/>
      <c r="W1301" s="163"/>
      <c r="X1301" s="164"/>
      <c r="Y1301" s="159"/>
      <c r="Z1301" s="161"/>
      <c r="AA1301" s="165"/>
      <c r="AB1301" s="154" t="s">
        <v>1087</v>
      </c>
      <c r="AC1301" s="154" t="s">
        <v>322</v>
      </c>
      <c r="AD1301" s="154" t="s">
        <v>259</v>
      </c>
      <c r="AF1301" s="154" t="s">
        <v>4982</v>
      </c>
      <c r="AO1301" s="155"/>
      <c r="AQ1301" s="156"/>
      <c r="AR1301" s="157"/>
      <c r="AS1301" s="158"/>
      <c r="AT1301" s="159"/>
      <c r="AU1301" s="161"/>
      <c r="AV1301" s="156"/>
      <c r="AW1301" s="162"/>
      <c r="AX1301" s="163"/>
      <c r="AY1301" s="164"/>
      <c r="AZ1301" s="159"/>
      <c r="BA1301" s="161"/>
      <c r="BB1301" s="165"/>
      <c r="BE1301" s="155"/>
    </row>
    <row r="1302" spans="1:59" s="154" customFormat="1" ht="15" customHeight="1">
      <c r="A1302" s="168" t="s">
        <v>4951</v>
      </c>
      <c r="B1302" s="153" t="s">
        <v>4983</v>
      </c>
      <c r="C1302" s="154" t="s">
        <v>4955</v>
      </c>
      <c r="D1302" s="170">
        <v>274</v>
      </c>
      <c r="E1302" s="154">
        <v>2</v>
      </c>
      <c r="G1302" s="154" t="s">
        <v>4984</v>
      </c>
      <c r="J1302" s="154" t="s">
        <v>257</v>
      </c>
      <c r="K1302" s="154" t="s">
        <v>26</v>
      </c>
      <c r="L1302" s="154">
        <v>0</v>
      </c>
      <c r="N1302" s="154">
        <v>4</v>
      </c>
      <c r="O1302" s="156">
        <v>1</v>
      </c>
      <c r="P1302" s="157"/>
      <c r="Q1302" s="158"/>
      <c r="R1302" s="159"/>
      <c r="S1302" s="160"/>
      <c r="T1302" s="161"/>
      <c r="U1302" s="156"/>
      <c r="V1302" s="162"/>
      <c r="W1302" s="163"/>
      <c r="X1302" s="164"/>
      <c r="Y1302" s="159"/>
      <c r="Z1302" s="161"/>
      <c r="AA1302" s="165"/>
      <c r="AB1302" s="154" t="s">
        <v>204</v>
      </c>
      <c r="AD1302" s="154" t="s">
        <v>265</v>
      </c>
      <c r="AF1302" s="154" t="s">
        <v>4985</v>
      </c>
      <c r="AO1302" s="155"/>
      <c r="AQ1302" s="156"/>
      <c r="AR1302" s="157"/>
      <c r="AS1302" s="158"/>
      <c r="AT1302" s="159"/>
      <c r="AU1302" s="161"/>
      <c r="AV1302" s="156"/>
      <c r="AW1302" s="162"/>
      <c r="AX1302" s="163"/>
      <c r="AY1302" s="164"/>
      <c r="AZ1302" s="159"/>
      <c r="BA1302" s="161"/>
      <c r="BB1302" s="165"/>
      <c r="BE1302" s="155"/>
    </row>
    <row r="1303" spans="1:59" s="154" customFormat="1" ht="15" customHeight="1">
      <c r="A1303" s="168" t="s">
        <v>4951</v>
      </c>
      <c r="B1303" s="153" t="s">
        <v>4986</v>
      </c>
      <c r="C1303" s="154" t="s">
        <v>4955</v>
      </c>
      <c r="D1303" s="170">
        <v>275</v>
      </c>
      <c r="E1303" s="154">
        <v>2</v>
      </c>
      <c r="G1303" s="154" t="s">
        <v>4987</v>
      </c>
      <c r="J1303" s="154" t="s">
        <v>257</v>
      </c>
      <c r="K1303" s="154" t="s">
        <v>26</v>
      </c>
      <c r="L1303" s="154">
        <v>3</v>
      </c>
      <c r="N1303" s="154">
        <v>2</v>
      </c>
      <c r="O1303" s="156">
        <v>1</v>
      </c>
      <c r="P1303" s="157">
        <v>1</v>
      </c>
      <c r="Q1303" s="158"/>
      <c r="R1303" s="159"/>
      <c r="S1303" s="160"/>
      <c r="T1303" s="161"/>
      <c r="U1303" s="156"/>
      <c r="V1303" s="162"/>
      <c r="W1303" s="163"/>
      <c r="X1303" s="164"/>
      <c r="Y1303" s="159"/>
      <c r="Z1303" s="161"/>
      <c r="AA1303" s="165"/>
      <c r="AB1303" s="154" t="s">
        <v>1092</v>
      </c>
      <c r="AD1303" s="154" t="s">
        <v>276</v>
      </c>
      <c r="AF1303" s="154" t="s">
        <v>4988</v>
      </c>
      <c r="AO1303" s="155"/>
      <c r="AQ1303" s="156"/>
      <c r="AR1303" s="157"/>
      <c r="AS1303" s="158"/>
      <c r="AT1303" s="159"/>
      <c r="AU1303" s="161"/>
      <c r="AV1303" s="156"/>
      <c r="AW1303" s="162"/>
      <c r="AX1303" s="163"/>
      <c r="AY1303" s="164"/>
      <c r="AZ1303" s="159"/>
      <c r="BA1303" s="161"/>
      <c r="BB1303" s="165"/>
      <c r="BE1303" s="155"/>
    </row>
    <row r="1304" spans="1:59" s="154" customFormat="1" ht="15" customHeight="1">
      <c r="A1304" s="168" t="s">
        <v>4951</v>
      </c>
      <c r="B1304" s="153" t="s">
        <v>4989</v>
      </c>
      <c r="C1304" s="154" t="s">
        <v>4955</v>
      </c>
      <c r="D1304" s="170">
        <v>276</v>
      </c>
      <c r="E1304" s="154">
        <v>2</v>
      </c>
      <c r="G1304" s="154" t="s">
        <v>4990</v>
      </c>
      <c r="J1304" s="154" t="s">
        <v>257</v>
      </c>
      <c r="K1304" s="154" t="s">
        <v>26</v>
      </c>
      <c r="L1304" s="154">
        <v>5</v>
      </c>
      <c r="N1304" s="154">
        <v>5</v>
      </c>
      <c r="O1304" s="156">
        <v>1</v>
      </c>
      <c r="P1304" s="157"/>
      <c r="Q1304" s="158">
        <v>1</v>
      </c>
      <c r="R1304" s="159"/>
      <c r="S1304" s="160"/>
      <c r="T1304" s="161"/>
      <c r="U1304" s="156"/>
      <c r="V1304" s="162"/>
      <c r="W1304" s="163"/>
      <c r="X1304" s="164"/>
      <c r="Y1304" s="159"/>
      <c r="Z1304" s="161"/>
      <c r="AA1304" s="165"/>
      <c r="AB1304" s="154" t="s">
        <v>1083</v>
      </c>
      <c r="AC1304" s="154" t="s">
        <v>258</v>
      </c>
      <c r="AD1304" s="154" t="s">
        <v>2615</v>
      </c>
      <c r="AF1304" s="154" t="s">
        <v>4991</v>
      </c>
      <c r="AO1304" s="155"/>
      <c r="AQ1304" s="156"/>
      <c r="AR1304" s="157"/>
      <c r="AS1304" s="158"/>
      <c r="AT1304" s="159"/>
      <c r="AU1304" s="161"/>
      <c r="AV1304" s="156"/>
      <c r="AW1304" s="162"/>
      <c r="AX1304" s="163"/>
      <c r="AY1304" s="164"/>
      <c r="AZ1304" s="159"/>
      <c r="BA1304" s="161"/>
      <c r="BB1304" s="165"/>
      <c r="BE1304" s="155"/>
    </row>
    <row r="1305" spans="1:59" s="154" customFormat="1" ht="15" customHeight="1">
      <c r="A1305" s="168" t="s">
        <v>4951</v>
      </c>
      <c r="B1305" s="153" t="s">
        <v>4992</v>
      </c>
      <c r="C1305" s="154" t="s">
        <v>4955</v>
      </c>
      <c r="D1305" s="170">
        <v>277</v>
      </c>
      <c r="E1305" s="154">
        <v>1</v>
      </c>
      <c r="F1305" s="154" t="s">
        <v>4952</v>
      </c>
      <c r="G1305" s="154" t="s">
        <v>4952</v>
      </c>
      <c r="J1305" s="154" t="s">
        <v>618</v>
      </c>
      <c r="K1305" s="154" t="s">
        <v>2426</v>
      </c>
      <c r="O1305" s="156"/>
      <c r="P1305" s="157"/>
      <c r="Q1305" s="158"/>
      <c r="R1305" s="159"/>
      <c r="S1305" s="160"/>
      <c r="T1305" s="161"/>
      <c r="U1305" s="156"/>
      <c r="V1305" s="162"/>
      <c r="W1305" s="163"/>
      <c r="X1305" s="164"/>
      <c r="Y1305" s="159"/>
      <c r="Z1305" s="161"/>
      <c r="AA1305" s="165"/>
      <c r="AF1305" s="154" t="s">
        <v>4993</v>
      </c>
      <c r="AI1305" s="154" t="s">
        <v>4952</v>
      </c>
      <c r="AL1305" s="154" t="s">
        <v>618</v>
      </c>
      <c r="AM1305" s="154" t="s">
        <v>2426</v>
      </c>
      <c r="AO1305" s="155"/>
      <c r="AQ1305" s="156"/>
      <c r="AR1305" s="157"/>
      <c r="AS1305" s="158"/>
      <c r="AT1305" s="159"/>
      <c r="AU1305" s="161"/>
      <c r="AV1305" s="156"/>
      <c r="AW1305" s="162"/>
      <c r="AX1305" s="163"/>
      <c r="AY1305" s="164"/>
      <c r="AZ1305" s="159"/>
      <c r="BA1305" s="161"/>
      <c r="BB1305" s="165"/>
      <c r="BE1305" s="155"/>
      <c r="BG1305" s="154" t="s">
        <v>4994</v>
      </c>
    </row>
    <row r="1306" spans="1:59" s="154" customFormat="1" ht="15" customHeight="1">
      <c r="A1306" s="168" t="s">
        <v>4951</v>
      </c>
      <c r="B1306" s="153" t="s">
        <v>4995</v>
      </c>
      <c r="C1306" s="154" t="s">
        <v>4955</v>
      </c>
      <c r="D1306" s="170">
        <v>278</v>
      </c>
      <c r="E1306" s="154">
        <v>1</v>
      </c>
      <c r="F1306" s="154" t="s">
        <v>4952</v>
      </c>
      <c r="G1306" s="154" t="s">
        <v>4996</v>
      </c>
      <c r="J1306" s="154" t="s">
        <v>619</v>
      </c>
      <c r="K1306" s="154" t="s">
        <v>2426</v>
      </c>
      <c r="L1306" s="154">
        <v>1</v>
      </c>
      <c r="O1306" s="156"/>
      <c r="P1306" s="157"/>
      <c r="Q1306" s="158"/>
      <c r="R1306" s="159"/>
      <c r="S1306" s="160"/>
      <c r="T1306" s="161"/>
      <c r="U1306" s="156"/>
      <c r="V1306" s="162"/>
      <c r="W1306" s="163"/>
      <c r="X1306" s="164"/>
      <c r="Y1306" s="159"/>
      <c r="Z1306" s="161">
        <v>3</v>
      </c>
      <c r="AA1306" s="165"/>
      <c r="AI1306" s="154" t="s">
        <v>4997</v>
      </c>
      <c r="AL1306" s="154" t="s">
        <v>619</v>
      </c>
      <c r="AM1306" s="154" t="s">
        <v>2426</v>
      </c>
      <c r="AN1306" s="154">
        <v>1</v>
      </c>
      <c r="AO1306" s="155"/>
      <c r="AQ1306" s="156"/>
      <c r="AR1306" s="157"/>
      <c r="AS1306" s="158"/>
      <c r="AT1306" s="159"/>
      <c r="AU1306" s="161"/>
      <c r="AV1306" s="156"/>
      <c r="AW1306" s="162"/>
      <c r="AX1306" s="163"/>
      <c r="AY1306" s="164"/>
      <c r="AZ1306" s="159"/>
      <c r="BA1306" s="161"/>
      <c r="BB1306" s="165"/>
      <c r="BE1306" s="155"/>
      <c r="BG1306" s="154" t="s">
        <v>4998</v>
      </c>
    </row>
    <row r="1307" spans="1:59" s="154" customFormat="1" ht="15" customHeight="1">
      <c r="A1307" s="168" t="s">
        <v>4951</v>
      </c>
      <c r="B1307" s="153" t="s">
        <v>4999</v>
      </c>
      <c r="C1307" s="154" t="s">
        <v>4955</v>
      </c>
      <c r="D1307" s="170">
        <v>279</v>
      </c>
      <c r="E1307" s="154">
        <v>1</v>
      </c>
      <c r="F1307" s="154" t="s">
        <v>4952</v>
      </c>
      <c r="G1307" s="154" t="s">
        <v>5000</v>
      </c>
      <c r="J1307" s="154" t="s">
        <v>619</v>
      </c>
      <c r="K1307" s="154" t="s">
        <v>2426</v>
      </c>
      <c r="L1307" s="154">
        <v>2</v>
      </c>
      <c r="O1307" s="156"/>
      <c r="P1307" s="157"/>
      <c r="Q1307" s="158"/>
      <c r="R1307" s="159"/>
      <c r="S1307" s="160"/>
      <c r="T1307" s="161"/>
      <c r="U1307" s="156"/>
      <c r="V1307" s="162"/>
      <c r="W1307" s="163"/>
      <c r="X1307" s="164"/>
      <c r="Y1307" s="159"/>
      <c r="Z1307" s="161">
        <v>3</v>
      </c>
      <c r="AA1307" s="165"/>
      <c r="AI1307" s="154" t="s">
        <v>5001</v>
      </c>
      <c r="AL1307" s="154" t="s">
        <v>619</v>
      </c>
      <c r="AM1307" s="154" t="s">
        <v>2426</v>
      </c>
      <c r="AN1307" s="154">
        <v>2</v>
      </c>
      <c r="AO1307" s="155"/>
      <c r="AQ1307" s="156"/>
      <c r="AR1307" s="157"/>
      <c r="AS1307" s="158"/>
      <c r="AT1307" s="159"/>
      <c r="AU1307" s="161"/>
      <c r="AV1307" s="156"/>
      <c r="AW1307" s="162"/>
      <c r="AX1307" s="163"/>
      <c r="AY1307" s="164"/>
      <c r="AZ1307" s="159"/>
      <c r="BA1307" s="161"/>
      <c r="BB1307" s="165"/>
      <c r="BG1307" s="154" t="s">
        <v>5002</v>
      </c>
    </row>
    <row r="1308" spans="1:59" s="154" customFormat="1" ht="15" customHeight="1">
      <c r="A1308" s="168" t="s">
        <v>4951</v>
      </c>
      <c r="B1308" s="153" t="s">
        <v>5003</v>
      </c>
      <c r="C1308" s="154" t="s">
        <v>4955</v>
      </c>
      <c r="D1308" s="170">
        <v>280</v>
      </c>
      <c r="E1308" s="154">
        <v>1</v>
      </c>
      <c r="F1308" s="154" t="s">
        <v>4952</v>
      </c>
      <c r="G1308" s="154" t="s">
        <v>5004</v>
      </c>
      <c r="J1308" s="154" t="s">
        <v>619</v>
      </c>
      <c r="K1308" s="171" t="s">
        <v>2426</v>
      </c>
      <c r="L1308" s="154">
        <v>3</v>
      </c>
      <c r="O1308" s="156"/>
      <c r="P1308" s="157"/>
      <c r="Q1308" s="158"/>
      <c r="R1308" s="159"/>
      <c r="S1308" s="160"/>
      <c r="T1308" s="161"/>
      <c r="U1308" s="156"/>
      <c r="V1308" s="162"/>
      <c r="W1308" s="163"/>
      <c r="X1308" s="164"/>
      <c r="Y1308" s="159"/>
      <c r="Z1308" s="161">
        <v>4</v>
      </c>
      <c r="AA1308" s="165"/>
      <c r="AI1308" s="154" t="s">
        <v>5005</v>
      </c>
      <c r="AL1308" s="154" t="s">
        <v>619</v>
      </c>
      <c r="AM1308" s="171" t="s">
        <v>2426</v>
      </c>
      <c r="AN1308" s="154">
        <v>3</v>
      </c>
      <c r="AO1308" s="155"/>
      <c r="AQ1308" s="156"/>
      <c r="AR1308" s="157"/>
      <c r="AS1308" s="158"/>
      <c r="AT1308" s="159"/>
      <c r="AU1308" s="161"/>
      <c r="AV1308" s="156"/>
      <c r="AW1308" s="162"/>
      <c r="AX1308" s="163"/>
      <c r="AY1308" s="164"/>
      <c r="AZ1308" s="159"/>
      <c r="BA1308" s="161"/>
      <c r="BB1308" s="165"/>
      <c r="BG1308" s="154" t="s">
        <v>5006</v>
      </c>
    </row>
    <row r="1309" spans="1:59" s="154" customFormat="1" ht="15" customHeight="1">
      <c r="A1309" s="168" t="s">
        <v>4951</v>
      </c>
      <c r="B1309" s="153" t="s">
        <v>5007</v>
      </c>
      <c r="C1309" s="154" t="s">
        <v>4955</v>
      </c>
      <c r="D1309" s="170">
        <v>281</v>
      </c>
      <c r="E1309" s="154">
        <v>1</v>
      </c>
      <c r="F1309" s="154" t="s">
        <v>4952</v>
      </c>
      <c r="G1309" s="154" t="s">
        <v>5008</v>
      </c>
      <c r="J1309" s="154" t="s">
        <v>619</v>
      </c>
      <c r="K1309" s="171" t="s">
        <v>2426</v>
      </c>
      <c r="L1309" s="154">
        <v>4</v>
      </c>
      <c r="O1309" s="156"/>
      <c r="P1309" s="157"/>
      <c r="Q1309" s="158"/>
      <c r="R1309" s="159"/>
      <c r="S1309" s="160"/>
      <c r="T1309" s="161"/>
      <c r="U1309" s="156"/>
      <c r="V1309" s="162"/>
      <c r="W1309" s="163"/>
      <c r="X1309" s="164"/>
      <c r="Y1309" s="159"/>
      <c r="Z1309" s="161">
        <v>4</v>
      </c>
      <c r="AA1309" s="165"/>
      <c r="AI1309" s="154" t="s">
        <v>5009</v>
      </c>
      <c r="AL1309" s="154" t="s">
        <v>619</v>
      </c>
      <c r="AM1309" s="154" t="s">
        <v>2426</v>
      </c>
      <c r="AN1309" s="154">
        <v>4</v>
      </c>
      <c r="AO1309" s="155"/>
      <c r="AQ1309" s="156"/>
      <c r="AR1309" s="157"/>
      <c r="AS1309" s="158"/>
      <c r="AT1309" s="159"/>
      <c r="AU1309" s="161"/>
      <c r="AV1309" s="156"/>
      <c r="AW1309" s="162"/>
      <c r="AX1309" s="163"/>
      <c r="AY1309" s="164"/>
      <c r="AZ1309" s="159"/>
      <c r="BA1309" s="161"/>
      <c r="BB1309" s="165"/>
      <c r="BE1309" s="155"/>
      <c r="BG1309" s="154" t="s">
        <v>5010</v>
      </c>
    </row>
    <row r="1310" spans="1:59" s="154" customFormat="1" ht="15" customHeight="1">
      <c r="A1310" s="168" t="s">
        <v>4951</v>
      </c>
      <c r="B1310" s="153" t="s">
        <v>5011</v>
      </c>
      <c r="C1310" s="154" t="s">
        <v>4955</v>
      </c>
      <c r="D1310" s="170">
        <v>282</v>
      </c>
      <c r="E1310" s="154">
        <v>1</v>
      </c>
      <c r="F1310" s="154" t="s">
        <v>4952</v>
      </c>
      <c r="G1310" s="154" t="s">
        <v>5012</v>
      </c>
      <c r="J1310" s="154" t="s">
        <v>619</v>
      </c>
      <c r="K1310" s="171" t="s">
        <v>2426</v>
      </c>
      <c r="L1310" s="154">
        <v>5</v>
      </c>
      <c r="O1310" s="156"/>
      <c r="P1310" s="157"/>
      <c r="Q1310" s="158"/>
      <c r="R1310" s="159"/>
      <c r="S1310" s="160"/>
      <c r="T1310" s="161"/>
      <c r="U1310" s="156"/>
      <c r="V1310" s="162"/>
      <c r="W1310" s="163"/>
      <c r="X1310" s="164"/>
      <c r="Y1310" s="159"/>
      <c r="Z1310" s="161">
        <v>5</v>
      </c>
      <c r="AA1310" s="165"/>
      <c r="AF1310" s="154" t="s">
        <v>5013</v>
      </c>
      <c r="AI1310" s="154" t="s">
        <v>5014</v>
      </c>
      <c r="AL1310" s="154" t="s">
        <v>619</v>
      </c>
      <c r="AM1310" s="154" t="s">
        <v>2426</v>
      </c>
      <c r="AN1310" s="154">
        <v>5</v>
      </c>
      <c r="AO1310" s="155"/>
      <c r="AQ1310" s="156"/>
      <c r="AR1310" s="157"/>
      <c r="AS1310" s="158"/>
      <c r="AT1310" s="159"/>
      <c r="AU1310" s="161"/>
      <c r="AV1310" s="156"/>
      <c r="AW1310" s="162"/>
      <c r="AX1310" s="163"/>
      <c r="AY1310" s="164"/>
      <c r="AZ1310" s="159"/>
      <c r="BA1310" s="161"/>
      <c r="BB1310" s="165"/>
      <c r="BE1310" s="155"/>
      <c r="BG1310" s="154" t="s">
        <v>5015</v>
      </c>
    </row>
    <row r="1311" spans="1:59" s="154" customFormat="1" ht="15" customHeight="1">
      <c r="A1311" s="168" t="s">
        <v>4951</v>
      </c>
      <c r="B1311" s="153" t="s">
        <v>5016</v>
      </c>
      <c r="C1311" s="154" t="s">
        <v>4955</v>
      </c>
      <c r="D1311" s="170">
        <v>283</v>
      </c>
      <c r="E1311" s="154">
        <v>1</v>
      </c>
      <c r="F1311" s="154" t="s">
        <v>4952</v>
      </c>
      <c r="G1311" s="154" t="s">
        <v>5017</v>
      </c>
      <c r="J1311" s="154" t="s">
        <v>619</v>
      </c>
      <c r="K1311" s="154" t="s">
        <v>2426</v>
      </c>
      <c r="L1311" s="154">
        <v>6</v>
      </c>
      <c r="O1311" s="156"/>
      <c r="P1311" s="157"/>
      <c r="Q1311" s="158"/>
      <c r="R1311" s="159"/>
      <c r="S1311" s="160"/>
      <c r="T1311" s="161"/>
      <c r="U1311" s="156"/>
      <c r="V1311" s="162"/>
      <c r="W1311" s="163"/>
      <c r="X1311" s="164"/>
      <c r="Y1311" s="159"/>
      <c r="Z1311" s="161">
        <v>5</v>
      </c>
      <c r="AA1311" s="165"/>
      <c r="AF1311" s="154" t="s">
        <v>5018</v>
      </c>
      <c r="AI1311" s="154" t="s">
        <v>5019</v>
      </c>
      <c r="AL1311" s="154" t="s">
        <v>619</v>
      </c>
      <c r="AM1311" s="154" t="s">
        <v>2426</v>
      </c>
      <c r="AN1311" s="154">
        <v>6</v>
      </c>
      <c r="AO1311" s="155"/>
      <c r="AQ1311" s="156"/>
      <c r="AR1311" s="157"/>
      <c r="AS1311" s="158"/>
      <c r="AT1311" s="159"/>
      <c r="AU1311" s="161"/>
      <c r="AV1311" s="156"/>
      <c r="AW1311" s="162"/>
      <c r="AX1311" s="163"/>
      <c r="AY1311" s="164"/>
      <c r="AZ1311" s="159"/>
      <c r="BA1311" s="161"/>
      <c r="BB1311" s="165"/>
      <c r="BE1311" s="155"/>
      <c r="BG1311" s="154" t="s">
        <v>5020</v>
      </c>
    </row>
    <row r="1312" spans="1:59" s="154" customFormat="1" ht="15" customHeight="1">
      <c r="A1312" s="168" t="s">
        <v>4951</v>
      </c>
      <c r="B1312" s="153" t="s">
        <v>5021</v>
      </c>
      <c r="C1312" s="154" t="s">
        <v>4955</v>
      </c>
      <c r="D1312" s="170">
        <v>284</v>
      </c>
      <c r="E1312" s="154">
        <v>1</v>
      </c>
      <c r="F1312" s="154" t="s">
        <v>4952</v>
      </c>
      <c r="G1312" s="154" t="s">
        <v>5022</v>
      </c>
      <c r="J1312" s="154" t="s">
        <v>619</v>
      </c>
      <c r="K1312" s="154" t="s">
        <v>2426</v>
      </c>
      <c r="L1312" s="154">
        <v>7</v>
      </c>
      <c r="O1312" s="156"/>
      <c r="P1312" s="157"/>
      <c r="Q1312" s="158"/>
      <c r="R1312" s="159"/>
      <c r="S1312" s="160"/>
      <c r="T1312" s="161"/>
      <c r="U1312" s="156"/>
      <c r="V1312" s="162"/>
      <c r="W1312" s="163"/>
      <c r="X1312" s="164"/>
      <c r="Y1312" s="159"/>
      <c r="Z1312" s="161"/>
      <c r="AA1312" s="165"/>
      <c r="AF1312" s="154" t="s">
        <v>5023</v>
      </c>
      <c r="AI1312" s="154" t="s">
        <v>5024</v>
      </c>
      <c r="AL1312" s="154" t="s">
        <v>619</v>
      </c>
      <c r="AM1312" s="154" t="s">
        <v>2426</v>
      </c>
      <c r="AN1312" s="154">
        <v>7</v>
      </c>
      <c r="AP1312" s="155"/>
      <c r="AQ1312" s="156"/>
      <c r="AR1312" s="157"/>
      <c r="AS1312" s="158"/>
      <c r="AT1312" s="159"/>
      <c r="AU1312" s="161"/>
      <c r="AV1312" s="156"/>
      <c r="AW1312" s="162"/>
      <c r="AX1312" s="163"/>
      <c r="AY1312" s="164"/>
      <c r="AZ1312" s="159"/>
      <c r="BA1312" s="161"/>
      <c r="BB1312" s="165"/>
      <c r="BF1312" s="155"/>
      <c r="BG1312" s="154" t="s">
        <v>4555</v>
      </c>
    </row>
    <row r="1313" spans="1:59" s="154" customFormat="1" ht="15" customHeight="1">
      <c r="A1313" s="168" t="s">
        <v>4951</v>
      </c>
      <c r="B1313" s="153" t="s">
        <v>5025</v>
      </c>
      <c r="C1313" s="154" t="s">
        <v>4955</v>
      </c>
      <c r="D1313" s="170">
        <v>285</v>
      </c>
      <c r="E1313" s="154">
        <v>1</v>
      </c>
      <c r="F1313" s="154" t="s">
        <v>4952</v>
      </c>
      <c r="G1313" s="154" t="s">
        <v>5026</v>
      </c>
      <c r="J1313" s="154" t="s">
        <v>621</v>
      </c>
      <c r="K1313" s="154" t="s">
        <v>2426</v>
      </c>
      <c r="L1313" s="154">
        <v>1</v>
      </c>
      <c r="N1313" s="155"/>
      <c r="O1313" s="156"/>
      <c r="P1313" s="157"/>
      <c r="Q1313" s="158"/>
      <c r="R1313" s="159"/>
      <c r="S1313" s="160"/>
      <c r="T1313" s="161"/>
      <c r="U1313" s="156"/>
      <c r="V1313" s="162"/>
      <c r="W1313" s="163"/>
      <c r="X1313" s="164"/>
      <c r="Y1313" s="159" t="s">
        <v>1112</v>
      </c>
      <c r="Z1313" s="161"/>
      <c r="AA1313" s="165"/>
      <c r="AE1313" s="155"/>
      <c r="AF1313" s="154" t="s">
        <v>5027</v>
      </c>
      <c r="AI1313" s="154" t="s">
        <v>5028</v>
      </c>
      <c r="AL1313" s="154" t="s">
        <v>621</v>
      </c>
      <c r="AM1313" s="154" t="s">
        <v>2426</v>
      </c>
      <c r="AN1313" s="154">
        <v>1</v>
      </c>
      <c r="AP1313" s="155"/>
      <c r="AQ1313" s="156"/>
      <c r="AR1313" s="157"/>
      <c r="AS1313" s="158"/>
      <c r="AT1313" s="159"/>
      <c r="AU1313" s="161"/>
      <c r="AV1313" s="156"/>
      <c r="AW1313" s="162"/>
      <c r="AX1313" s="163"/>
      <c r="AY1313" s="164"/>
      <c r="AZ1313" s="159"/>
      <c r="BA1313" s="161"/>
      <c r="BB1313" s="165"/>
      <c r="BF1313" s="155"/>
      <c r="BG1313" s="154" t="s">
        <v>5029</v>
      </c>
    </row>
    <row r="1314" spans="1:59" s="154" customFormat="1" ht="15" customHeight="1">
      <c r="A1314" s="168" t="s">
        <v>4951</v>
      </c>
      <c r="B1314" s="153" t="s">
        <v>5030</v>
      </c>
      <c r="C1314" s="154" t="s">
        <v>4955</v>
      </c>
      <c r="D1314" s="170">
        <v>286</v>
      </c>
      <c r="E1314" s="154">
        <v>1</v>
      </c>
      <c r="F1314" s="154" t="s">
        <v>4952</v>
      </c>
      <c r="G1314" s="154" t="s">
        <v>5031</v>
      </c>
      <c r="J1314" s="154" t="s">
        <v>31</v>
      </c>
      <c r="K1314" s="154" t="s">
        <v>2426</v>
      </c>
      <c r="N1314" s="155"/>
      <c r="O1314" s="156"/>
      <c r="P1314" s="157"/>
      <c r="Q1314" s="158"/>
      <c r="R1314" s="159"/>
      <c r="S1314" s="160"/>
      <c r="T1314" s="161"/>
      <c r="U1314" s="156"/>
      <c r="V1314" s="162"/>
      <c r="W1314" s="163"/>
      <c r="X1314" s="164">
        <v>3</v>
      </c>
      <c r="Y1314" s="159">
        <v>0</v>
      </c>
      <c r="Z1314" s="161"/>
      <c r="AA1314" s="165"/>
      <c r="AD1314" s="154" t="s">
        <v>5032</v>
      </c>
      <c r="AE1314" s="155"/>
      <c r="AF1314" s="154" t="s">
        <v>5033</v>
      </c>
      <c r="AP1314" s="155"/>
      <c r="AQ1314" s="156"/>
      <c r="AR1314" s="157"/>
      <c r="AS1314" s="158"/>
      <c r="AT1314" s="159"/>
      <c r="AU1314" s="161"/>
      <c r="AV1314" s="156"/>
      <c r="AW1314" s="162"/>
      <c r="AX1314" s="163"/>
      <c r="AY1314" s="164"/>
      <c r="AZ1314" s="159"/>
      <c r="BA1314" s="161"/>
      <c r="BB1314" s="165"/>
      <c r="BF1314" s="155"/>
    </row>
    <row r="1315" spans="1:59" s="154" customFormat="1" ht="15" customHeight="1">
      <c r="A1315" s="168" t="s">
        <v>4951</v>
      </c>
      <c r="B1315" s="153" t="s">
        <v>5034</v>
      </c>
      <c r="C1315" s="154" t="s">
        <v>4955</v>
      </c>
      <c r="D1315" s="170">
        <v>287</v>
      </c>
      <c r="E1315" s="154">
        <v>1</v>
      </c>
      <c r="F1315" s="154" t="s">
        <v>4952</v>
      </c>
      <c r="G1315" s="154" t="s">
        <v>5035</v>
      </c>
      <c r="J1315" s="154" t="s">
        <v>31</v>
      </c>
      <c r="K1315" s="154" t="s">
        <v>2426</v>
      </c>
      <c r="N1315" s="155"/>
      <c r="O1315" s="156"/>
      <c r="P1315" s="157"/>
      <c r="Q1315" s="158"/>
      <c r="R1315" s="159"/>
      <c r="S1315" s="160"/>
      <c r="T1315" s="161"/>
      <c r="U1315" s="156"/>
      <c r="V1315" s="162"/>
      <c r="W1315" s="163"/>
      <c r="X1315" s="164">
        <v>3</v>
      </c>
      <c r="Y1315" s="159" t="s">
        <v>1073</v>
      </c>
      <c r="Z1315" s="161"/>
      <c r="AA1315" s="165"/>
      <c r="AD1315" s="154" t="s">
        <v>5036</v>
      </c>
      <c r="AE1315" s="155"/>
      <c r="AF1315" s="154" t="s">
        <v>5037</v>
      </c>
      <c r="AP1315" s="155"/>
      <c r="AQ1315" s="156"/>
      <c r="AR1315" s="157"/>
      <c r="AS1315" s="158"/>
      <c r="AT1315" s="159"/>
      <c r="AU1315" s="161"/>
      <c r="AV1315" s="156"/>
      <c r="AW1315" s="162"/>
      <c r="AX1315" s="163"/>
      <c r="AY1315" s="164"/>
      <c r="AZ1315" s="159"/>
      <c r="BA1315" s="161"/>
      <c r="BB1315" s="165"/>
      <c r="BF1315" s="155"/>
    </row>
    <row r="1316" spans="1:59" s="154" customFormat="1" ht="15" customHeight="1">
      <c r="A1316" s="168" t="s">
        <v>4951</v>
      </c>
      <c r="B1316" s="169" t="s">
        <v>5038</v>
      </c>
      <c r="C1316" s="154" t="s">
        <v>4955</v>
      </c>
      <c r="D1316" s="170">
        <v>288</v>
      </c>
      <c r="E1316" s="154">
        <v>1</v>
      </c>
      <c r="F1316" s="154" t="s">
        <v>4952</v>
      </c>
      <c r="G1316" s="154" t="s">
        <v>5039</v>
      </c>
      <c r="J1316" s="154" t="s">
        <v>31</v>
      </c>
      <c r="K1316" s="154" t="s">
        <v>2426</v>
      </c>
      <c r="N1316" s="155"/>
      <c r="O1316" s="156"/>
      <c r="P1316" s="157"/>
      <c r="Q1316" s="158"/>
      <c r="R1316" s="159"/>
      <c r="S1316" s="160"/>
      <c r="T1316" s="161"/>
      <c r="U1316" s="156"/>
      <c r="V1316" s="162"/>
      <c r="W1316" s="163"/>
      <c r="X1316" s="164">
        <v>4</v>
      </c>
      <c r="Y1316" s="159" t="s">
        <v>1073</v>
      </c>
      <c r="Z1316" s="161"/>
      <c r="AA1316" s="165"/>
      <c r="AD1316" s="154" t="s">
        <v>5036</v>
      </c>
      <c r="AE1316" s="155"/>
      <c r="AF1316" s="154" t="s">
        <v>5040</v>
      </c>
      <c r="AP1316" s="155"/>
      <c r="AQ1316" s="156"/>
      <c r="AR1316" s="157"/>
      <c r="AS1316" s="158"/>
      <c r="AT1316" s="159"/>
      <c r="AU1316" s="161"/>
      <c r="AV1316" s="156"/>
      <c r="AW1316" s="162"/>
      <c r="AX1316" s="163"/>
      <c r="AY1316" s="164"/>
      <c r="AZ1316" s="159"/>
      <c r="BA1316" s="161"/>
      <c r="BB1316" s="165"/>
      <c r="BF1316" s="155"/>
    </row>
    <row r="1317" spans="1:59" s="154" customFormat="1" ht="15" customHeight="1">
      <c r="A1317" s="168" t="s">
        <v>4951</v>
      </c>
      <c r="B1317" s="153" t="s">
        <v>5041</v>
      </c>
      <c r="C1317" s="154" t="s">
        <v>4955</v>
      </c>
      <c r="D1317" s="170">
        <v>289</v>
      </c>
      <c r="E1317" s="154">
        <v>1</v>
      </c>
      <c r="F1317" s="154" t="s">
        <v>4952</v>
      </c>
      <c r="G1317" s="154" t="s">
        <v>5042</v>
      </c>
      <c r="J1317" s="154" t="s">
        <v>31</v>
      </c>
      <c r="K1317" s="154" t="s">
        <v>2426</v>
      </c>
      <c r="N1317" s="155"/>
      <c r="O1317" s="156"/>
      <c r="P1317" s="157"/>
      <c r="Q1317" s="158"/>
      <c r="R1317" s="159"/>
      <c r="S1317" s="160"/>
      <c r="T1317" s="161"/>
      <c r="U1317" s="156"/>
      <c r="V1317" s="162"/>
      <c r="W1317" s="163"/>
      <c r="X1317" s="164">
        <v>4</v>
      </c>
      <c r="Y1317" s="159">
        <v>0</v>
      </c>
      <c r="Z1317" s="161"/>
      <c r="AA1317" s="165"/>
      <c r="AD1317" s="154" t="s">
        <v>5036</v>
      </c>
      <c r="AE1317" s="155"/>
      <c r="AF1317" s="154" t="s">
        <v>5043</v>
      </c>
      <c r="AP1317" s="155"/>
      <c r="AQ1317" s="156"/>
      <c r="AR1317" s="157"/>
      <c r="AS1317" s="158"/>
      <c r="AT1317" s="159"/>
      <c r="AU1317" s="161"/>
      <c r="AV1317" s="156"/>
      <c r="AW1317" s="162"/>
      <c r="AX1317" s="163"/>
      <c r="AY1317" s="164"/>
      <c r="AZ1317" s="159"/>
      <c r="BA1317" s="161"/>
      <c r="BB1317" s="165"/>
      <c r="BF1317" s="155"/>
    </row>
    <row r="1318" spans="1:59" s="154" customFormat="1" ht="15" customHeight="1">
      <c r="A1318" s="168" t="s">
        <v>4951</v>
      </c>
      <c r="B1318" s="153" t="s">
        <v>5044</v>
      </c>
      <c r="C1318" s="154" t="s">
        <v>4955</v>
      </c>
      <c r="D1318" s="170">
        <v>290</v>
      </c>
      <c r="E1318" s="154">
        <v>1</v>
      </c>
      <c r="F1318" s="154" t="s">
        <v>4952</v>
      </c>
      <c r="G1318" s="154" t="s">
        <v>5045</v>
      </c>
      <c r="J1318" s="154" t="s">
        <v>31</v>
      </c>
      <c r="K1318" s="154" t="s">
        <v>2426</v>
      </c>
      <c r="N1318" s="155"/>
      <c r="O1318" s="156"/>
      <c r="P1318" s="157"/>
      <c r="Q1318" s="158"/>
      <c r="R1318" s="159"/>
      <c r="S1318" s="160"/>
      <c r="T1318" s="161"/>
      <c r="U1318" s="156"/>
      <c r="V1318" s="162"/>
      <c r="W1318" s="163"/>
      <c r="X1318" s="164">
        <v>1</v>
      </c>
      <c r="Y1318" s="159" t="s">
        <v>1073</v>
      </c>
      <c r="Z1318" s="161"/>
      <c r="AA1318" s="165"/>
      <c r="AD1318" s="154" t="s">
        <v>5036</v>
      </c>
      <c r="AE1318" s="155"/>
      <c r="AF1318" s="154" t="s">
        <v>5046</v>
      </c>
      <c r="AI1318" s="153"/>
      <c r="AP1318" s="155"/>
      <c r="AQ1318" s="156"/>
      <c r="AR1318" s="157"/>
      <c r="AS1318" s="158"/>
      <c r="AT1318" s="159"/>
      <c r="AU1318" s="161"/>
      <c r="AV1318" s="156"/>
      <c r="AW1318" s="162"/>
      <c r="AX1318" s="163"/>
      <c r="AY1318" s="164"/>
      <c r="AZ1318" s="159"/>
      <c r="BA1318" s="161"/>
      <c r="BB1318" s="165"/>
      <c r="BF1318" s="155"/>
    </row>
    <row r="1319" spans="1:59" s="154" customFormat="1" ht="15" customHeight="1">
      <c r="A1319" s="168" t="s">
        <v>4951</v>
      </c>
      <c r="B1319" s="153" t="s">
        <v>5047</v>
      </c>
      <c r="C1319" s="154" t="s">
        <v>4955</v>
      </c>
      <c r="D1319" s="170">
        <v>291</v>
      </c>
      <c r="E1319" s="154">
        <v>1</v>
      </c>
      <c r="F1319" s="154" t="s">
        <v>4952</v>
      </c>
      <c r="G1319" s="154" t="s">
        <v>5048</v>
      </c>
      <c r="J1319" s="154" t="s">
        <v>31</v>
      </c>
      <c r="K1319" s="154" t="s">
        <v>2426</v>
      </c>
      <c r="N1319" s="155"/>
      <c r="O1319" s="156"/>
      <c r="P1319" s="157"/>
      <c r="Q1319" s="158"/>
      <c r="R1319" s="159"/>
      <c r="S1319" s="160"/>
      <c r="T1319" s="161"/>
      <c r="U1319" s="156"/>
      <c r="V1319" s="162"/>
      <c r="W1319" s="163"/>
      <c r="X1319" s="164">
        <v>2</v>
      </c>
      <c r="Y1319" s="159" t="s">
        <v>1111</v>
      </c>
      <c r="Z1319" s="161"/>
      <c r="AA1319" s="165"/>
      <c r="AD1319" s="154" t="s">
        <v>5036</v>
      </c>
      <c r="AE1319" s="155"/>
      <c r="AF1319" s="154" t="s">
        <v>5049</v>
      </c>
      <c r="AP1319" s="155"/>
      <c r="AQ1319" s="156"/>
      <c r="AR1319" s="157"/>
      <c r="AS1319" s="158"/>
      <c r="AT1319" s="159"/>
      <c r="AU1319" s="161"/>
      <c r="AV1319" s="156"/>
      <c r="AW1319" s="162"/>
      <c r="AX1319" s="163"/>
      <c r="AY1319" s="164"/>
      <c r="AZ1319" s="159"/>
      <c r="BA1319" s="161"/>
      <c r="BB1319" s="165"/>
      <c r="BF1319" s="155"/>
    </row>
    <row r="1320" spans="1:59" s="154" customFormat="1" ht="15" customHeight="1">
      <c r="A1320" s="168" t="s">
        <v>4951</v>
      </c>
      <c r="B1320" s="153" t="s">
        <v>5050</v>
      </c>
      <c r="C1320" s="154" t="s">
        <v>4955</v>
      </c>
      <c r="D1320" s="170">
        <v>292</v>
      </c>
      <c r="E1320" s="154">
        <v>1</v>
      </c>
      <c r="F1320" s="154" t="s">
        <v>4952</v>
      </c>
      <c r="G1320" s="154" t="s">
        <v>5051</v>
      </c>
      <c r="J1320" s="154" t="s">
        <v>31</v>
      </c>
      <c r="K1320" s="154" t="s">
        <v>2426</v>
      </c>
      <c r="N1320" s="155"/>
      <c r="O1320" s="156"/>
      <c r="P1320" s="157"/>
      <c r="Q1320" s="158"/>
      <c r="R1320" s="159"/>
      <c r="S1320" s="160"/>
      <c r="T1320" s="161"/>
      <c r="U1320" s="156"/>
      <c r="V1320" s="162"/>
      <c r="W1320" s="163"/>
      <c r="X1320" s="164">
        <v>2</v>
      </c>
      <c r="Y1320" s="159" t="s">
        <v>1073</v>
      </c>
      <c r="Z1320" s="161"/>
      <c r="AA1320" s="165"/>
      <c r="AD1320" s="154" t="s">
        <v>5036</v>
      </c>
      <c r="AE1320" s="155"/>
      <c r="AF1320" s="154" t="s">
        <v>5052</v>
      </c>
      <c r="AP1320" s="155"/>
      <c r="AQ1320" s="156"/>
      <c r="AR1320" s="157"/>
      <c r="AS1320" s="158"/>
      <c r="AT1320" s="159"/>
      <c r="AU1320" s="161"/>
      <c r="AV1320" s="156"/>
      <c r="AW1320" s="162"/>
      <c r="AX1320" s="163"/>
      <c r="AY1320" s="164"/>
      <c r="AZ1320" s="159"/>
      <c r="BA1320" s="161"/>
      <c r="BB1320" s="165"/>
      <c r="BF1320" s="155"/>
    </row>
    <row r="1321" spans="1:59" s="154" customFormat="1" ht="15" customHeight="1">
      <c r="A1321" s="168" t="s">
        <v>4951</v>
      </c>
      <c r="B1321" s="153" t="s">
        <v>5053</v>
      </c>
      <c r="C1321" s="154" t="s">
        <v>4955</v>
      </c>
      <c r="D1321" s="170">
        <v>293</v>
      </c>
      <c r="E1321" s="154">
        <v>1</v>
      </c>
      <c r="F1321" s="154" t="s">
        <v>4952</v>
      </c>
      <c r="G1321" s="154" t="s">
        <v>5054</v>
      </c>
      <c r="J1321" s="154" t="s">
        <v>31</v>
      </c>
      <c r="K1321" s="154" t="s">
        <v>2426</v>
      </c>
      <c r="N1321" s="155"/>
      <c r="O1321" s="156"/>
      <c r="P1321" s="157"/>
      <c r="Q1321" s="158"/>
      <c r="R1321" s="159"/>
      <c r="S1321" s="160"/>
      <c r="T1321" s="161"/>
      <c r="U1321" s="156"/>
      <c r="V1321" s="162"/>
      <c r="W1321" s="163"/>
      <c r="X1321" s="164">
        <v>3</v>
      </c>
      <c r="Y1321" s="159">
        <v>0</v>
      </c>
      <c r="Z1321" s="161"/>
      <c r="AA1321" s="165"/>
      <c r="AD1321" s="154" t="s">
        <v>5036</v>
      </c>
      <c r="AE1321" s="155"/>
      <c r="AF1321" s="154" t="s">
        <v>5055</v>
      </c>
      <c r="AP1321" s="155"/>
      <c r="AQ1321" s="156"/>
      <c r="AR1321" s="157"/>
      <c r="AS1321" s="158"/>
      <c r="AT1321" s="159"/>
      <c r="AU1321" s="161"/>
      <c r="AV1321" s="156"/>
      <c r="AW1321" s="162"/>
      <c r="AX1321" s="163"/>
      <c r="AY1321" s="164"/>
      <c r="AZ1321" s="159"/>
      <c r="BA1321" s="161"/>
      <c r="BB1321" s="165"/>
      <c r="BF1321" s="155"/>
    </row>
    <row r="1322" spans="1:59" s="154" customFormat="1" ht="15" customHeight="1">
      <c r="A1322" s="168" t="s">
        <v>4951</v>
      </c>
      <c r="B1322" s="153" t="s">
        <v>5056</v>
      </c>
      <c r="C1322" s="154" t="s">
        <v>4955</v>
      </c>
      <c r="D1322" s="170">
        <v>294</v>
      </c>
      <c r="E1322" s="154">
        <v>1</v>
      </c>
      <c r="F1322" s="154" t="s">
        <v>4952</v>
      </c>
      <c r="G1322" s="154" t="s">
        <v>5057</v>
      </c>
      <c r="J1322" s="154" t="s">
        <v>31</v>
      </c>
      <c r="K1322" s="154" t="s">
        <v>2426</v>
      </c>
      <c r="N1322" s="155"/>
      <c r="O1322" s="156"/>
      <c r="P1322" s="157"/>
      <c r="Q1322" s="158"/>
      <c r="R1322" s="159"/>
      <c r="S1322" s="160"/>
      <c r="T1322" s="161"/>
      <c r="U1322" s="156"/>
      <c r="V1322" s="162"/>
      <c r="W1322" s="163"/>
      <c r="X1322" s="164">
        <v>-2</v>
      </c>
      <c r="Y1322" s="159" t="s">
        <v>1073</v>
      </c>
      <c r="Z1322" s="161"/>
      <c r="AA1322" s="165"/>
      <c r="AD1322" s="154" t="s">
        <v>5036</v>
      </c>
      <c r="AF1322" s="154" t="s">
        <v>5058</v>
      </c>
      <c r="AP1322" s="155"/>
      <c r="AQ1322" s="156"/>
      <c r="AR1322" s="157"/>
      <c r="AS1322" s="158"/>
      <c r="AT1322" s="159"/>
      <c r="AU1322" s="161"/>
      <c r="AV1322" s="156"/>
      <c r="AW1322" s="162"/>
      <c r="AX1322" s="163"/>
      <c r="AY1322" s="164"/>
      <c r="AZ1322" s="159"/>
      <c r="BA1322" s="161"/>
      <c r="BB1322" s="165"/>
      <c r="BF1322" s="155"/>
    </row>
    <row r="1323" spans="1:59" s="154" customFormat="1" ht="15" customHeight="1">
      <c r="A1323" s="168" t="s">
        <v>4951</v>
      </c>
      <c r="B1323" s="169" t="s">
        <v>5059</v>
      </c>
      <c r="C1323" s="154" t="s">
        <v>4955</v>
      </c>
      <c r="D1323" s="170">
        <v>295</v>
      </c>
      <c r="E1323" s="154">
        <v>1</v>
      </c>
      <c r="F1323" s="154" t="s">
        <v>4952</v>
      </c>
      <c r="G1323" s="154" t="s">
        <v>5060</v>
      </c>
      <c r="J1323" s="154" t="s">
        <v>31</v>
      </c>
      <c r="K1323" s="154" t="s">
        <v>2426</v>
      </c>
      <c r="N1323" s="155"/>
      <c r="O1323" s="156"/>
      <c r="P1323" s="157"/>
      <c r="Q1323" s="158"/>
      <c r="R1323" s="159"/>
      <c r="S1323" s="160"/>
      <c r="T1323" s="161"/>
      <c r="U1323" s="156"/>
      <c r="V1323" s="162"/>
      <c r="W1323" s="163"/>
      <c r="X1323" s="164">
        <v>2</v>
      </c>
      <c r="Y1323" s="159" t="s">
        <v>1111</v>
      </c>
      <c r="Z1323" s="161"/>
      <c r="AA1323" s="165"/>
      <c r="AD1323" s="154" t="s">
        <v>5036</v>
      </c>
      <c r="AE1323" s="155"/>
      <c r="AF1323" s="154" t="s">
        <v>5061</v>
      </c>
      <c r="AP1323" s="155"/>
      <c r="AQ1323" s="156"/>
      <c r="AR1323" s="157"/>
      <c r="AS1323" s="158"/>
      <c r="AT1323" s="159"/>
      <c r="AU1323" s="161"/>
      <c r="AV1323" s="156"/>
      <c r="AW1323" s="162"/>
      <c r="AX1323" s="163"/>
      <c r="AY1323" s="164"/>
      <c r="AZ1323" s="159"/>
      <c r="BA1323" s="161"/>
      <c r="BB1323" s="165"/>
      <c r="BF1323" s="155"/>
    </row>
    <row r="1324" spans="1:59" s="154" customFormat="1" ht="15" customHeight="1">
      <c r="A1324" s="168" t="s">
        <v>4951</v>
      </c>
      <c r="B1324" s="153" t="s">
        <v>5062</v>
      </c>
      <c r="C1324" s="154" t="s">
        <v>4955</v>
      </c>
      <c r="D1324" s="170">
        <v>296</v>
      </c>
      <c r="E1324" s="154">
        <v>1</v>
      </c>
      <c r="F1324" s="154" t="s">
        <v>4952</v>
      </c>
      <c r="G1324" s="154" t="s">
        <v>5063</v>
      </c>
      <c r="H1324" s="154" t="s">
        <v>5064</v>
      </c>
      <c r="I1324" s="154" t="s">
        <v>223</v>
      </c>
      <c r="J1324" s="154" t="s">
        <v>29</v>
      </c>
      <c r="K1324" s="154" t="s">
        <v>2426</v>
      </c>
      <c r="N1324" s="155"/>
      <c r="O1324" s="156"/>
      <c r="P1324" s="157"/>
      <c r="Q1324" s="158">
        <v>4</v>
      </c>
      <c r="R1324" s="159">
        <v>4</v>
      </c>
      <c r="S1324" s="160"/>
      <c r="T1324" s="161">
        <v>6</v>
      </c>
      <c r="U1324" s="156"/>
      <c r="V1324" s="162">
        <v>3</v>
      </c>
      <c r="W1324" s="163">
        <v>3</v>
      </c>
      <c r="X1324" s="164"/>
      <c r="Y1324" s="159"/>
      <c r="Z1324" s="161"/>
      <c r="AA1324" s="165">
        <v>5</v>
      </c>
      <c r="AD1324" s="154" t="s">
        <v>5065</v>
      </c>
      <c r="AE1324" s="155"/>
      <c r="AF1324" s="154" t="s">
        <v>5066</v>
      </c>
      <c r="AP1324" s="155"/>
      <c r="AQ1324" s="156"/>
      <c r="AR1324" s="157"/>
      <c r="AS1324" s="158"/>
      <c r="AT1324" s="159"/>
      <c r="AU1324" s="161"/>
      <c r="AV1324" s="156"/>
      <c r="AW1324" s="162"/>
      <c r="AX1324" s="163"/>
      <c r="AY1324" s="164"/>
      <c r="AZ1324" s="159"/>
      <c r="BA1324" s="161"/>
      <c r="BB1324" s="165"/>
      <c r="BF1324" s="155"/>
    </row>
    <row r="1325" spans="1:59" s="154" customFormat="1" ht="15" customHeight="1">
      <c r="A1325" s="168" t="s">
        <v>4951</v>
      </c>
      <c r="B1325" s="169" t="s">
        <v>5067</v>
      </c>
      <c r="C1325" s="154" t="s">
        <v>4955</v>
      </c>
      <c r="D1325" s="170">
        <v>297</v>
      </c>
      <c r="E1325" s="154">
        <v>3</v>
      </c>
      <c r="F1325" s="154" t="s">
        <v>4952</v>
      </c>
      <c r="G1325" s="154" t="s">
        <v>5068</v>
      </c>
      <c r="J1325" s="154" t="s">
        <v>29</v>
      </c>
      <c r="K1325" s="154" t="s">
        <v>2426</v>
      </c>
      <c r="N1325" s="155"/>
      <c r="O1325" s="156"/>
      <c r="P1325" s="157"/>
      <c r="Q1325" s="158">
        <v>4</v>
      </c>
      <c r="R1325" s="159">
        <v>1</v>
      </c>
      <c r="S1325" s="160"/>
      <c r="T1325" s="161">
        <v>4</v>
      </c>
      <c r="U1325" s="156"/>
      <c r="V1325" s="162">
        <v>1</v>
      </c>
      <c r="W1325" s="163">
        <v>1</v>
      </c>
      <c r="X1325" s="164"/>
      <c r="Y1325" s="159"/>
      <c r="Z1325" s="161"/>
      <c r="AA1325" s="165"/>
      <c r="AD1325" s="154" t="s">
        <v>3861</v>
      </c>
      <c r="AE1325" s="155"/>
      <c r="AF1325" s="154" t="s">
        <v>5069</v>
      </c>
      <c r="AP1325" s="155"/>
      <c r="AQ1325" s="156"/>
      <c r="AR1325" s="157"/>
      <c r="AS1325" s="158"/>
      <c r="AT1325" s="159"/>
      <c r="AU1325" s="161"/>
      <c r="AV1325" s="156"/>
      <c r="AW1325" s="162"/>
      <c r="AX1325" s="163"/>
      <c r="AY1325" s="164"/>
      <c r="AZ1325" s="159"/>
      <c r="BA1325" s="161"/>
      <c r="BB1325" s="165"/>
      <c r="BF1325" s="155"/>
    </row>
    <row r="1326" spans="1:59" s="154" customFormat="1" ht="15" customHeight="1">
      <c r="A1326" s="168" t="s">
        <v>4951</v>
      </c>
      <c r="B1326" s="153" t="s">
        <v>5070</v>
      </c>
      <c r="C1326" s="154" t="s">
        <v>4955</v>
      </c>
      <c r="D1326" s="170">
        <v>298</v>
      </c>
      <c r="E1326" s="154">
        <v>1</v>
      </c>
      <c r="F1326" s="154" t="s">
        <v>4952</v>
      </c>
      <c r="G1326" s="154" t="s">
        <v>5071</v>
      </c>
      <c r="J1326" s="154" t="s">
        <v>29</v>
      </c>
      <c r="K1326" s="154" t="s">
        <v>2426</v>
      </c>
      <c r="N1326" s="155"/>
      <c r="O1326" s="156"/>
      <c r="P1326" s="157"/>
      <c r="Q1326" s="158">
        <v>5</v>
      </c>
      <c r="R1326" s="159" t="s">
        <v>32</v>
      </c>
      <c r="S1326" s="160"/>
      <c r="T1326" s="161">
        <v>6</v>
      </c>
      <c r="U1326" s="156"/>
      <c r="V1326" s="162">
        <v>3</v>
      </c>
      <c r="W1326" s="163">
        <v>2</v>
      </c>
      <c r="X1326" s="164"/>
      <c r="Y1326" s="159"/>
      <c r="Z1326" s="161"/>
      <c r="AA1326" s="165">
        <v>2</v>
      </c>
      <c r="AD1326" s="154" t="s">
        <v>2784</v>
      </c>
      <c r="AE1326" s="155"/>
      <c r="AF1326" s="154" t="s">
        <v>5072</v>
      </c>
      <c r="AP1326" s="155"/>
      <c r="AQ1326" s="156"/>
      <c r="AR1326" s="157"/>
      <c r="AS1326" s="158"/>
      <c r="AT1326" s="159"/>
      <c r="AU1326" s="161"/>
      <c r="AV1326" s="156"/>
      <c r="AW1326" s="162"/>
      <c r="AX1326" s="163"/>
      <c r="AY1326" s="164"/>
      <c r="AZ1326" s="159"/>
      <c r="BA1326" s="161"/>
      <c r="BB1326" s="165"/>
      <c r="BF1326" s="155"/>
    </row>
    <row r="1327" spans="1:59" s="154" customFormat="1" ht="15" customHeight="1">
      <c r="A1327" s="168" t="s">
        <v>4951</v>
      </c>
      <c r="B1327" s="153" t="s">
        <v>5073</v>
      </c>
      <c r="C1327" s="154" t="s">
        <v>4955</v>
      </c>
      <c r="D1327" s="170">
        <v>299</v>
      </c>
      <c r="E1327" s="154">
        <v>3</v>
      </c>
      <c r="F1327" s="154" t="s">
        <v>4952</v>
      </c>
      <c r="G1327" s="154" t="s">
        <v>5074</v>
      </c>
      <c r="J1327" s="154" t="s">
        <v>28</v>
      </c>
      <c r="K1327" s="154" t="s">
        <v>2426</v>
      </c>
      <c r="N1327" s="155"/>
      <c r="O1327" s="156"/>
      <c r="P1327" s="157"/>
      <c r="Q1327" s="158"/>
      <c r="R1327" s="159"/>
      <c r="S1327" s="160"/>
      <c r="T1327" s="161"/>
      <c r="U1327" s="156"/>
      <c r="V1327" s="162"/>
      <c r="W1327" s="163"/>
      <c r="X1327" s="164"/>
      <c r="Y1327" s="159"/>
      <c r="Z1327" s="161"/>
      <c r="AA1327" s="165"/>
      <c r="AD1327" s="154" t="s">
        <v>1196</v>
      </c>
      <c r="AE1327" s="155"/>
      <c r="AF1327" s="154" t="s">
        <v>5075</v>
      </c>
      <c r="AP1327" s="155"/>
      <c r="AQ1327" s="156"/>
      <c r="AR1327" s="157"/>
      <c r="AS1327" s="158"/>
      <c r="AT1327" s="159"/>
      <c r="AU1327" s="161"/>
      <c r="AV1327" s="156"/>
      <c r="AW1327" s="162"/>
      <c r="AX1327" s="163"/>
      <c r="AY1327" s="164"/>
      <c r="AZ1327" s="159"/>
      <c r="BA1327" s="161"/>
      <c r="BB1327" s="165"/>
      <c r="BF1327" s="155"/>
    </row>
    <row r="1328" spans="1:59" s="154" customFormat="1" ht="15" customHeight="1">
      <c r="A1328" s="168" t="s">
        <v>4951</v>
      </c>
      <c r="B1328" s="153" t="s">
        <v>5076</v>
      </c>
      <c r="C1328" s="154" t="s">
        <v>4955</v>
      </c>
      <c r="D1328" s="170">
        <v>300</v>
      </c>
      <c r="E1328" s="154">
        <v>3</v>
      </c>
      <c r="F1328" s="154" t="s">
        <v>4952</v>
      </c>
      <c r="G1328" s="154" t="s">
        <v>5077</v>
      </c>
      <c r="J1328" s="154" t="s">
        <v>28</v>
      </c>
      <c r="K1328" s="154" t="s">
        <v>2426</v>
      </c>
      <c r="N1328" s="155"/>
      <c r="O1328" s="156"/>
      <c r="P1328" s="157"/>
      <c r="Q1328" s="158"/>
      <c r="R1328" s="159"/>
      <c r="S1328" s="160"/>
      <c r="T1328" s="161"/>
      <c r="U1328" s="156"/>
      <c r="V1328" s="162"/>
      <c r="W1328" s="163"/>
      <c r="X1328" s="164"/>
      <c r="Y1328" s="159"/>
      <c r="Z1328" s="161"/>
      <c r="AA1328" s="165"/>
      <c r="AD1328" s="154" t="s">
        <v>481</v>
      </c>
      <c r="AE1328" s="155"/>
      <c r="AF1328" s="154" t="s">
        <v>5078</v>
      </c>
      <c r="AP1328" s="155"/>
      <c r="AQ1328" s="156"/>
      <c r="AR1328" s="157"/>
      <c r="AS1328" s="158"/>
      <c r="AT1328" s="159"/>
      <c r="AU1328" s="161"/>
      <c r="AV1328" s="156"/>
      <c r="AW1328" s="162"/>
      <c r="AX1328" s="163"/>
      <c r="AY1328" s="164"/>
      <c r="AZ1328" s="159"/>
      <c r="BA1328" s="161"/>
      <c r="BB1328" s="165"/>
      <c r="BF1328" s="155"/>
    </row>
    <row r="1329" spans="1:59" s="154" customFormat="1" ht="15" customHeight="1">
      <c r="A1329" s="168" t="s">
        <v>4951</v>
      </c>
      <c r="B1329" s="153" t="s">
        <v>5079</v>
      </c>
      <c r="C1329" s="154" t="s">
        <v>4955</v>
      </c>
      <c r="D1329" s="170">
        <v>301</v>
      </c>
      <c r="E1329" s="154">
        <v>3</v>
      </c>
      <c r="F1329" s="154" t="s">
        <v>4952</v>
      </c>
      <c r="G1329" s="154" t="s">
        <v>5080</v>
      </c>
      <c r="J1329" s="154" t="s">
        <v>28</v>
      </c>
      <c r="K1329" s="154" t="s">
        <v>2426</v>
      </c>
      <c r="N1329" s="155"/>
      <c r="O1329" s="156"/>
      <c r="P1329" s="157"/>
      <c r="Q1329" s="158"/>
      <c r="R1329" s="159"/>
      <c r="S1329" s="160"/>
      <c r="T1329" s="161"/>
      <c r="U1329" s="156"/>
      <c r="V1329" s="162"/>
      <c r="W1329" s="163"/>
      <c r="X1329" s="164"/>
      <c r="Y1329" s="159"/>
      <c r="Z1329" s="161"/>
      <c r="AA1329" s="165"/>
      <c r="AD1329" s="154" t="s">
        <v>481</v>
      </c>
      <c r="AE1329" s="155"/>
      <c r="AF1329" s="154" t="s">
        <v>5081</v>
      </c>
      <c r="AP1329" s="155"/>
      <c r="AQ1329" s="156"/>
      <c r="AR1329" s="157"/>
      <c r="AS1329" s="158"/>
      <c r="AT1329" s="159"/>
      <c r="AU1329" s="161"/>
      <c r="AV1329" s="156"/>
      <c r="AW1329" s="162"/>
      <c r="AX1329" s="163"/>
      <c r="AY1329" s="164"/>
      <c r="AZ1329" s="159"/>
      <c r="BA1329" s="161"/>
      <c r="BB1329" s="165"/>
      <c r="BF1329" s="155"/>
    </row>
    <row r="1330" spans="1:59" s="154" customFormat="1" ht="15" customHeight="1">
      <c r="A1330" s="168" t="s">
        <v>4951</v>
      </c>
      <c r="B1330" s="153" t="s">
        <v>5082</v>
      </c>
      <c r="C1330" s="154" t="s">
        <v>4955</v>
      </c>
      <c r="D1330" s="155">
        <v>302</v>
      </c>
      <c r="E1330" s="154">
        <v>2</v>
      </c>
      <c r="F1330" s="154" t="s">
        <v>4952</v>
      </c>
      <c r="G1330" s="154" t="s">
        <v>5083</v>
      </c>
      <c r="J1330" s="154" t="s">
        <v>28</v>
      </c>
      <c r="K1330" s="154" t="s">
        <v>2426</v>
      </c>
      <c r="N1330" s="155"/>
      <c r="O1330" s="156"/>
      <c r="P1330" s="157"/>
      <c r="Q1330" s="158"/>
      <c r="R1330" s="159"/>
      <c r="S1330" s="160"/>
      <c r="T1330" s="161"/>
      <c r="U1330" s="156"/>
      <c r="V1330" s="162"/>
      <c r="W1330" s="163"/>
      <c r="X1330" s="164"/>
      <c r="Y1330" s="159"/>
      <c r="Z1330" s="161"/>
      <c r="AA1330" s="165"/>
      <c r="AD1330" s="154" t="s">
        <v>1196</v>
      </c>
      <c r="AE1330" s="155"/>
      <c r="AF1330" s="154" t="s">
        <v>5084</v>
      </c>
      <c r="AP1330" s="155"/>
      <c r="AQ1330" s="156"/>
      <c r="AR1330" s="157"/>
      <c r="AS1330" s="158"/>
      <c r="AT1330" s="159"/>
      <c r="AU1330" s="161"/>
      <c r="AV1330" s="156"/>
      <c r="AW1330" s="162"/>
      <c r="AX1330" s="163"/>
      <c r="AY1330" s="164"/>
      <c r="AZ1330" s="159"/>
      <c r="BA1330" s="161"/>
      <c r="BB1330" s="165"/>
      <c r="BF1330" s="155"/>
    </row>
    <row r="1331" spans="1:59" s="154" customFormat="1" ht="15" customHeight="1">
      <c r="A1331" s="168" t="s">
        <v>4951</v>
      </c>
      <c r="B1331" s="153" t="s">
        <v>5085</v>
      </c>
      <c r="C1331" s="154" t="s">
        <v>4955</v>
      </c>
      <c r="D1331" s="155">
        <v>303</v>
      </c>
      <c r="E1331" s="154">
        <v>1</v>
      </c>
      <c r="F1331" s="154" t="s">
        <v>4952</v>
      </c>
      <c r="G1331" s="154" t="s">
        <v>3978</v>
      </c>
      <c r="H1331" s="154" t="s">
        <v>5086</v>
      </c>
      <c r="I1331" s="154" t="s">
        <v>223</v>
      </c>
      <c r="J1331" s="154" t="s">
        <v>257</v>
      </c>
      <c r="K1331" s="154" t="s">
        <v>26</v>
      </c>
      <c r="N1331" s="155">
        <v>2</v>
      </c>
      <c r="O1331" s="156"/>
      <c r="P1331" s="157"/>
      <c r="Q1331" s="158"/>
      <c r="R1331" s="159"/>
      <c r="S1331" s="160">
        <v>3</v>
      </c>
      <c r="T1331" s="161"/>
      <c r="U1331" s="156"/>
      <c r="V1331" s="162"/>
      <c r="W1331" s="163"/>
      <c r="X1331" s="164"/>
      <c r="Y1331" s="159"/>
      <c r="Z1331" s="161"/>
      <c r="AA1331" s="165"/>
      <c r="AB1331" s="154" t="s">
        <v>1996</v>
      </c>
      <c r="AD1331" s="154" t="s">
        <v>276</v>
      </c>
      <c r="AE1331" s="155"/>
      <c r="AF1331" s="154" t="s">
        <v>5087</v>
      </c>
      <c r="AP1331" s="155"/>
      <c r="AQ1331" s="156"/>
      <c r="AR1331" s="157"/>
      <c r="AS1331" s="158"/>
      <c r="AT1331" s="159"/>
      <c r="AU1331" s="161"/>
      <c r="AV1331" s="156"/>
      <c r="AW1331" s="162"/>
      <c r="AX1331" s="163"/>
      <c r="AY1331" s="164"/>
      <c r="AZ1331" s="159"/>
      <c r="BA1331" s="161"/>
      <c r="BB1331" s="165"/>
      <c r="BF1331" s="155"/>
    </row>
    <row r="1332" spans="1:59" s="171" customFormat="1" ht="15" customHeight="1">
      <c r="A1332" s="153" t="s">
        <v>5088</v>
      </c>
      <c r="B1332" s="154" t="s">
        <v>5094</v>
      </c>
      <c r="C1332" s="154" t="s">
        <v>5095</v>
      </c>
      <c r="D1332" s="170">
        <v>304</v>
      </c>
      <c r="E1332" s="171">
        <v>2</v>
      </c>
      <c r="F1332" s="154"/>
      <c r="G1332" s="171" t="s">
        <v>5096</v>
      </c>
      <c r="J1332" s="171" t="s">
        <v>257</v>
      </c>
      <c r="K1332" s="171" t="s">
        <v>198</v>
      </c>
      <c r="L1332" s="171">
        <v>1</v>
      </c>
      <c r="N1332" s="170">
        <v>3</v>
      </c>
      <c r="O1332" s="156">
        <v>1</v>
      </c>
      <c r="P1332" s="157"/>
      <c r="Q1332" s="158"/>
      <c r="R1332" s="159"/>
      <c r="S1332" s="160"/>
      <c r="T1332" s="161"/>
      <c r="U1332" s="156"/>
      <c r="V1332" s="162"/>
      <c r="W1332" s="163"/>
      <c r="X1332" s="164"/>
      <c r="Y1332" s="159"/>
      <c r="Z1332" s="161"/>
      <c r="AA1332" s="165"/>
      <c r="AB1332" s="171" t="s">
        <v>204</v>
      </c>
      <c r="AD1332" s="171" t="s">
        <v>265</v>
      </c>
      <c r="AE1332" s="170"/>
      <c r="AF1332" s="171" t="s">
        <v>5097</v>
      </c>
      <c r="AQ1332" s="156"/>
      <c r="AR1332" s="157"/>
      <c r="AS1332" s="158"/>
      <c r="AT1332" s="159"/>
      <c r="AU1332" s="161"/>
      <c r="AV1332" s="156"/>
      <c r="AW1332" s="162"/>
      <c r="AX1332" s="163"/>
      <c r="AY1332" s="164"/>
      <c r="AZ1332" s="159"/>
      <c r="BA1332" s="161"/>
      <c r="BB1332" s="165"/>
      <c r="BF1332" s="170"/>
    </row>
    <row r="1333" spans="1:59" s="154" customFormat="1" ht="15" customHeight="1">
      <c r="A1333" s="153" t="s">
        <v>5088</v>
      </c>
      <c r="B1333" s="154" t="s">
        <v>5098</v>
      </c>
      <c r="C1333" s="154" t="s">
        <v>5095</v>
      </c>
      <c r="D1333" s="170">
        <v>305</v>
      </c>
      <c r="E1333" s="154">
        <v>2</v>
      </c>
      <c r="G1333" s="154" t="s">
        <v>5099</v>
      </c>
      <c r="J1333" s="171" t="s">
        <v>257</v>
      </c>
      <c r="K1333" s="154" t="s">
        <v>198</v>
      </c>
      <c r="L1333" s="154">
        <v>5</v>
      </c>
      <c r="N1333" s="155">
        <v>4</v>
      </c>
      <c r="O1333" s="156"/>
      <c r="P1333" s="157"/>
      <c r="Q1333" s="158">
        <v>2</v>
      </c>
      <c r="R1333" s="159"/>
      <c r="S1333" s="160">
        <v>1</v>
      </c>
      <c r="T1333" s="161"/>
      <c r="U1333" s="156"/>
      <c r="V1333" s="162"/>
      <c r="W1333" s="163"/>
      <c r="X1333" s="164"/>
      <c r="Y1333" s="159"/>
      <c r="Z1333" s="161"/>
      <c r="AA1333" s="165"/>
      <c r="AB1333" s="154" t="s">
        <v>1342</v>
      </c>
      <c r="AC1333" s="154" t="s">
        <v>5100</v>
      </c>
      <c r="AD1333" s="154" t="s">
        <v>259</v>
      </c>
      <c r="AE1333" s="155"/>
      <c r="AF1333" s="154" t="s">
        <v>5101</v>
      </c>
      <c r="AL1333" s="171"/>
      <c r="AO1333" s="155"/>
      <c r="AP1333" s="155"/>
      <c r="AQ1333" s="156"/>
      <c r="AR1333" s="157"/>
      <c r="AS1333" s="158"/>
      <c r="AT1333" s="159"/>
      <c r="AU1333" s="161"/>
      <c r="AV1333" s="156"/>
      <c r="AW1333" s="162"/>
      <c r="AX1333" s="163"/>
      <c r="AY1333" s="164"/>
      <c r="AZ1333" s="159"/>
      <c r="BA1333" s="161"/>
      <c r="BB1333" s="165"/>
      <c r="BE1333" s="155"/>
    </row>
    <row r="1334" spans="1:59" s="154" customFormat="1" ht="15" customHeight="1">
      <c r="A1334" s="153" t="s">
        <v>5088</v>
      </c>
      <c r="B1334" s="153" t="s">
        <v>5102</v>
      </c>
      <c r="C1334" s="154" t="s">
        <v>5095</v>
      </c>
      <c r="D1334" s="170">
        <v>306</v>
      </c>
      <c r="E1334" s="154">
        <v>2</v>
      </c>
      <c r="G1334" s="154" t="s">
        <v>5103</v>
      </c>
      <c r="J1334" s="171" t="s">
        <v>27</v>
      </c>
      <c r="K1334" s="154" t="s">
        <v>199</v>
      </c>
      <c r="L1334" s="154">
        <v>0</v>
      </c>
      <c r="N1334" s="155">
        <v>1</v>
      </c>
      <c r="O1334" s="156"/>
      <c r="P1334" s="157">
        <v>1</v>
      </c>
      <c r="Q1334" s="158"/>
      <c r="R1334" s="159">
        <v>1</v>
      </c>
      <c r="S1334" s="160"/>
      <c r="T1334" s="161"/>
      <c r="U1334" s="156"/>
      <c r="V1334" s="162"/>
      <c r="W1334" s="163"/>
      <c r="X1334" s="164"/>
      <c r="Y1334" s="159"/>
      <c r="Z1334" s="161"/>
      <c r="AA1334" s="165"/>
      <c r="AB1334" s="154" t="s">
        <v>1089</v>
      </c>
      <c r="AD1334" s="154" t="s">
        <v>340</v>
      </c>
      <c r="AE1334" s="155"/>
      <c r="AF1334" s="154" t="s">
        <v>5104</v>
      </c>
      <c r="AL1334" s="171"/>
      <c r="AO1334" s="155"/>
      <c r="AP1334" s="155"/>
      <c r="AQ1334" s="156"/>
      <c r="AR1334" s="157"/>
      <c r="AS1334" s="158"/>
      <c r="AT1334" s="159"/>
      <c r="AU1334" s="161"/>
      <c r="AV1334" s="156"/>
      <c r="AW1334" s="162"/>
      <c r="AX1334" s="163"/>
      <c r="AY1334" s="164"/>
      <c r="AZ1334" s="159"/>
      <c r="BA1334" s="161"/>
      <c r="BB1334" s="165"/>
      <c r="BE1334" s="155"/>
    </row>
    <row r="1335" spans="1:59" s="154" customFormat="1" ht="15" customHeight="1">
      <c r="A1335" s="153" t="s">
        <v>5088</v>
      </c>
      <c r="B1335" s="153" t="s">
        <v>5105</v>
      </c>
      <c r="C1335" s="154" t="s">
        <v>5095</v>
      </c>
      <c r="D1335" s="170">
        <v>307</v>
      </c>
      <c r="E1335" s="154">
        <v>2</v>
      </c>
      <c r="G1335" s="154" t="s">
        <v>5106</v>
      </c>
      <c r="H1335" s="154" t="s">
        <v>5107</v>
      </c>
      <c r="I1335" s="154" t="s">
        <v>223</v>
      </c>
      <c r="J1335" s="171" t="s">
        <v>257</v>
      </c>
      <c r="K1335" s="154" t="s">
        <v>199</v>
      </c>
      <c r="L1335" s="154">
        <v>5</v>
      </c>
      <c r="N1335" s="155">
        <v>5</v>
      </c>
      <c r="O1335" s="156"/>
      <c r="P1335" s="157">
        <v>1</v>
      </c>
      <c r="Q1335" s="158"/>
      <c r="R1335" s="159"/>
      <c r="S1335" s="160">
        <v>1</v>
      </c>
      <c r="T1335" s="161"/>
      <c r="U1335" s="156"/>
      <c r="V1335" s="162"/>
      <c r="W1335" s="163"/>
      <c r="X1335" s="164"/>
      <c r="Y1335" s="159"/>
      <c r="Z1335" s="161"/>
      <c r="AA1335" s="165"/>
      <c r="AB1335" s="154" t="s">
        <v>1178</v>
      </c>
      <c r="AC1335" s="154" t="s">
        <v>258</v>
      </c>
      <c r="AD1335" s="154" t="s">
        <v>5108</v>
      </c>
      <c r="AE1335" s="155"/>
      <c r="AF1335" s="154" t="s">
        <v>5109</v>
      </c>
      <c r="AL1335" s="171"/>
      <c r="AO1335" s="155"/>
      <c r="AP1335" s="155"/>
      <c r="AQ1335" s="156"/>
      <c r="AR1335" s="157"/>
      <c r="AS1335" s="158"/>
      <c r="AT1335" s="159"/>
      <c r="AU1335" s="161"/>
      <c r="AV1335" s="156"/>
      <c r="AW1335" s="162"/>
      <c r="AX1335" s="163"/>
      <c r="AY1335" s="164"/>
      <c r="AZ1335" s="159"/>
      <c r="BA1335" s="161"/>
      <c r="BB1335" s="165"/>
      <c r="BE1335" s="155"/>
    </row>
    <row r="1336" spans="1:59" s="154" customFormat="1" ht="15" customHeight="1">
      <c r="A1336" s="153" t="s">
        <v>5088</v>
      </c>
      <c r="B1336" s="153" t="s">
        <v>5110</v>
      </c>
      <c r="C1336" s="154" t="s">
        <v>5095</v>
      </c>
      <c r="D1336" s="170">
        <v>308</v>
      </c>
      <c r="E1336" s="154">
        <v>2</v>
      </c>
      <c r="G1336" s="154" t="s">
        <v>5111</v>
      </c>
      <c r="J1336" s="154" t="s">
        <v>257</v>
      </c>
      <c r="K1336" s="154" t="s">
        <v>201</v>
      </c>
      <c r="L1336" s="154">
        <v>3</v>
      </c>
      <c r="N1336" s="154">
        <v>1</v>
      </c>
      <c r="O1336" s="156">
        <v>1</v>
      </c>
      <c r="P1336" s="157"/>
      <c r="Q1336" s="158"/>
      <c r="R1336" s="159">
        <v>1</v>
      </c>
      <c r="S1336" s="160"/>
      <c r="T1336" s="161"/>
      <c r="U1336" s="156"/>
      <c r="V1336" s="162"/>
      <c r="W1336" s="163"/>
      <c r="X1336" s="164"/>
      <c r="Y1336" s="159"/>
      <c r="Z1336" s="161"/>
      <c r="AA1336" s="165"/>
      <c r="AB1336" s="154" t="s">
        <v>1085</v>
      </c>
      <c r="AC1336" s="154" t="s">
        <v>378</v>
      </c>
      <c r="AD1336" s="154" t="s">
        <v>2567</v>
      </c>
      <c r="AF1336" s="154" t="s">
        <v>5112</v>
      </c>
      <c r="AO1336" s="155"/>
      <c r="AQ1336" s="156"/>
      <c r="AR1336" s="157"/>
      <c r="AS1336" s="158"/>
      <c r="AT1336" s="159"/>
      <c r="AU1336" s="161"/>
      <c r="AV1336" s="156"/>
      <c r="AW1336" s="162"/>
      <c r="AX1336" s="163"/>
      <c r="AY1336" s="164"/>
      <c r="AZ1336" s="159"/>
      <c r="BA1336" s="161"/>
      <c r="BB1336" s="165"/>
      <c r="BE1336" s="155"/>
    </row>
    <row r="1337" spans="1:59" s="154" customFormat="1" ht="15" customHeight="1">
      <c r="A1337" s="153" t="s">
        <v>5088</v>
      </c>
      <c r="B1337" s="169" t="s">
        <v>5113</v>
      </c>
      <c r="C1337" s="154" t="s">
        <v>5095</v>
      </c>
      <c r="D1337" s="170">
        <v>309</v>
      </c>
      <c r="E1337" s="154">
        <v>2</v>
      </c>
      <c r="G1337" s="154" t="s">
        <v>1560</v>
      </c>
      <c r="J1337" s="154" t="s">
        <v>312</v>
      </c>
      <c r="K1337" s="154" t="s">
        <v>201</v>
      </c>
      <c r="L1337" s="154">
        <v>5</v>
      </c>
      <c r="O1337" s="156"/>
      <c r="P1337" s="157"/>
      <c r="Q1337" s="158"/>
      <c r="R1337" s="159"/>
      <c r="S1337" s="160">
        <v>2</v>
      </c>
      <c r="T1337" s="161"/>
      <c r="U1337" s="156"/>
      <c r="V1337" s="162"/>
      <c r="W1337" s="163"/>
      <c r="X1337" s="164"/>
      <c r="Y1337" s="159"/>
      <c r="Z1337" s="161"/>
      <c r="AA1337" s="165"/>
      <c r="AB1337" s="154" t="s">
        <v>1082</v>
      </c>
      <c r="AD1337" s="154" t="s">
        <v>372</v>
      </c>
      <c r="AF1337" s="154" t="s">
        <v>5114</v>
      </c>
      <c r="AO1337" s="155"/>
      <c r="AQ1337" s="156"/>
      <c r="AR1337" s="157"/>
      <c r="AS1337" s="158"/>
      <c r="AT1337" s="159"/>
      <c r="AU1337" s="161"/>
      <c r="AV1337" s="156"/>
      <c r="AW1337" s="162"/>
      <c r="AX1337" s="163"/>
      <c r="AY1337" s="164"/>
      <c r="AZ1337" s="159"/>
      <c r="BA1337" s="161"/>
      <c r="BB1337" s="165"/>
      <c r="BE1337" s="155"/>
    </row>
    <row r="1338" spans="1:59" s="154" customFormat="1" ht="15" customHeight="1">
      <c r="A1338" s="153" t="s">
        <v>5088</v>
      </c>
      <c r="B1338" s="169" t="s">
        <v>5115</v>
      </c>
      <c r="C1338" s="154" t="s">
        <v>5095</v>
      </c>
      <c r="D1338" s="170">
        <v>310</v>
      </c>
      <c r="E1338" s="154">
        <v>2</v>
      </c>
      <c r="G1338" s="154" t="s">
        <v>5116</v>
      </c>
      <c r="J1338" s="154" t="s">
        <v>257</v>
      </c>
      <c r="K1338" s="154" t="s">
        <v>200</v>
      </c>
      <c r="L1338" s="154">
        <v>3</v>
      </c>
      <c r="N1338" s="154">
        <v>3</v>
      </c>
      <c r="O1338" s="156">
        <v>1</v>
      </c>
      <c r="P1338" s="157"/>
      <c r="Q1338" s="158">
        <v>1</v>
      </c>
      <c r="R1338" s="159"/>
      <c r="S1338" s="160"/>
      <c r="T1338" s="161"/>
      <c r="U1338" s="156"/>
      <c r="V1338" s="162"/>
      <c r="W1338" s="163"/>
      <c r="X1338" s="164"/>
      <c r="Y1338" s="159"/>
      <c r="Z1338" s="161"/>
      <c r="AA1338" s="165"/>
      <c r="AB1338" s="154" t="s">
        <v>1083</v>
      </c>
      <c r="AC1338" s="154" t="s">
        <v>378</v>
      </c>
      <c r="AD1338" s="154" t="s">
        <v>279</v>
      </c>
      <c r="AF1338" s="154" t="s">
        <v>5117</v>
      </c>
      <c r="AO1338" s="155"/>
      <c r="AQ1338" s="156"/>
      <c r="AR1338" s="157"/>
      <c r="AS1338" s="158"/>
      <c r="AT1338" s="159"/>
      <c r="AU1338" s="161"/>
      <c r="AV1338" s="156"/>
      <c r="AW1338" s="162"/>
      <c r="AX1338" s="163"/>
      <c r="AY1338" s="164"/>
      <c r="AZ1338" s="159"/>
      <c r="BA1338" s="161"/>
      <c r="BB1338" s="165"/>
      <c r="BE1338" s="155"/>
    </row>
    <row r="1339" spans="1:59" s="154" customFormat="1" ht="15" customHeight="1">
      <c r="A1339" s="153" t="s">
        <v>5088</v>
      </c>
      <c r="B1339" s="153" t="s">
        <v>5118</v>
      </c>
      <c r="C1339" s="154" t="s">
        <v>5095</v>
      </c>
      <c r="D1339" s="170">
        <v>311</v>
      </c>
      <c r="E1339" s="154">
        <v>2</v>
      </c>
      <c r="G1339" s="154" t="s">
        <v>5119</v>
      </c>
      <c r="H1339" s="154" t="s">
        <v>5120</v>
      </c>
      <c r="I1339" s="154" t="s">
        <v>223</v>
      </c>
      <c r="J1339" s="154" t="s">
        <v>257</v>
      </c>
      <c r="K1339" s="154" t="s">
        <v>200</v>
      </c>
      <c r="L1339" s="154">
        <v>5</v>
      </c>
      <c r="N1339" s="154">
        <v>4</v>
      </c>
      <c r="O1339" s="156">
        <v>1</v>
      </c>
      <c r="P1339" s="157"/>
      <c r="Q1339" s="158"/>
      <c r="R1339" s="159"/>
      <c r="S1339" s="160">
        <v>1</v>
      </c>
      <c r="T1339" s="161"/>
      <c r="U1339" s="156"/>
      <c r="V1339" s="162"/>
      <c r="W1339" s="163"/>
      <c r="X1339" s="164"/>
      <c r="Y1339" s="159"/>
      <c r="Z1339" s="161"/>
      <c r="AA1339" s="165"/>
      <c r="AB1339" s="154" t="s">
        <v>1086</v>
      </c>
      <c r="AC1339" s="154" t="s">
        <v>378</v>
      </c>
      <c r="AD1339" s="154" t="s">
        <v>5121</v>
      </c>
      <c r="AF1339" s="154" t="s">
        <v>5122</v>
      </c>
      <c r="AO1339" s="155"/>
      <c r="AQ1339" s="156"/>
      <c r="AR1339" s="157"/>
      <c r="AS1339" s="158"/>
      <c r="AT1339" s="159"/>
      <c r="AU1339" s="161"/>
      <c r="AV1339" s="156"/>
      <c r="AW1339" s="162"/>
      <c r="AX1339" s="163"/>
      <c r="AY1339" s="164"/>
      <c r="AZ1339" s="159"/>
      <c r="BA1339" s="161"/>
      <c r="BB1339" s="165"/>
      <c r="BE1339" s="155"/>
    </row>
    <row r="1340" spans="1:59" s="154" customFormat="1" ht="15" customHeight="1">
      <c r="A1340" s="153" t="s">
        <v>5088</v>
      </c>
      <c r="B1340" s="153" t="s">
        <v>5123</v>
      </c>
      <c r="C1340" s="154" t="s">
        <v>5095</v>
      </c>
      <c r="D1340" s="170">
        <v>312</v>
      </c>
      <c r="E1340" s="154">
        <v>2</v>
      </c>
      <c r="G1340" s="154" t="s">
        <v>5124</v>
      </c>
      <c r="J1340" s="154" t="s">
        <v>27</v>
      </c>
      <c r="K1340" s="154" t="s">
        <v>202</v>
      </c>
      <c r="L1340" s="154">
        <v>0</v>
      </c>
      <c r="N1340" s="172">
        <v>1</v>
      </c>
      <c r="O1340" s="156"/>
      <c r="P1340" s="157"/>
      <c r="Q1340" s="158"/>
      <c r="R1340" s="159"/>
      <c r="S1340" s="160"/>
      <c r="T1340" s="161"/>
      <c r="U1340" s="156"/>
      <c r="V1340" s="162"/>
      <c r="W1340" s="163"/>
      <c r="X1340" s="164"/>
      <c r="Y1340" s="159"/>
      <c r="Z1340" s="161"/>
      <c r="AA1340" s="165"/>
      <c r="AD1340" s="154" t="s">
        <v>3912</v>
      </c>
      <c r="AF1340" s="154" t="s">
        <v>5125</v>
      </c>
      <c r="AO1340" s="155"/>
      <c r="AQ1340" s="156"/>
      <c r="AR1340" s="157"/>
      <c r="AS1340" s="158"/>
      <c r="AT1340" s="159"/>
      <c r="AU1340" s="161"/>
      <c r="AV1340" s="156"/>
      <c r="AW1340" s="162"/>
      <c r="AX1340" s="163"/>
      <c r="AY1340" s="164"/>
      <c r="AZ1340" s="159"/>
      <c r="BA1340" s="161"/>
      <c r="BB1340" s="165"/>
      <c r="BE1340" s="155"/>
    </row>
    <row r="1341" spans="1:59" s="154" customFormat="1" ht="15" customHeight="1">
      <c r="A1341" s="153" t="s">
        <v>5088</v>
      </c>
      <c r="B1341" s="153" t="s">
        <v>5126</v>
      </c>
      <c r="C1341" s="154" t="s">
        <v>5095</v>
      </c>
      <c r="D1341" s="170">
        <v>313</v>
      </c>
      <c r="E1341" s="154">
        <v>2</v>
      </c>
      <c r="G1341" s="154" t="s">
        <v>5127</v>
      </c>
      <c r="J1341" s="154" t="s">
        <v>27</v>
      </c>
      <c r="K1341" s="154" t="s">
        <v>202</v>
      </c>
      <c r="L1341" s="154">
        <v>3</v>
      </c>
      <c r="N1341" s="154">
        <v>1</v>
      </c>
      <c r="O1341" s="156"/>
      <c r="P1341" s="157"/>
      <c r="Q1341" s="158"/>
      <c r="R1341" s="159"/>
      <c r="S1341" s="160">
        <v>1</v>
      </c>
      <c r="T1341" s="161"/>
      <c r="U1341" s="156"/>
      <c r="V1341" s="162"/>
      <c r="W1341" s="163"/>
      <c r="X1341" s="164"/>
      <c r="Y1341" s="159"/>
      <c r="Z1341" s="161"/>
      <c r="AA1341" s="165"/>
      <c r="AB1341" s="154" t="s">
        <v>208</v>
      </c>
      <c r="AD1341" s="154" t="s">
        <v>4099</v>
      </c>
      <c r="AF1341" s="154" t="s">
        <v>5128</v>
      </c>
      <c r="AO1341" s="155"/>
      <c r="AQ1341" s="156"/>
      <c r="AR1341" s="157"/>
      <c r="AS1341" s="158"/>
      <c r="AT1341" s="159"/>
      <c r="AU1341" s="161"/>
      <c r="AV1341" s="156"/>
      <c r="AW1341" s="162"/>
      <c r="AX1341" s="163"/>
      <c r="AY1341" s="164"/>
      <c r="AZ1341" s="159"/>
      <c r="BA1341" s="161"/>
      <c r="BB1341" s="165"/>
      <c r="BE1341" s="155"/>
    </row>
    <row r="1342" spans="1:59" s="154" customFormat="1" ht="15" customHeight="1">
      <c r="A1342" s="153" t="s">
        <v>5088</v>
      </c>
      <c r="B1342" s="153" t="s">
        <v>5129</v>
      </c>
      <c r="C1342" s="154" t="s">
        <v>5095</v>
      </c>
      <c r="D1342" s="170">
        <v>314</v>
      </c>
      <c r="E1342" s="154">
        <v>1</v>
      </c>
      <c r="F1342" s="154" t="s">
        <v>5090</v>
      </c>
      <c r="G1342" s="154" t="s">
        <v>5090</v>
      </c>
      <c r="J1342" s="154" t="s">
        <v>618</v>
      </c>
      <c r="K1342" s="154" t="s">
        <v>2426</v>
      </c>
      <c r="O1342" s="156"/>
      <c r="P1342" s="157"/>
      <c r="Q1342" s="158"/>
      <c r="R1342" s="159"/>
      <c r="S1342" s="160"/>
      <c r="T1342" s="161"/>
      <c r="U1342" s="156"/>
      <c r="V1342" s="162"/>
      <c r="W1342" s="163"/>
      <c r="X1342" s="164"/>
      <c r="Y1342" s="159"/>
      <c r="Z1342" s="161"/>
      <c r="AA1342" s="165"/>
      <c r="AF1342" s="154" t="s">
        <v>5130</v>
      </c>
      <c r="AI1342" s="154" t="s">
        <v>5090</v>
      </c>
      <c r="AL1342" s="154" t="s">
        <v>618</v>
      </c>
      <c r="AM1342" s="154" t="s">
        <v>2426</v>
      </c>
      <c r="AO1342" s="155"/>
      <c r="AQ1342" s="156"/>
      <c r="AR1342" s="157"/>
      <c r="AS1342" s="158"/>
      <c r="AT1342" s="159"/>
      <c r="AU1342" s="161"/>
      <c r="AV1342" s="156"/>
      <c r="AW1342" s="162"/>
      <c r="AX1342" s="163"/>
      <c r="AY1342" s="164"/>
      <c r="AZ1342" s="159"/>
      <c r="BA1342" s="161"/>
      <c r="BB1342" s="165"/>
      <c r="BE1342" s="155"/>
      <c r="BG1342" s="154" t="s">
        <v>5131</v>
      </c>
    </row>
    <row r="1343" spans="1:59" s="154" customFormat="1" ht="15" customHeight="1">
      <c r="A1343" s="153" t="s">
        <v>5088</v>
      </c>
      <c r="B1343" s="153" t="s">
        <v>5132</v>
      </c>
      <c r="C1343" s="154" t="s">
        <v>5095</v>
      </c>
      <c r="D1343" s="170">
        <v>315</v>
      </c>
      <c r="E1343" s="154">
        <v>1</v>
      </c>
      <c r="F1343" s="154" t="s">
        <v>5090</v>
      </c>
      <c r="G1343" s="154" t="s">
        <v>5133</v>
      </c>
      <c r="J1343" s="154" t="s">
        <v>619</v>
      </c>
      <c r="K1343" s="154" t="s">
        <v>2426</v>
      </c>
      <c r="O1343" s="156"/>
      <c r="P1343" s="157"/>
      <c r="Q1343" s="158"/>
      <c r="R1343" s="159"/>
      <c r="S1343" s="160"/>
      <c r="T1343" s="161"/>
      <c r="U1343" s="156"/>
      <c r="V1343" s="162"/>
      <c r="W1343" s="163"/>
      <c r="X1343" s="164"/>
      <c r="Y1343" s="159"/>
      <c r="Z1343" s="161">
        <v>6</v>
      </c>
      <c r="AA1343" s="165"/>
      <c r="AF1343" s="154" t="s">
        <v>5134</v>
      </c>
      <c r="AI1343" s="154" t="s">
        <v>5133</v>
      </c>
      <c r="AL1343" s="154" t="s">
        <v>619</v>
      </c>
      <c r="AM1343" s="154" t="s">
        <v>2426</v>
      </c>
      <c r="AO1343" s="155"/>
      <c r="AQ1343" s="156"/>
      <c r="AR1343" s="157"/>
      <c r="AS1343" s="158"/>
      <c r="AT1343" s="159"/>
      <c r="AU1343" s="161"/>
      <c r="AV1343" s="156"/>
      <c r="AW1343" s="162"/>
      <c r="AX1343" s="163"/>
      <c r="AY1343" s="164"/>
      <c r="AZ1343" s="159"/>
      <c r="BA1343" s="161"/>
      <c r="BB1343" s="165"/>
      <c r="BE1343" s="155"/>
      <c r="BG1343" s="154" t="s">
        <v>5135</v>
      </c>
    </row>
    <row r="1344" spans="1:59" s="154" customFormat="1" ht="15" customHeight="1">
      <c r="A1344" s="153" t="s">
        <v>5088</v>
      </c>
      <c r="B1344" s="153" t="s">
        <v>5136</v>
      </c>
      <c r="C1344" s="154" t="s">
        <v>5095</v>
      </c>
      <c r="D1344" s="170">
        <v>316</v>
      </c>
      <c r="E1344" s="154">
        <v>1</v>
      </c>
      <c r="F1344" s="154" t="s">
        <v>5090</v>
      </c>
      <c r="G1344" s="154" t="s">
        <v>5137</v>
      </c>
      <c r="J1344" s="154" t="s">
        <v>619</v>
      </c>
      <c r="K1344" s="154" t="s">
        <v>2426</v>
      </c>
      <c r="O1344" s="156"/>
      <c r="P1344" s="157"/>
      <c r="Q1344" s="158"/>
      <c r="R1344" s="159"/>
      <c r="S1344" s="160"/>
      <c r="T1344" s="161"/>
      <c r="U1344" s="156"/>
      <c r="V1344" s="162"/>
      <c r="W1344" s="163"/>
      <c r="X1344" s="164"/>
      <c r="Y1344" s="159"/>
      <c r="Z1344" s="161">
        <v>7</v>
      </c>
      <c r="AA1344" s="165"/>
      <c r="AF1344" s="154" t="s">
        <v>5134</v>
      </c>
      <c r="AI1344" s="154" t="s">
        <v>5137</v>
      </c>
      <c r="AL1344" s="154" t="s">
        <v>619</v>
      </c>
      <c r="AM1344" s="154" t="s">
        <v>2426</v>
      </c>
      <c r="AO1344" s="155"/>
      <c r="AQ1344" s="156"/>
      <c r="AR1344" s="157"/>
      <c r="AS1344" s="158"/>
      <c r="AT1344" s="159"/>
      <c r="AU1344" s="161"/>
      <c r="AV1344" s="156"/>
      <c r="AW1344" s="162"/>
      <c r="AX1344" s="163"/>
      <c r="AY1344" s="164"/>
      <c r="AZ1344" s="159"/>
      <c r="BA1344" s="161"/>
      <c r="BB1344" s="165"/>
      <c r="BE1344" s="155"/>
      <c r="BG1344" s="154" t="s">
        <v>5138</v>
      </c>
    </row>
    <row r="1345" spans="1:59" s="154" customFormat="1" ht="15" customHeight="1">
      <c r="A1345" s="153" t="s">
        <v>5088</v>
      </c>
      <c r="B1345" s="153" t="s">
        <v>5139</v>
      </c>
      <c r="C1345" s="154" t="s">
        <v>5095</v>
      </c>
      <c r="D1345" s="170">
        <v>317</v>
      </c>
      <c r="E1345" s="154">
        <v>1</v>
      </c>
      <c r="F1345" s="154" t="s">
        <v>5090</v>
      </c>
      <c r="G1345" s="154" t="s">
        <v>5140</v>
      </c>
      <c r="J1345" s="154" t="s">
        <v>619</v>
      </c>
      <c r="K1345" s="154" t="s">
        <v>2426</v>
      </c>
      <c r="O1345" s="156"/>
      <c r="P1345" s="157"/>
      <c r="Q1345" s="158"/>
      <c r="R1345" s="159"/>
      <c r="S1345" s="160"/>
      <c r="T1345" s="161"/>
      <c r="U1345" s="156"/>
      <c r="V1345" s="162"/>
      <c r="W1345" s="163"/>
      <c r="X1345" s="164"/>
      <c r="Y1345" s="159"/>
      <c r="Z1345" s="161">
        <v>12</v>
      </c>
      <c r="AA1345" s="165"/>
      <c r="AF1345" s="154" t="s">
        <v>5134</v>
      </c>
      <c r="AI1345" s="154" t="s">
        <v>5140</v>
      </c>
      <c r="AL1345" s="154" t="s">
        <v>619</v>
      </c>
      <c r="AM1345" s="154" t="s">
        <v>2426</v>
      </c>
      <c r="AO1345" s="155"/>
      <c r="AQ1345" s="156"/>
      <c r="AR1345" s="157"/>
      <c r="AS1345" s="158"/>
      <c r="AT1345" s="159"/>
      <c r="AU1345" s="161"/>
      <c r="AV1345" s="156"/>
      <c r="AW1345" s="162"/>
      <c r="AX1345" s="163"/>
      <c r="AY1345" s="164"/>
      <c r="AZ1345" s="159"/>
      <c r="BA1345" s="161"/>
      <c r="BB1345" s="165"/>
      <c r="BE1345" s="155"/>
      <c r="BG1345" s="154" t="s">
        <v>5141</v>
      </c>
    </row>
    <row r="1346" spans="1:59" s="154" customFormat="1" ht="15" customHeight="1">
      <c r="A1346" s="153" t="s">
        <v>5088</v>
      </c>
      <c r="B1346" s="153" t="s">
        <v>5142</v>
      </c>
      <c r="C1346" s="154" t="s">
        <v>5095</v>
      </c>
      <c r="D1346" s="170">
        <v>318</v>
      </c>
      <c r="E1346" s="154">
        <v>1</v>
      </c>
      <c r="F1346" s="154" t="s">
        <v>5090</v>
      </c>
      <c r="G1346" s="154" t="s">
        <v>5143</v>
      </c>
      <c r="J1346" s="154" t="s">
        <v>621</v>
      </c>
      <c r="K1346" s="154" t="s">
        <v>2426</v>
      </c>
      <c r="O1346" s="156"/>
      <c r="P1346" s="157"/>
      <c r="Q1346" s="158"/>
      <c r="R1346" s="159"/>
      <c r="S1346" s="160"/>
      <c r="T1346" s="161"/>
      <c r="U1346" s="156"/>
      <c r="V1346" s="162"/>
      <c r="W1346" s="163"/>
      <c r="X1346" s="164"/>
      <c r="Y1346" s="159" t="s">
        <v>1111</v>
      </c>
      <c r="Z1346" s="161"/>
      <c r="AA1346" s="165"/>
      <c r="AF1346" s="154" t="s">
        <v>5144</v>
      </c>
      <c r="AI1346" s="154" t="s">
        <v>5143</v>
      </c>
      <c r="AL1346" s="154" t="s">
        <v>621</v>
      </c>
      <c r="AM1346" s="154" t="s">
        <v>2426</v>
      </c>
      <c r="AO1346" s="155"/>
      <c r="AQ1346" s="156"/>
      <c r="AR1346" s="157"/>
      <c r="AS1346" s="158"/>
      <c r="AT1346" s="159"/>
      <c r="AU1346" s="161"/>
      <c r="AV1346" s="156"/>
      <c r="AW1346" s="162"/>
      <c r="AX1346" s="163"/>
      <c r="AY1346" s="164"/>
      <c r="AZ1346" s="159"/>
      <c r="BA1346" s="161"/>
      <c r="BB1346" s="165"/>
      <c r="BG1346" s="154" t="s">
        <v>5145</v>
      </c>
    </row>
    <row r="1347" spans="1:59" s="154" customFormat="1" ht="15" customHeight="1">
      <c r="A1347" s="153" t="s">
        <v>5088</v>
      </c>
      <c r="B1347" s="153" t="s">
        <v>5146</v>
      </c>
      <c r="C1347" s="154" t="s">
        <v>5095</v>
      </c>
      <c r="D1347" s="170">
        <v>319</v>
      </c>
      <c r="E1347" s="154">
        <v>1</v>
      </c>
      <c r="F1347" s="154" t="s">
        <v>5090</v>
      </c>
      <c r="G1347" s="154" t="s">
        <v>5147</v>
      </c>
      <c r="J1347" s="154" t="s">
        <v>621</v>
      </c>
      <c r="K1347" s="171" t="s">
        <v>2426</v>
      </c>
      <c r="O1347" s="156"/>
      <c r="P1347" s="157"/>
      <c r="Q1347" s="158"/>
      <c r="R1347" s="159"/>
      <c r="S1347" s="160"/>
      <c r="T1347" s="161"/>
      <c r="U1347" s="156"/>
      <c r="V1347" s="162"/>
      <c r="W1347" s="163"/>
      <c r="X1347" s="164"/>
      <c r="Y1347" s="159">
        <v>0</v>
      </c>
      <c r="Z1347" s="161"/>
      <c r="AA1347" s="165"/>
      <c r="AF1347" s="154" t="s">
        <v>5148</v>
      </c>
      <c r="AI1347" s="154" t="s">
        <v>5147</v>
      </c>
      <c r="AL1347" s="154" t="s">
        <v>621</v>
      </c>
      <c r="AM1347" s="171" t="s">
        <v>2426</v>
      </c>
      <c r="AO1347" s="155"/>
      <c r="AQ1347" s="156"/>
      <c r="AR1347" s="157"/>
      <c r="AS1347" s="158"/>
      <c r="AT1347" s="159"/>
      <c r="AU1347" s="161"/>
      <c r="AV1347" s="156"/>
      <c r="AW1347" s="162"/>
      <c r="AX1347" s="163"/>
      <c r="AY1347" s="164"/>
      <c r="AZ1347" s="159"/>
      <c r="BA1347" s="161"/>
      <c r="BB1347" s="165"/>
      <c r="BG1347" s="154" t="s">
        <v>5149</v>
      </c>
    </row>
    <row r="1348" spans="1:59" s="154" customFormat="1" ht="15" customHeight="1">
      <c r="A1348" s="153" t="s">
        <v>5088</v>
      </c>
      <c r="B1348" s="153" t="s">
        <v>5150</v>
      </c>
      <c r="C1348" s="154" t="s">
        <v>5095</v>
      </c>
      <c r="D1348" s="170">
        <v>320</v>
      </c>
      <c r="E1348" s="154">
        <v>1</v>
      </c>
      <c r="F1348" s="154" t="s">
        <v>5090</v>
      </c>
      <c r="G1348" s="154" t="s">
        <v>5151</v>
      </c>
      <c r="J1348" s="154" t="s">
        <v>621</v>
      </c>
      <c r="K1348" s="171" t="s">
        <v>2426</v>
      </c>
      <c r="O1348" s="156"/>
      <c r="P1348" s="157"/>
      <c r="Q1348" s="158"/>
      <c r="R1348" s="159"/>
      <c r="S1348" s="160"/>
      <c r="T1348" s="161"/>
      <c r="U1348" s="156"/>
      <c r="V1348" s="162"/>
      <c r="W1348" s="163"/>
      <c r="X1348" s="164"/>
      <c r="Y1348" s="159">
        <v>0</v>
      </c>
      <c r="Z1348" s="161"/>
      <c r="AA1348" s="165"/>
      <c r="AF1348" s="154" t="s">
        <v>5152</v>
      </c>
      <c r="AI1348" s="154" t="s">
        <v>5151</v>
      </c>
      <c r="AL1348" s="154" t="s">
        <v>621</v>
      </c>
      <c r="AM1348" s="154" t="s">
        <v>2426</v>
      </c>
      <c r="AO1348" s="155"/>
      <c r="AQ1348" s="156"/>
      <c r="AR1348" s="157"/>
      <c r="AS1348" s="158"/>
      <c r="AT1348" s="159"/>
      <c r="AU1348" s="161"/>
      <c r="AV1348" s="156"/>
      <c r="AW1348" s="162"/>
      <c r="AX1348" s="163"/>
      <c r="AY1348" s="164"/>
      <c r="AZ1348" s="159"/>
      <c r="BA1348" s="161"/>
      <c r="BB1348" s="165"/>
      <c r="BE1348" s="155"/>
      <c r="BG1348" s="154" t="s">
        <v>5153</v>
      </c>
    </row>
    <row r="1349" spans="1:59" s="154" customFormat="1" ht="15" customHeight="1">
      <c r="A1349" s="153" t="s">
        <v>5088</v>
      </c>
      <c r="B1349" s="169" t="s">
        <v>5154</v>
      </c>
      <c r="C1349" s="154" t="s">
        <v>5095</v>
      </c>
      <c r="D1349" s="170">
        <v>321</v>
      </c>
      <c r="E1349" s="154">
        <v>1</v>
      </c>
      <c r="F1349" s="154" t="s">
        <v>5090</v>
      </c>
      <c r="G1349" s="154" t="s">
        <v>5155</v>
      </c>
      <c r="J1349" s="154" t="s">
        <v>621</v>
      </c>
      <c r="K1349" s="171" t="s">
        <v>2426</v>
      </c>
      <c r="O1349" s="156"/>
      <c r="P1349" s="157"/>
      <c r="Q1349" s="158"/>
      <c r="R1349" s="159"/>
      <c r="S1349" s="160"/>
      <c r="T1349" s="161"/>
      <c r="U1349" s="156"/>
      <c r="V1349" s="162"/>
      <c r="W1349" s="163"/>
      <c r="X1349" s="164"/>
      <c r="Y1349" s="159">
        <v>0</v>
      </c>
      <c r="Z1349" s="161"/>
      <c r="AA1349" s="165"/>
      <c r="AF1349" s="154" t="s">
        <v>5156</v>
      </c>
      <c r="AI1349" s="154" t="s">
        <v>5155</v>
      </c>
      <c r="AL1349" s="154" t="s">
        <v>621</v>
      </c>
      <c r="AM1349" s="154" t="s">
        <v>2426</v>
      </c>
      <c r="AO1349" s="155"/>
      <c r="AQ1349" s="156"/>
      <c r="AR1349" s="157"/>
      <c r="AS1349" s="158"/>
      <c r="AT1349" s="159"/>
      <c r="AU1349" s="161"/>
      <c r="AV1349" s="156"/>
      <c r="AW1349" s="162"/>
      <c r="AX1349" s="163"/>
      <c r="AY1349" s="164"/>
      <c r="AZ1349" s="159"/>
      <c r="BA1349" s="161"/>
      <c r="BB1349" s="165"/>
      <c r="BE1349" s="155"/>
      <c r="BG1349" s="154" t="s">
        <v>5157</v>
      </c>
    </row>
    <row r="1350" spans="1:59" s="154" customFormat="1" ht="15" customHeight="1">
      <c r="A1350" s="153" t="s">
        <v>5088</v>
      </c>
      <c r="B1350" s="153" t="s">
        <v>5158</v>
      </c>
      <c r="C1350" s="154" t="s">
        <v>5095</v>
      </c>
      <c r="D1350" s="170">
        <v>322</v>
      </c>
      <c r="E1350" s="154">
        <v>1</v>
      </c>
      <c r="F1350" s="154" t="s">
        <v>5090</v>
      </c>
      <c r="G1350" s="154" t="s">
        <v>5159</v>
      </c>
      <c r="J1350" s="154" t="s">
        <v>621</v>
      </c>
      <c r="K1350" s="154" t="s">
        <v>2426</v>
      </c>
      <c r="O1350" s="156"/>
      <c r="P1350" s="157"/>
      <c r="Q1350" s="158"/>
      <c r="R1350" s="159"/>
      <c r="S1350" s="160"/>
      <c r="T1350" s="161"/>
      <c r="U1350" s="156"/>
      <c r="V1350" s="162"/>
      <c r="W1350" s="163"/>
      <c r="X1350" s="164"/>
      <c r="Y1350" s="159">
        <v>0</v>
      </c>
      <c r="Z1350" s="161"/>
      <c r="AA1350" s="165"/>
      <c r="AF1350" s="154" t="s">
        <v>5160</v>
      </c>
      <c r="AI1350" s="154" t="s">
        <v>5159</v>
      </c>
      <c r="AL1350" s="154" t="s">
        <v>621</v>
      </c>
      <c r="AM1350" s="154" t="s">
        <v>2426</v>
      </c>
      <c r="AO1350" s="155"/>
      <c r="AQ1350" s="156"/>
      <c r="AR1350" s="157"/>
      <c r="AS1350" s="158"/>
      <c r="AT1350" s="159"/>
      <c r="AU1350" s="161"/>
      <c r="AV1350" s="156"/>
      <c r="AW1350" s="162"/>
      <c r="AX1350" s="163"/>
      <c r="AY1350" s="164"/>
      <c r="AZ1350" s="159"/>
      <c r="BA1350" s="161"/>
      <c r="BB1350" s="165"/>
      <c r="BE1350" s="155"/>
      <c r="BG1350" s="154" t="s">
        <v>4556</v>
      </c>
    </row>
    <row r="1351" spans="1:59" s="154" customFormat="1" ht="15" customHeight="1">
      <c r="A1351" s="153" t="s">
        <v>5088</v>
      </c>
      <c r="B1351" s="153" t="s">
        <v>5161</v>
      </c>
      <c r="C1351" s="154" t="s">
        <v>5095</v>
      </c>
      <c r="D1351" s="170">
        <v>323</v>
      </c>
      <c r="E1351" s="154">
        <v>1</v>
      </c>
      <c r="F1351" s="154" t="s">
        <v>5090</v>
      </c>
      <c r="G1351" s="154" t="s">
        <v>5162</v>
      </c>
      <c r="J1351" s="154" t="s">
        <v>621</v>
      </c>
      <c r="K1351" s="154" t="s">
        <v>2426</v>
      </c>
      <c r="O1351" s="156"/>
      <c r="P1351" s="157"/>
      <c r="Q1351" s="158"/>
      <c r="R1351" s="159"/>
      <c r="S1351" s="160"/>
      <c r="T1351" s="161"/>
      <c r="U1351" s="156"/>
      <c r="V1351" s="162"/>
      <c r="W1351" s="163"/>
      <c r="X1351" s="164"/>
      <c r="Y1351" s="159">
        <v>0</v>
      </c>
      <c r="Z1351" s="161"/>
      <c r="AA1351" s="165"/>
      <c r="AF1351" s="154" t="s">
        <v>5163</v>
      </c>
      <c r="AI1351" s="154" t="s">
        <v>5162</v>
      </c>
      <c r="AL1351" s="154" t="s">
        <v>621</v>
      </c>
      <c r="AM1351" s="154" t="s">
        <v>2426</v>
      </c>
      <c r="AP1351" s="155"/>
      <c r="AQ1351" s="156"/>
      <c r="AR1351" s="157"/>
      <c r="AS1351" s="158"/>
      <c r="AT1351" s="159"/>
      <c r="AU1351" s="161"/>
      <c r="AV1351" s="156"/>
      <c r="AW1351" s="162"/>
      <c r="AX1351" s="163"/>
      <c r="AY1351" s="164"/>
      <c r="AZ1351" s="159"/>
      <c r="BA1351" s="161"/>
      <c r="BB1351" s="165"/>
      <c r="BF1351" s="155"/>
      <c r="BG1351" s="154" t="s">
        <v>5164</v>
      </c>
    </row>
    <row r="1352" spans="1:59" s="154" customFormat="1" ht="15" customHeight="1">
      <c r="A1352" s="153" t="s">
        <v>5088</v>
      </c>
      <c r="B1352" s="153" t="s">
        <v>5165</v>
      </c>
      <c r="C1352" s="154" t="s">
        <v>5095</v>
      </c>
      <c r="D1352" s="170">
        <v>324</v>
      </c>
      <c r="E1352" s="154">
        <v>1</v>
      </c>
      <c r="F1352" s="154" t="s">
        <v>5090</v>
      </c>
      <c r="G1352" s="154" t="s">
        <v>5166</v>
      </c>
      <c r="J1352" s="154" t="s">
        <v>31</v>
      </c>
      <c r="K1352" s="154" t="s">
        <v>2426</v>
      </c>
      <c r="N1352" s="155"/>
      <c r="O1352" s="156"/>
      <c r="P1352" s="157"/>
      <c r="Q1352" s="158"/>
      <c r="R1352" s="159"/>
      <c r="S1352" s="160"/>
      <c r="T1352" s="161"/>
      <c r="U1352" s="156"/>
      <c r="V1352" s="162"/>
      <c r="W1352" s="163"/>
      <c r="X1352" s="164"/>
      <c r="Y1352" s="159"/>
      <c r="Z1352" s="161"/>
      <c r="AA1352" s="165"/>
      <c r="AD1352" s="154" t="s">
        <v>3960</v>
      </c>
      <c r="AE1352" s="155"/>
      <c r="AI1352" s="154" t="s">
        <v>5166</v>
      </c>
      <c r="AJ1352" s="154" t="s">
        <v>5167</v>
      </c>
      <c r="AL1352" s="154" t="s">
        <v>31</v>
      </c>
      <c r="AM1352" s="154" t="s">
        <v>2426</v>
      </c>
      <c r="AP1352" s="155"/>
      <c r="AQ1352" s="156"/>
      <c r="AR1352" s="157"/>
      <c r="AS1352" s="158"/>
      <c r="AT1352" s="159"/>
      <c r="AU1352" s="161"/>
      <c r="AV1352" s="156"/>
      <c r="AW1352" s="162"/>
      <c r="AX1352" s="163"/>
      <c r="AY1352" s="164"/>
      <c r="AZ1352" s="159" t="s">
        <v>1073</v>
      </c>
      <c r="BA1352" s="161"/>
      <c r="BB1352" s="165"/>
      <c r="BE1352" s="154" t="s">
        <v>3960</v>
      </c>
      <c r="BF1352" s="155"/>
      <c r="BG1352" s="154" t="s">
        <v>5168</v>
      </c>
    </row>
    <row r="1353" spans="1:59" s="154" customFormat="1" ht="15" customHeight="1">
      <c r="A1353" s="153" t="s">
        <v>5088</v>
      </c>
      <c r="B1353" s="153" t="s">
        <v>5169</v>
      </c>
      <c r="C1353" s="154" t="s">
        <v>5095</v>
      </c>
      <c r="D1353" s="170">
        <v>325</v>
      </c>
      <c r="E1353" s="154">
        <v>1</v>
      </c>
      <c r="F1353" s="154" t="s">
        <v>5090</v>
      </c>
      <c r="G1353" s="154" t="s">
        <v>5458</v>
      </c>
      <c r="H1353" s="154" t="s">
        <v>5459</v>
      </c>
      <c r="I1353" s="154" t="s">
        <v>223</v>
      </c>
      <c r="J1353" s="154" t="s">
        <v>29</v>
      </c>
      <c r="K1353" s="154" t="s">
        <v>2426</v>
      </c>
      <c r="N1353" s="155"/>
      <c r="O1353" s="156"/>
      <c r="P1353" s="157"/>
      <c r="Q1353" s="158">
        <v>4</v>
      </c>
      <c r="R1353" s="159">
        <v>4</v>
      </c>
      <c r="S1353" s="160"/>
      <c r="T1353" s="161" t="s">
        <v>2025</v>
      </c>
      <c r="U1353" s="156"/>
      <c r="V1353" s="162">
        <v>2</v>
      </c>
      <c r="W1353" s="163">
        <v>1</v>
      </c>
      <c r="X1353" s="164"/>
      <c r="Y1353" s="159"/>
      <c r="Z1353" s="161"/>
      <c r="AA1353" s="165">
        <v>2</v>
      </c>
      <c r="AD1353" s="154" t="s">
        <v>3982</v>
      </c>
      <c r="AE1353" s="155"/>
      <c r="AF1353" s="154" t="s">
        <v>5172</v>
      </c>
      <c r="AI1353" s="154" t="s">
        <v>5170</v>
      </c>
      <c r="AL1353" s="154" t="s">
        <v>2702</v>
      </c>
      <c r="AM1353" s="154" t="s">
        <v>2426</v>
      </c>
      <c r="AP1353" s="155"/>
      <c r="AQ1353" s="156"/>
      <c r="AR1353" s="157"/>
      <c r="AS1353" s="158"/>
      <c r="AT1353" s="159"/>
      <c r="AU1353" s="161"/>
      <c r="AV1353" s="156"/>
      <c r="AW1353" s="162"/>
      <c r="AX1353" s="163"/>
      <c r="AY1353" s="164"/>
      <c r="AZ1353" s="159"/>
      <c r="BA1353" s="161"/>
      <c r="BB1353" s="165"/>
      <c r="BF1353" s="155"/>
      <c r="BG1353" s="154" t="s">
        <v>5171</v>
      </c>
    </row>
    <row r="1354" spans="1:59" s="154" customFormat="1" ht="15" customHeight="1">
      <c r="A1354" s="153" t="s">
        <v>5088</v>
      </c>
      <c r="B1354" s="153" t="s">
        <v>5173</v>
      </c>
      <c r="C1354" s="154" t="s">
        <v>5095</v>
      </c>
      <c r="D1354" s="170">
        <v>326</v>
      </c>
      <c r="E1354" s="154">
        <v>1</v>
      </c>
      <c r="F1354" s="154" t="s">
        <v>5090</v>
      </c>
      <c r="G1354" s="154" t="s">
        <v>3952</v>
      </c>
      <c r="H1354" s="154" t="s">
        <v>5460</v>
      </c>
      <c r="I1354" s="154" t="s">
        <v>223</v>
      </c>
      <c r="J1354" s="154" t="s">
        <v>29</v>
      </c>
      <c r="K1354" s="154" t="s">
        <v>2426</v>
      </c>
      <c r="N1354" s="155"/>
      <c r="O1354" s="156"/>
      <c r="P1354" s="157"/>
      <c r="Q1354" s="158">
        <v>6</v>
      </c>
      <c r="R1354" s="159">
        <v>3</v>
      </c>
      <c r="S1354" s="160"/>
      <c r="T1354" s="161" t="s">
        <v>4883</v>
      </c>
      <c r="U1354" s="156"/>
      <c r="V1354" s="162">
        <v>1</v>
      </c>
      <c r="W1354" s="163">
        <v>2</v>
      </c>
      <c r="X1354" s="164"/>
      <c r="Y1354" s="159"/>
      <c r="Z1354" s="161"/>
      <c r="AA1354" s="165">
        <v>2</v>
      </c>
      <c r="AD1354" s="154" t="s">
        <v>1135</v>
      </c>
      <c r="AE1354" s="155"/>
      <c r="AF1354" s="154" t="s">
        <v>5176</v>
      </c>
      <c r="AI1354" s="154" t="s">
        <v>5174</v>
      </c>
      <c r="AL1354" s="154" t="s">
        <v>2702</v>
      </c>
      <c r="AM1354" s="154" t="s">
        <v>2426</v>
      </c>
      <c r="AP1354" s="155"/>
      <c r="AQ1354" s="156"/>
      <c r="AR1354" s="157"/>
      <c r="AS1354" s="158"/>
      <c r="AT1354" s="159"/>
      <c r="AU1354" s="161"/>
      <c r="AV1354" s="156"/>
      <c r="AW1354" s="162"/>
      <c r="AX1354" s="163"/>
      <c r="AY1354" s="164"/>
      <c r="AZ1354" s="159"/>
      <c r="BA1354" s="161"/>
      <c r="BB1354" s="165"/>
      <c r="BF1354" s="155"/>
      <c r="BG1354" s="154" t="s">
        <v>5175</v>
      </c>
    </row>
    <row r="1355" spans="1:59" s="154" customFormat="1" ht="15" customHeight="1">
      <c r="A1355" s="153" t="s">
        <v>5088</v>
      </c>
      <c r="B1355" s="169" t="s">
        <v>5177</v>
      </c>
      <c r="C1355" s="154" t="s">
        <v>5095</v>
      </c>
      <c r="D1355" s="170">
        <v>327</v>
      </c>
      <c r="E1355" s="154">
        <v>1</v>
      </c>
      <c r="F1355" s="154" t="s">
        <v>5090</v>
      </c>
      <c r="G1355" s="154" t="s">
        <v>5178</v>
      </c>
      <c r="J1355" s="154" t="s">
        <v>31</v>
      </c>
      <c r="K1355" s="154" t="s">
        <v>2426</v>
      </c>
      <c r="N1355" s="155"/>
      <c r="O1355" s="156"/>
      <c r="P1355" s="157"/>
      <c r="Q1355" s="158"/>
      <c r="R1355" s="159"/>
      <c r="S1355" s="160"/>
      <c r="T1355" s="161"/>
      <c r="U1355" s="156"/>
      <c r="V1355" s="162"/>
      <c r="W1355" s="163"/>
      <c r="X1355" s="164"/>
      <c r="Y1355" s="159"/>
      <c r="Z1355" s="161"/>
      <c r="AA1355" s="165"/>
      <c r="AD1355" s="154" t="s">
        <v>2466</v>
      </c>
      <c r="AE1355" s="155"/>
      <c r="AI1355" s="154" t="s">
        <v>5178</v>
      </c>
      <c r="AL1355" s="154" t="s">
        <v>31</v>
      </c>
      <c r="AM1355" s="154" t="s">
        <v>2426</v>
      </c>
      <c r="AP1355" s="155"/>
      <c r="AQ1355" s="156"/>
      <c r="AR1355" s="157"/>
      <c r="AS1355" s="158"/>
      <c r="AT1355" s="159"/>
      <c r="AU1355" s="161"/>
      <c r="AV1355" s="156"/>
      <c r="AW1355" s="162"/>
      <c r="AX1355" s="163"/>
      <c r="AY1355" s="164">
        <v>2</v>
      </c>
      <c r="AZ1355" s="159" t="s">
        <v>1112</v>
      </c>
      <c r="BA1355" s="161"/>
      <c r="BB1355" s="165"/>
      <c r="BE1355" s="154" t="s">
        <v>2466</v>
      </c>
      <c r="BF1355" s="155"/>
      <c r="BG1355" s="154" t="s">
        <v>5179</v>
      </c>
    </row>
    <row r="1356" spans="1:59" s="154" customFormat="1" ht="15" customHeight="1">
      <c r="A1356" s="153" t="s">
        <v>5088</v>
      </c>
      <c r="B1356" s="153" t="s">
        <v>5180</v>
      </c>
      <c r="C1356" s="154" t="s">
        <v>5095</v>
      </c>
      <c r="D1356" s="170">
        <v>328</v>
      </c>
      <c r="E1356" s="154">
        <v>1</v>
      </c>
      <c r="F1356" s="154" t="s">
        <v>5090</v>
      </c>
      <c r="G1356" s="154" t="s">
        <v>5181</v>
      </c>
      <c r="J1356" s="154" t="s">
        <v>31</v>
      </c>
      <c r="K1356" s="154" t="s">
        <v>2426</v>
      </c>
      <c r="N1356" s="155"/>
      <c r="O1356" s="156"/>
      <c r="P1356" s="157"/>
      <c r="Q1356" s="158"/>
      <c r="R1356" s="159"/>
      <c r="S1356" s="160"/>
      <c r="T1356" s="161"/>
      <c r="U1356" s="156"/>
      <c r="V1356" s="162"/>
      <c r="W1356" s="163"/>
      <c r="X1356" s="164"/>
      <c r="Y1356" s="159"/>
      <c r="Z1356" s="161"/>
      <c r="AA1356" s="165"/>
      <c r="AD1356" s="154" t="s">
        <v>2466</v>
      </c>
      <c r="AE1356" s="155"/>
      <c r="AI1356" s="154" t="s">
        <v>5181</v>
      </c>
      <c r="AL1356" s="154" t="s">
        <v>31</v>
      </c>
      <c r="AM1356" s="154" t="s">
        <v>2426</v>
      </c>
      <c r="AP1356" s="155"/>
      <c r="AQ1356" s="156"/>
      <c r="AR1356" s="157"/>
      <c r="AS1356" s="158"/>
      <c r="AT1356" s="159"/>
      <c r="AU1356" s="161"/>
      <c r="AV1356" s="156"/>
      <c r="AW1356" s="162"/>
      <c r="AX1356" s="163"/>
      <c r="AY1356" s="164">
        <v>1</v>
      </c>
      <c r="AZ1356" s="159" t="s">
        <v>1111</v>
      </c>
      <c r="BA1356" s="161"/>
      <c r="BB1356" s="165"/>
      <c r="BE1356" s="154" t="s">
        <v>2466</v>
      </c>
      <c r="BF1356" s="155"/>
      <c r="BG1356" s="154" t="s">
        <v>5182</v>
      </c>
    </row>
    <row r="1357" spans="1:59" s="154" customFormat="1" ht="15" customHeight="1">
      <c r="A1357" s="153" t="s">
        <v>5088</v>
      </c>
      <c r="B1357" s="153" t="s">
        <v>5183</v>
      </c>
      <c r="C1357" s="154" t="s">
        <v>5095</v>
      </c>
      <c r="D1357" s="170">
        <v>329</v>
      </c>
      <c r="E1357" s="154">
        <v>1</v>
      </c>
      <c r="F1357" s="154" t="s">
        <v>5090</v>
      </c>
      <c r="G1357" s="154" t="s">
        <v>5184</v>
      </c>
      <c r="J1357" s="154" t="s">
        <v>31</v>
      </c>
      <c r="K1357" s="154" t="s">
        <v>2426</v>
      </c>
      <c r="N1357" s="155"/>
      <c r="O1357" s="156"/>
      <c r="P1357" s="157"/>
      <c r="Q1357" s="158"/>
      <c r="R1357" s="159"/>
      <c r="S1357" s="160"/>
      <c r="T1357" s="161"/>
      <c r="U1357" s="156"/>
      <c r="V1357" s="162"/>
      <c r="W1357" s="163"/>
      <c r="X1357" s="164"/>
      <c r="Y1357" s="159"/>
      <c r="Z1357" s="161"/>
      <c r="AA1357" s="165"/>
      <c r="AD1357" s="154" t="s">
        <v>2466</v>
      </c>
      <c r="AE1357" s="155"/>
      <c r="AI1357" s="153" t="s">
        <v>5184</v>
      </c>
      <c r="AL1357" s="154" t="s">
        <v>31</v>
      </c>
      <c r="AM1357" s="154" t="s">
        <v>2426</v>
      </c>
      <c r="AP1357" s="155"/>
      <c r="AQ1357" s="156"/>
      <c r="AR1357" s="157"/>
      <c r="AS1357" s="158"/>
      <c r="AT1357" s="159"/>
      <c r="AU1357" s="161"/>
      <c r="AV1357" s="156"/>
      <c r="AW1357" s="162"/>
      <c r="AX1357" s="163"/>
      <c r="AY1357" s="164">
        <v>4</v>
      </c>
      <c r="AZ1357" s="159" t="s">
        <v>1073</v>
      </c>
      <c r="BA1357" s="161"/>
      <c r="BB1357" s="165"/>
      <c r="BE1357" s="154" t="s">
        <v>2466</v>
      </c>
      <c r="BF1357" s="155"/>
      <c r="BG1357" s="154" t="s">
        <v>5185</v>
      </c>
    </row>
    <row r="1358" spans="1:59" s="154" customFormat="1" ht="15" customHeight="1">
      <c r="A1358" s="153" t="s">
        <v>5088</v>
      </c>
      <c r="B1358" s="153" t="s">
        <v>5186</v>
      </c>
      <c r="C1358" s="154" t="s">
        <v>5095</v>
      </c>
      <c r="D1358" s="170">
        <v>330</v>
      </c>
      <c r="E1358" s="154">
        <v>1</v>
      </c>
      <c r="F1358" s="154" t="s">
        <v>5090</v>
      </c>
      <c r="G1358" s="154" t="s">
        <v>5187</v>
      </c>
      <c r="J1358" s="154" t="s">
        <v>31</v>
      </c>
      <c r="K1358" s="154" t="s">
        <v>2426</v>
      </c>
      <c r="N1358" s="155"/>
      <c r="O1358" s="156"/>
      <c r="P1358" s="157"/>
      <c r="Q1358" s="158"/>
      <c r="R1358" s="159"/>
      <c r="S1358" s="160"/>
      <c r="T1358" s="161"/>
      <c r="U1358" s="156"/>
      <c r="V1358" s="162"/>
      <c r="W1358" s="163"/>
      <c r="X1358" s="164"/>
      <c r="Y1358" s="159"/>
      <c r="Z1358" s="161"/>
      <c r="AA1358" s="165"/>
      <c r="AD1358" s="154" t="s">
        <v>5188</v>
      </c>
      <c r="AE1358" s="155"/>
      <c r="AI1358" s="154" t="s">
        <v>5187</v>
      </c>
      <c r="AL1358" s="154" t="s">
        <v>31</v>
      </c>
      <c r="AM1358" s="154" t="s">
        <v>2426</v>
      </c>
      <c r="AP1358" s="155"/>
      <c r="AQ1358" s="156"/>
      <c r="AR1358" s="157"/>
      <c r="AS1358" s="158"/>
      <c r="AT1358" s="159"/>
      <c r="AU1358" s="161"/>
      <c r="AV1358" s="156"/>
      <c r="AW1358" s="162"/>
      <c r="AX1358" s="163"/>
      <c r="AY1358" s="164">
        <v>5</v>
      </c>
      <c r="AZ1358" s="159" t="s">
        <v>1073</v>
      </c>
      <c r="BA1358" s="161"/>
      <c r="BB1358" s="165">
        <v>1</v>
      </c>
      <c r="BE1358" s="154" t="s">
        <v>5188</v>
      </c>
      <c r="BF1358" s="155"/>
      <c r="BG1358" s="154" t="s">
        <v>5189</v>
      </c>
    </row>
    <row r="1359" spans="1:59" s="154" customFormat="1" ht="15" customHeight="1">
      <c r="A1359" s="153" t="s">
        <v>5088</v>
      </c>
      <c r="B1359" s="153" t="s">
        <v>5190</v>
      </c>
      <c r="C1359" s="154" t="s">
        <v>5095</v>
      </c>
      <c r="D1359" s="170">
        <v>331</v>
      </c>
      <c r="E1359" s="154">
        <v>1</v>
      </c>
      <c r="F1359" s="154" t="s">
        <v>5090</v>
      </c>
      <c r="G1359" s="154" t="s">
        <v>5191</v>
      </c>
      <c r="J1359" s="154" t="s">
        <v>31</v>
      </c>
      <c r="K1359" s="154" t="s">
        <v>2426</v>
      </c>
      <c r="N1359" s="155"/>
      <c r="O1359" s="156"/>
      <c r="P1359" s="157"/>
      <c r="Q1359" s="158"/>
      <c r="R1359" s="159"/>
      <c r="S1359" s="160"/>
      <c r="T1359" s="161"/>
      <c r="U1359" s="156"/>
      <c r="V1359" s="162"/>
      <c r="W1359" s="163"/>
      <c r="X1359" s="164"/>
      <c r="Y1359" s="159"/>
      <c r="Z1359" s="161"/>
      <c r="AA1359" s="165"/>
      <c r="AD1359" s="154" t="s">
        <v>5192</v>
      </c>
      <c r="AE1359" s="155"/>
      <c r="AI1359" s="154" t="s">
        <v>5191</v>
      </c>
      <c r="AL1359" s="154" t="s">
        <v>31</v>
      </c>
      <c r="AM1359" s="154" t="s">
        <v>2426</v>
      </c>
      <c r="AP1359" s="155"/>
      <c r="AQ1359" s="156"/>
      <c r="AR1359" s="157"/>
      <c r="AS1359" s="158"/>
      <c r="AT1359" s="159"/>
      <c r="AU1359" s="161"/>
      <c r="AV1359" s="156"/>
      <c r="AW1359" s="162"/>
      <c r="AX1359" s="163"/>
      <c r="AY1359" s="164">
        <v>1</v>
      </c>
      <c r="AZ1359" s="159" t="s">
        <v>1112</v>
      </c>
      <c r="BA1359" s="161"/>
      <c r="BB1359" s="165"/>
      <c r="BE1359" s="154" t="s">
        <v>5192</v>
      </c>
      <c r="BF1359" s="155"/>
      <c r="BG1359" s="154" t="s">
        <v>5193</v>
      </c>
    </row>
    <row r="1360" spans="1:59" s="154" customFormat="1" ht="15" customHeight="1">
      <c r="A1360" s="153" t="s">
        <v>5088</v>
      </c>
      <c r="B1360" s="153" t="s">
        <v>5194</v>
      </c>
      <c r="C1360" s="154" t="s">
        <v>5095</v>
      </c>
      <c r="D1360" s="170">
        <v>332</v>
      </c>
      <c r="E1360" s="154">
        <v>1</v>
      </c>
      <c r="F1360" s="154" t="s">
        <v>5090</v>
      </c>
      <c r="G1360" s="154" t="s">
        <v>5195</v>
      </c>
      <c r="J1360" s="154" t="s">
        <v>31</v>
      </c>
      <c r="K1360" s="154" t="s">
        <v>2426</v>
      </c>
      <c r="N1360" s="155"/>
      <c r="O1360" s="156"/>
      <c r="P1360" s="157"/>
      <c r="Q1360" s="158"/>
      <c r="R1360" s="159"/>
      <c r="S1360" s="160"/>
      <c r="T1360" s="161"/>
      <c r="U1360" s="156"/>
      <c r="V1360" s="162"/>
      <c r="W1360" s="163"/>
      <c r="X1360" s="164"/>
      <c r="Y1360" s="159"/>
      <c r="Z1360" s="161"/>
      <c r="AA1360" s="165"/>
      <c r="AD1360" s="154" t="s">
        <v>5196</v>
      </c>
      <c r="AE1360" s="155"/>
      <c r="AI1360" s="154" t="s">
        <v>5195</v>
      </c>
      <c r="AL1360" s="154" t="s">
        <v>31</v>
      </c>
      <c r="AM1360" s="154" t="s">
        <v>2426</v>
      </c>
      <c r="AP1360" s="155"/>
      <c r="AQ1360" s="156"/>
      <c r="AR1360" s="157"/>
      <c r="AS1360" s="158"/>
      <c r="AT1360" s="159"/>
      <c r="AU1360" s="161"/>
      <c r="AV1360" s="156"/>
      <c r="AW1360" s="162"/>
      <c r="AX1360" s="163"/>
      <c r="AY1360" s="164">
        <v>1</v>
      </c>
      <c r="AZ1360" s="159" t="s">
        <v>4883</v>
      </c>
      <c r="BA1360" s="161"/>
      <c r="BB1360" s="165">
        <v>1</v>
      </c>
      <c r="BE1360" s="154" t="s">
        <v>5196</v>
      </c>
      <c r="BF1360" s="155"/>
      <c r="BG1360" s="154" t="s">
        <v>5197</v>
      </c>
    </row>
    <row r="1361" spans="1:59" s="154" customFormat="1" ht="15" customHeight="1">
      <c r="A1361" s="153" t="s">
        <v>5088</v>
      </c>
      <c r="B1361" s="153" t="s">
        <v>5198</v>
      </c>
      <c r="C1361" s="154" t="s">
        <v>5095</v>
      </c>
      <c r="D1361" s="170">
        <v>333</v>
      </c>
      <c r="E1361" s="154">
        <v>1</v>
      </c>
      <c r="F1361" s="154" t="s">
        <v>5090</v>
      </c>
      <c r="G1361" s="154" t="s">
        <v>5199</v>
      </c>
      <c r="J1361" s="154" t="s">
        <v>31</v>
      </c>
      <c r="K1361" s="154" t="s">
        <v>2426</v>
      </c>
      <c r="N1361" s="155"/>
      <c r="O1361" s="156"/>
      <c r="P1361" s="157"/>
      <c r="Q1361" s="158"/>
      <c r="R1361" s="159"/>
      <c r="S1361" s="160"/>
      <c r="T1361" s="161"/>
      <c r="U1361" s="156"/>
      <c r="V1361" s="162"/>
      <c r="W1361" s="163"/>
      <c r="X1361" s="164"/>
      <c r="Y1361" s="159"/>
      <c r="Z1361" s="161"/>
      <c r="AA1361" s="165"/>
      <c r="AD1361" s="154" t="s">
        <v>5196</v>
      </c>
      <c r="AI1361" s="154" t="s">
        <v>5199</v>
      </c>
      <c r="AL1361" s="154" t="s">
        <v>31</v>
      </c>
      <c r="AM1361" s="154" t="s">
        <v>2426</v>
      </c>
      <c r="AP1361" s="155"/>
      <c r="AQ1361" s="156"/>
      <c r="AR1361" s="157"/>
      <c r="AS1361" s="158"/>
      <c r="AT1361" s="159"/>
      <c r="AU1361" s="161"/>
      <c r="AV1361" s="156"/>
      <c r="AW1361" s="162"/>
      <c r="AX1361" s="163"/>
      <c r="AY1361" s="164">
        <v>3</v>
      </c>
      <c r="AZ1361" s="159" t="s">
        <v>1111</v>
      </c>
      <c r="BA1361" s="161"/>
      <c r="BB1361" s="165"/>
      <c r="BE1361" s="154" t="s">
        <v>5196</v>
      </c>
      <c r="BF1361" s="155"/>
      <c r="BG1361" s="154" t="s">
        <v>5200</v>
      </c>
    </row>
    <row r="1362" spans="1:59" s="154" customFormat="1" ht="15" customHeight="1">
      <c r="A1362" s="153" t="s">
        <v>5088</v>
      </c>
      <c r="B1362" s="169" t="s">
        <v>5201</v>
      </c>
      <c r="C1362" s="154" t="s">
        <v>5095</v>
      </c>
      <c r="D1362" s="170">
        <v>334</v>
      </c>
      <c r="E1362" s="154">
        <v>1</v>
      </c>
      <c r="F1362" s="154" t="s">
        <v>5090</v>
      </c>
      <c r="G1362" s="154" t="s">
        <v>5202</v>
      </c>
      <c r="J1362" s="154" t="s">
        <v>31</v>
      </c>
      <c r="K1362" s="154" t="s">
        <v>2426</v>
      </c>
      <c r="N1362" s="155"/>
      <c r="O1362" s="156"/>
      <c r="P1362" s="157"/>
      <c r="Q1362" s="158"/>
      <c r="R1362" s="159"/>
      <c r="S1362" s="160"/>
      <c r="T1362" s="161"/>
      <c r="U1362" s="156"/>
      <c r="V1362" s="162"/>
      <c r="W1362" s="163"/>
      <c r="X1362" s="164"/>
      <c r="Y1362" s="159"/>
      <c r="Z1362" s="161"/>
      <c r="AA1362" s="165"/>
      <c r="AD1362" s="154" t="s">
        <v>5196</v>
      </c>
      <c r="AE1362" s="155"/>
      <c r="AI1362" s="154" t="s">
        <v>5202</v>
      </c>
      <c r="AL1362" s="154" t="s">
        <v>31</v>
      </c>
      <c r="AM1362" s="154" t="s">
        <v>2426</v>
      </c>
      <c r="AP1362" s="155"/>
      <c r="AQ1362" s="156"/>
      <c r="AR1362" s="157"/>
      <c r="AS1362" s="158"/>
      <c r="AT1362" s="159"/>
      <c r="AU1362" s="161"/>
      <c r="AV1362" s="156"/>
      <c r="AW1362" s="162"/>
      <c r="AX1362" s="163"/>
      <c r="AY1362" s="164">
        <v>2</v>
      </c>
      <c r="AZ1362" s="159" t="s">
        <v>1112</v>
      </c>
      <c r="BA1362" s="161"/>
      <c r="BB1362" s="165">
        <v>1</v>
      </c>
      <c r="BE1362" s="154" t="s">
        <v>5196</v>
      </c>
      <c r="BF1362" s="155"/>
      <c r="BG1362" s="154" t="s">
        <v>5203</v>
      </c>
    </row>
    <row r="1363" spans="1:59" s="154" customFormat="1" ht="15" customHeight="1">
      <c r="A1363" s="153" t="s">
        <v>5088</v>
      </c>
      <c r="B1363" s="153" t="s">
        <v>5204</v>
      </c>
      <c r="C1363" s="154" t="s">
        <v>5095</v>
      </c>
      <c r="D1363" s="170">
        <v>335</v>
      </c>
      <c r="E1363" s="154">
        <v>1</v>
      </c>
      <c r="F1363" s="154" t="s">
        <v>5090</v>
      </c>
      <c r="G1363" s="154" t="s">
        <v>5205</v>
      </c>
      <c r="J1363" s="154" t="s">
        <v>31</v>
      </c>
      <c r="K1363" s="154" t="s">
        <v>2426</v>
      </c>
      <c r="N1363" s="155"/>
      <c r="O1363" s="156"/>
      <c r="P1363" s="157"/>
      <c r="Q1363" s="158"/>
      <c r="R1363" s="159"/>
      <c r="S1363" s="160"/>
      <c r="T1363" s="161"/>
      <c r="U1363" s="156"/>
      <c r="V1363" s="162"/>
      <c r="W1363" s="163"/>
      <c r="X1363" s="164"/>
      <c r="Y1363" s="159"/>
      <c r="Z1363" s="161"/>
      <c r="AA1363" s="165"/>
      <c r="AD1363" s="154" t="s">
        <v>5196</v>
      </c>
      <c r="AE1363" s="155"/>
      <c r="AI1363" s="154" t="s">
        <v>5205</v>
      </c>
      <c r="AL1363" s="154" t="s">
        <v>31</v>
      </c>
      <c r="AM1363" s="154" t="s">
        <v>2426</v>
      </c>
      <c r="AP1363" s="155"/>
      <c r="AQ1363" s="156"/>
      <c r="AR1363" s="157"/>
      <c r="AS1363" s="158"/>
      <c r="AT1363" s="159"/>
      <c r="AU1363" s="161"/>
      <c r="AV1363" s="156"/>
      <c r="AW1363" s="162"/>
      <c r="AX1363" s="163"/>
      <c r="AY1363" s="164">
        <v>4</v>
      </c>
      <c r="AZ1363" s="159" t="s">
        <v>1111</v>
      </c>
      <c r="BA1363" s="161"/>
      <c r="BB1363" s="165">
        <v>1</v>
      </c>
      <c r="BE1363" s="154" t="s">
        <v>5196</v>
      </c>
      <c r="BF1363" s="155"/>
      <c r="BG1363" s="154" t="s">
        <v>5206</v>
      </c>
    </row>
    <row r="1364" spans="1:59" s="154" customFormat="1" ht="15" customHeight="1">
      <c r="A1364" s="153" t="s">
        <v>5088</v>
      </c>
      <c r="B1364" s="169" t="s">
        <v>5207</v>
      </c>
      <c r="C1364" s="154" t="s">
        <v>5095</v>
      </c>
      <c r="D1364" s="170">
        <v>336</v>
      </c>
      <c r="E1364" s="154">
        <v>1</v>
      </c>
      <c r="F1364" s="154" t="s">
        <v>5090</v>
      </c>
      <c r="G1364" s="154" t="s">
        <v>5208</v>
      </c>
      <c r="J1364" s="154" t="s">
        <v>31</v>
      </c>
      <c r="K1364" s="154" t="s">
        <v>2426</v>
      </c>
      <c r="N1364" s="155"/>
      <c r="O1364" s="156"/>
      <c r="P1364" s="157"/>
      <c r="Q1364" s="158"/>
      <c r="R1364" s="159"/>
      <c r="S1364" s="160"/>
      <c r="T1364" s="161"/>
      <c r="U1364" s="156"/>
      <c r="V1364" s="162"/>
      <c r="W1364" s="163"/>
      <c r="X1364" s="164"/>
      <c r="Y1364" s="159"/>
      <c r="Z1364" s="161"/>
      <c r="AA1364" s="165"/>
      <c r="AD1364" s="154" t="s">
        <v>5209</v>
      </c>
      <c r="AE1364" s="155"/>
      <c r="AI1364" s="154" t="s">
        <v>5208</v>
      </c>
      <c r="AL1364" s="154" t="s">
        <v>31</v>
      </c>
      <c r="AM1364" s="154" t="s">
        <v>2426</v>
      </c>
      <c r="AP1364" s="155"/>
      <c r="AQ1364" s="156"/>
      <c r="AR1364" s="157"/>
      <c r="AS1364" s="158"/>
      <c r="AT1364" s="159"/>
      <c r="AU1364" s="161"/>
      <c r="AV1364" s="156"/>
      <c r="AW1364" s="162"/>
      <c r="AX1364" s="163"/>
      <c r="AY1364" s="164">
        <v>3</v>
      </c>
      <c r="AZ1364" s="159" t="s">
        <v>1073</v>
      </c>
      <c r="BA1364" s="161"/>
      <c r="BB1364" s="165"/>
      <c r="BE1364" s="154" t="s">
        <v>5209</v>
      </c>
      <c r="BF1364" s="155"/>
      <c r="BG1364" s="154" t="s">
        <v>5210</v>
      </c>
    </row>
    <row r="1365" spans="1:59" s="154" customFormat="1" ht="15" customHeight="1">
      <c r="A1365" s="153" t="s">
        <v>5088</v>
      </c>
      <c r="B1365" s="153" t="s">
        <v>5211</v>
      </c>
      <c r="C1365" s="154" t="s">
        <v>5095</v>
      </c>
      <c r="D1365" s="170">
        <v>337</v>
      </c>
      <c r="E1365" s="154">
        <v>1</v>
      </c>
      <c r="F1365" s="154" t="s">
        <v>5090</v>
      </c>
      <c r="G1365" s="154" t="s">
        <v>5212</v>
      </c>
      <c r="H1365" s="154" t="s">
        <v>5213</v>
      </c>
      <c r="J1365" s="154" t="s">
        <v>29</v>
      </c>
      <c r="K1365" s="154" t="s">
        <v>2426</v>
      </c>
      <c r="N1365" s="155"/>
      <c r="O1365" s="156"/>
      <c r="P1365" s="157"/>
      <c r="Q1365" s="158">
        <v>2</v>
      </c>
      <c r="R1365" s="159">
        <v>2</v>
      </c>
      <c r="S1365" s="160"/>
      <c r="T1365" s="161">
        <v>10</v>
      </c>
      <c r="U1365" s="156"/>
      <c r="V1365" s="162">
        <v>3</v>
      </c>
      <c r="W1365" s="163">
        <v>3</v>
      </c>
      <c r="X1365" s="164"/>
      <c r="Y1365" s="159"/>
      <c r="Z1365" s="161"/>
      <c r="AA1365" s="165">
        <v>2</v>
      </c>
      <c r="AD1365" s="154" t="s">
        <v>1691</v>
      </c>
      <c r="AE1365" s="155"/>
      <c r="AF1365" s="154" t="s">
        <v>5214</v>
      </c>
      <c r="AP1365" s="155"/>
      <c r="AQ1365" s="156"/>
      <c r="AR1365" s="157"/>
      <c r="AS1365" s="158"/>
      <c r="AT1365" s="159"/>
      <c r="AU1365" s="161"/>
      <c r="AV1365" s="156"/>
      <c r="AW1365" s="162"/>
      <c r="AX1365" s="163"/>
      <c r="AY1365" s="164"/>
      <c r="AZ1365" s="159"/>
      <c r="BA1365" s="161"/>
      <c r="BB1365" s="165"/>
      <c r="BF1365" s="155"/>
    </row>
    <row r="1366" spans="1:59" s="154" customFormat="1" ht="15" customHeight="1">
      <c r="A1366" s="153" t="s">
        <v>5088</v>
      </c>
      <c r="B1366" s="153" t="s">
        <v>5215</v>
      </c>
      <c r="C1366" s="154" t="s">
        <v>5095</v>
      </c>
      <c r="D1366" s="170">
        <v>338</v>
      </c>
      <c r="E1366" s="154">
        <v>2</v>
      </c>
      <c r="F1366" s="154" t="s">
        <v>5090</v>
      </c>
      <c r="G1366" s="154" t="s">
        <v>5216</v>
      </c>
      <c r="J1366" s="154" t="s">
        <v>29</v>
      </c>
      <c r="K1366" s="154" t="s">
        <v>2426</v>
      </c>
      <c r="N1366" s="155"/>
      <c r="O1366" s="156"/>
      <c r="P1366" s="157"/>
      <c r="Q1366" s="158">
        <v>4</v>
      </c>
      <c r="R1366" s="159">
        <v>4</v>
      </c>
      <c r="S1366" s="160"/>
      <c r="T1366" s="161">
        <v>5</v>
      </c>
      <c r="U1366" s="156"/>
      <c r="V1366" s="162">
        <v>1</v>
      </c>
      <c r="W1366" s="163">
        <v>1</v>
      </c>
      <c r="X1366" s="164"/>
      <c r="Y1366" s="159"/>
      <c r="Z1366" s="161"/>
      <c r="AA1366" s="165"/>
      <c r="AD1366" s="154" t="s">
        <v>5217</v>
      </c>
      <c r="AE1366" s="155"/>
      <c r="AF1366" s="154" t="s">
        <v>5218</v>
      </c>
      <c r="AP1366" s="155"/>
      <c r="AQ1366" s="156"/>
      <c r="AR1366" s="157"/>
      <c r="AS1366" s="158"/>
      <c r="AT1366" s="159"/>
      <c r="AU1366" s="161"/>
      <c r="AV1366" s="156"/>
      <c r="AW1366" s="162"/>
      <c r="AX1366" s="163"/>
      <c r="AY1366" s="164"/>
      <c r="AZ1366" s="159"/>
      <c r="BA1366" s="161"/>
      <c r="BB1366" s="165"/>
      <c r="BF1366" s="155"/>
    </row>
    <row r="1367" spans="1:59" s="154" customFormat="1" ht="15" customHeight="1">
      <c r="A1367" s="153" t="s">
        <v>5088</v>
      </c>
      <c r="B1367" s="153" t="s">
        <v>5219</v>
      </c>
      <c r="C1367" s="154" t="s">
        <v>5095</v>
      </c>
      <c r="D1367" s="170">
        <v>339</v>
      </c>
      <c r="E1367" s="154">
        <v>2</v>
      </c>
      <c r="F1367" s="154" t="s">
        <v>5090</v>
      </c>
      <c r="G1367" s="154" t="s">
        <v>5220</v>
      </c>
      <c r="J1367" s="154" t="s">
        <v>28</v>
      </c>
      <c r="K1367" s="154" t="s">
        <v>2426</v>
      </c>
      <c r="N1367" s="155"/>
      <c r="O1367" s="156"/>
      <c r="P1367" s="157"/>
      <c r="Q1367" s="158"/>
      <c r="R1367" s="159"/>
      <c r="S1367" s="160"/>
      <c r="T1367" s="161"/>
      <c r="U1367" s="156"/>
      <c r="V1367" s="162"/>
      <c r="W1367" s="163"/>
      <c r="X1367" s="164"/>
      <c r="Y1367" s="159"/>
      <c r="Z1367" s="161"/>
      <c r="AA1367" s="165"/>
      <c r="AD1367" s="154" t="s">
        <v>486</v>
      </c>
      <c r="AE1367" s="155"/>
      <c r="AF1367" s="154" t="s">
        <v>5221</v>
      </c>
      <c r="AP1367" s="155"/>
      <c r="AQ1367" s="156"/>
      <c r="AR1367" s="157"/>
      <c r="AS1367" s="158"/>
      <c r="AT1367" s="159"/>
      <c r="AU1367" s="161"/>
      <c r="AV1367" s="156"/>
      <c r="AW1367" s="162"/>
      <c r="AX1367" s="163"/>
      <c r="AY1367" s="164"/>
      <c r="AZ1367" s="159"/>
      <c r="BA1367" s="161"/>
      <c r="BB1367" s="165"/>
      <c r="BF1367" s="155"/>
    </row>
    <row r="1368" spans="1:59" s="154" customFormat="1" ht="15" customHeight="1">
      <c r="A1368" s="153" t="s">
        <v>5088</v>
      </c>
      <c r="B1368" s="153" t="s">
        <v>5222</v>
      </c>
      <c r="C1368" s="154" t="s">
        <v>5095</v>
      </c>
      <c r="D1368" s="170">
        <v>340</v>
      </c>
      <c r="E1368" s="154">
        <v>2</v>
      </c>
      <c r="F1368" s="154" t="s">
        <v>5090</v>
      </c>
      <c r="G1368" s="154" t="s">
        <v>5223</v>
      </c>
      <c r="J1368" s="154" t="s">
        <v>28</v>
      </c>
      <c r="K1368" s="154" t="s">
        <v>2426</v>
      </c>
      <c r="N1368" s="155"/>
      <c r="O1368" s="156"/>
      <c r="P1368" s="157"/>
      <c r="Q1368" s="158"/>
      <c r="R1368" s="159"/>
      <c r="S1368" s="160"/>
      <c r="T1368" s="161"/>
      <c r="U1368" s="156"/>
      <c r="V1368" s="162"/>
      <c r="W1368" s="163"/>
      <c r="X1368" s="164"/>
      <c r="Y1368" s="159"/>
      <c r="Z1368" s="161"/>
      <c r="AA1368" s="165"/>
      <c r="AD1368" s="154" t="s">
        <v>486</v>
      </c>
      <c r="AE1368" s="155"/>
      <c r="AF1368" s="154" t="s">
        <v>5224</v>
      </c>
      <c r="AP1368" s="155"/>
      <c r="AQ1368" s="156"/>
      <c r="AR1368" s="157"/>
      <c r="AS1368" s="158"/>
      <c r="AT1368" s="159"/>
      <c r="AU1368" s="161"/>
      <c r="AV1368" s="156"/>
      <c r="AW1368" s="162"/>
      <c r="AX1368" s="163"/>
      <c r="AY1368" s="164"/>
      <c r="AZ1368" s="159"/>
      <c r="BA1368" s="161"/>
      <c r="BB1368" s="165"/>
      <c r="BF1368" s="155"/>
    </row>
    <row r="1369" spans="1:59" s="154" customFormat="1" ht="15" customHeight="1">
      <c r="A1369" s="153" t="s">
        <v>5088</v>
      </c>
      <c r="B1369" s="153" t="s">
        <v>5225</v>
      </c>
      <c r="C1369" s="154" t="s">
        <v>5095</v>
      </c>
      <c r="D1369" s="155">
        <v>341</v>
      </c>
      <c r="E1369" s="154">
        <v>3</v>
      </c>
      <c r="F1369" s="154" t="s">
        <v>5090</v>
      </c>
      <c r="G1369" s="154" t="s">
        <v>5226</v>
      </c>
      <c r="J1369" s="154" t="s">
        <v>28</v>
      </c>
      <c r="K1369" s="154" t="s">
        <v>2426</v>
      </c>
      <c r="N1369" s="155"/>
      <c r="O1369" s="156"/>
      <c r="P1369" s="157"/>
      <c r="Q1369" s="158"/>
      <c r="R1369" s="159"/>
      <c r="S1369" s="160"/>
      <c r="T1369" s="161"/>
      <c r="U1369" s="156"/>
      <c r="V1369" s="162"/>
      <c r="W1369" s="163"/>
      <c r="X1369" s="164"/>
      <c r="Y1369" s="159"/>
      <c r="Z1369" s="161"/>
      <c r="AA1369" s="165"/>
      <c r="AD1369" s="154" t="s">
        <v>486</v>
      </c>
      <c r="AE1369" s="155"/>
      <c r="AF1369" s="154" t="s">
        <v>5227</v>
      </c>
      <c r="AP1369" s="155"/>
      <c r="AQ1369" s="156"/>
      <c r="AR1369" s="157"/>
      <c r="AS1369" s="158"/>
      <c r="AT1369" s="159"/>
      <c r="AU1369" s="161"/>
      <c r="AV1369" s="156"/>
      <c r="AW1369" s="162"/>
      <c r="AX1369" s="163"/>
      <c r="AY1369" s="164"/>
      <c r="AZ1369" s="159"/>
      <c r="BA1369" s="161"/>
      <c r="BB1369" s="165"/>
      <c r="BF1369" s="155"/>
    </row>
    <row r="1370" spans="1:59" s="154" customFormat="1" ht="15" customHeight="1">
      <c r="A1370" s="153" t="s">
        <v>5088</v>
      </c>
      <c r="B1370" s="153" t="s">
        <v>5228</v>
      </c>
      <c r="C1370" s="154" t="s">
        <v>5095</v>
      </c>
      <c r="D1370" s="155">
        <v>342</v>
      </c>
      <c r="E1370" s="154">
        <v>2</v>
      </c>
      <c r="F1370" s="154" t="s">
        <v>5090</v>
      </c>
      <c r="G1370" s="154" t="s">
        <v>5229</v>
      </c>
      <c r="J1370" s="154" t="s">
        <v>28</v>
      </c>
      <c r="K1370" s="154" t="s">
        <v>2426</v>
      </c>
      <c r="N1370" s="155"/>
      <c r="O1370" s="156"/>
      <c r="P1370" s="157"/>
      <c r="Q1370" s="158"/>
      <c r="R1370" s="159"/>
      <c r="S1370" s="160"/>
      <c r="T1370" s="161"/>
      <c r="U1370" s="156"/>
      <c r="V1370" s="162"/>
      <c r="W1370" s="163"/>
      <c r="X1370" s="164"/>
      <c r="Y1370" s="159"/>
      <c r="Z1370" s="161"/>
      <c r="AA1370" s="165"/>
      <c r="AD1370" s="154" t="s">
        <v>479</v>
      </c>
      <c r="AE1370" s="155"/>
      <c r="AF1370" s="154" t="s">
        <v>5230</v>
      </c>
      <c r="AP1370" s="155"/>
      <c r="AQ1370" s="156"/>
      <c r="AR1370" s="157"/>
      <c r="AS1370" s="158"/>
      <c r="AT1370" s="159"/>
      <c r="AU1370" s="161"/>
      <c r="AV1370" s="156"/>
      <c r="AW1370" s="162"/>
      <c r="AX1370" s="163"/>
      <c r="AY1370" s="164"/>
      <c r="AZ1370" s="159"/>
      <c r="BA1370" s="161"/>
      <c r="BB1370" s="165"/>
      <c r="BF1370" s="155"/>
    </row>
    <row r="1371" spans="1:59" s="154" customFormat="1" ht="15" customHeight="1">
      <c r="A1371" s="153" t="s">
        <v>5088</v>
      </c>
      <c r="B1371" s="183" t="s">
        <v>5231</v>
      </c>
      <c r="C1371" s="154" t="s">
        <v>5095</v>
      </c>
      <c r="D1371" s="155">
        <v>343</v>
      </c>
      <c r="E1371" s="154">
        <v>1</v>
      </c>
      <c r="F1371" s="154" t="s">
        <v>5090</v>
      </c>
      <c r="G1371" s="154" t="s">
        <v>3978</v>
      </c>
      <c r="H1371" s="154" t="s">
        <v>5232</v>
      </c>
      <c r="J1371" s="154" t="s">
        <v>257</v>
      </c>
      <c r="K1371" s="154" t="s">
        <v>26</v>
      </c>
      <c r="N1371" s="155">
        <v>2</v>
      </c>
      <c r="O1371" s="156"/>
      <c r="P1371" s="157"/>
      <c r="Q1371" s="158"/>
      <c r="R1371" s="159"/>
      <c r="S1371" s="160">
        <v>3</v>
      </c>
      <c r="T1371" s="161"/>
      <c r="U1371" s="156"/>
      <c r="V1371" s="162"/>
      <c r="W1371" s="163"/>
      <c r="X1371" s="164"/>
      <c r="Y1371" s="159"/>
      <c r="Z1371" s="161"/>
      <c r="AA1371" s="165"/>
      <c r="AB1371" s="154" t="s">
        <v>1996</v>
      </c>
      <c r="AD1371" s="154" t="s">
        <v>276</v>
      </c>
      <c r="AE1371" s="155"/>
      <c r="AF1371" s="154" t="s">
        <v>5233</v>
      </c>
      <c r="AP1371" s="155"/>
      <c r="AQ1371" s="156"/>
      <c r="AR1371" s="157"/>
      <c r="AS1371" s="158"/>
      <c r="AT1371" s="159"/>
      <c r="AU1371" s="161"/>
      <c r="AV1371" s="156"/>
      <c r="AW1371" s="162"/>
      <c r="AX1371" s="163"/>
      <c r="AY1371" s="164"/>
      <c r="AZ1371" s="159"/>
      <c r="BA1371" s="161"/>
      <c r="BB1371" s="165"/>
      <c r="BF1371" s="155"/>
    </row>
    <row r="1372" spans="1:59" s="154" customFormat="1" ht="15" customHeight="1">
      <c r="A1372" s="153" t="s">
        <v>5088</v>
      </c>
      <c r="B1372" s="154" t="s">
        <v>5234</v>
      </c>
      <c r="C1372" s="154" t="s">
        <v>5095</v>
      </c>
      <c r="D1372" s="155">
        <v>344</v>
      </c>
      <c r="E1372" s="154">
        <v>1</v>
      </c>
      <c r="F1372" s="154" t="s">
        <v>5235</v>
      </c>
      <c r="G1372" s="154" t="s">
        <v>5235</v>
      </c>
      <c r="J1372" s="154" t="s">
        <v>618</v>
      </c>
      <c r="K1372" s="154" t="s">
        <v>2426</v>
      </c>
      <c r="N1372" s="155"/>
      <c r="O1372" s="156"/>
      <c r="P1372" s="157"/>
      <c r="Q1372" s="158"/>
      <c r="R1372" s="159"/>
      <c r="S1372" s="160"/>
      <c r="T1372" s="161"/>
      <c r="U1372" s="156"/>
      <c r="V1372" s="162"/>
      <c r="W1372" s="163"/>
      <c r="X1372" s="164"/>
      <c r="Y1372" s="159"/>
      <c r="Z1372" s="161"/>
      <c r="AA1372" s="165"/>
      <c r="AE1372" s="155"/>
      <c r="AF1372" s="154" t="s">
        <v>5236</v>
      </c>
      <c r="AI1372" s="154" t="s">
        <v>5235</v>
      </c>
      <c r="AL1372" s="154" t="s">
        <v>618</v>
      </c>
      <c r="AM1372" s="154" t="s">
        <v>2426</v>
      </c>
      <c r="AP1372" s="155"/>
      <c r="AQ1372" s="156"/>
      <c r="AR1372" s="157"/>
      <c r="AS1372" s="158"/>
      <c r="AT1372" s="159"/>
      <c r="AU1372" s="161"/>
      <c r="AV1372" s="156"/>
      <c r="AW1372" s="162"/>
      <c r="AX1372" s="163"/>
      <c r="AY1372" s="164"/>
      <c r="AZ1372" s="159"/>
      <c r="BA1372" s="161"/>
      <c r="BB1372" s="165"/>
      <c r="BF1372" s="155"/>
      <c r="BG1372" s="154" t="s">
        <v>5237</v>
      </c>
    </row>
    <row r="1373" spans="1:59" s="154" customFormat="1" ht="15" customHeight="1">
      <c r="A1373" s="153" t="s">
        <v>5088</v>
      </c>
      <c r="B1373" s="154" t="s">
        <v>5238</v>
      </c>
      <c r="C1373" s="154" t="s">
        <v>5095</v>
      </c>
      <c r="D1373" s="155">
        <v>345</v>
      </c>
      <c r="E1373" s="154">
        <v>1</v>
      </c>
      <c r="F1373" s="154" t="s">
        <v>5235</v>
      </c>
      <c r="G1373" s="154" t="s">
        <v>5239</v>
      </c>
      <c r="J1373" s="154" t="s">
        <v>621</v>
      </c>
      <c r="K1373" s="154" t="s">
        <v>2426</v>
      </c>
      <c r="N1373" s="155"/>
      <c r="O1373" s="156"/>
      <c r="P1373" s="157"/>
      <c r="Q1373" s="158"/>
      <c r="R1373" s="159"/>
      <c r="S1373" s="160"/>
      <c r="T1373" s="161"/>
      <c r="U1373" s="156"/>
      <c r="V1373" s="162"/>
      <c r="W1373" s="163"/>
      <c r="X1373" s="164"/>
      <c r="Y1373" s="159" t="s">
        <v>1112</v>
      </c>
      <c r="Z1373" s="161"/>
      <c r="AA1373" s="165"/>
      <c r="AE1373" s="155"/>
      <c r="AF1373" s="154" t="s">
        <v>3936</v>
      </c>
      <c r="AI1373" s="154" t="s">
        <v>5239</v>
      </c>
      <c r="AJ1373" s="171"/>
      <c r="AL1373" s="154" t="s">
        <v>621</v>
      </c>
      <c r="AM1373" s="154" t="s">
        <v>2426</v>
      </c>
      <c r="AP1373" s="155"/>
      <c r="AQ1373" s="156"/>
      <c r="AR1373" s="157"/>
      <c r="AS1373" s="158"/>
      <c r="AT1373" s="159"/>
      <c r="AU1373" s="161"/>
      <c r="AV1373" s="156"/>
      <c r="AW1373" s="162"/>
      <c r="AX1373" s="163"/>
      <c r="AY1373" s="164"/>
      <c r="AZ1373" s="159"/>
      <c r="BA1373" s="161"/>
      <c r="BB1373" s="165"/>
      <c r="BF1373" s="155"/>
      <c r="BG1373" s="154" t="s">
        <v>5240</v>
      </c>
    </row>
    <row r="1374" spans="1:59" s="154" customFormat="1" ht="15" customHeight="1">
      <c r="A1374" s="153" t="s">
        <v>5088</v>
      </c>
      <c r="B1374" s="154" t="s">
        <v>5241</v>
      </c>
      <c r="C1374" s="154" t="s">
        <v>5095</v>
      </c>
      <c r="D1374" s="155">
        <v>346</v>
      </c>
      <c r="E1374" s="154">
        <v>1</v>
      </c>
      <c r="F1374" s="154" t="s">
        <v>5235</v>
      </c>
      <c r="G1374" s="154" t="s">
        <v>5242</v>
      </c>
      <c r="J1374" s="154" t="s">
        <v>621</v>
      </c>
      <c r="K1374" s="154" t="s">
        <v>2426</v>
      </c>
      <c r="N1374" s="155"/>
      <c r="O1374" s="156"/>
      <c r="P1374" s="157"/>
      <c r="Q1374" s="158"/>
      <c r="R1374" s="159"/>
      <c r="S1374" s="160"/>
      <c r="T1374" s="161"/>
      <c r="U1374" s="156"/>
      <c r="V1374" s="162"/>
      <c r="W1374" s="163"/>
      <c r="X1374" s="164"/>
      <c r="Y1374" s="159" t="s">
        <v>1111</v>
      </c>
      <c r="Z1374" s="161"/>
      <c r="AA1374" s="165"/>
      <c r="AE1374" s="155"/>
      <c r="AF1374" s="154" t="s">
        <v>5243</v>
      </c>
      <c r="AI1374" s="154" t="s">
        <v>5242</v>
      </c>
      <c r="AL1374" s="154" t="s">
        <v>621</v>
      </c>
      <c r="AM1374" s="154" t="s">
        <v>2426</v>
      </c>
      <c r="AP1374" s="155"/>
      <c r="AQ1374" s="156"/>
      <c r="AR1374" s="157"/>
      <c r="AS1374" s="158"/>
      <c r="AT1374" s="159"/>
      <c r="AU1374" s="161"/>
      <c r="AV1374" s="156"/>
      <c r="AW1374" s="162"/>
      <c r="AX1374" s="163"/>
      <c r="AY1374" s="164"/>
      <c r="AZ1374" s="159"/>
      <c r="BA1374" s="161"/>
      <c r="BB1374" s="165"/>
      <c r="BF1374" s="155"/>
      <c r="BG1374" s="154" t="s">
        <v>5244</v>
      </c>
    </row>
    <row r="1375" spans="1:59" s="154" customFormat="1" ht="15" customHeight="1">
      <c r="A1375" s="153" t="s">
        <v>5088</v>
      </c>
      <c r="B1375" s="153" t="s">
        <v>5245</v>
      </c>
      <c r="C1375" s="154" t="s">
        <v>5095</v>
      </c>
      <c r="D1375" s="155">
        <v>347</v>
      </c>
      <c r="E1375" s="154">
        <v>1</v>
      </c>
      <c r="F1375" s="154" t="s">
        <v>5235</v>
      </c>
      <c r="G1375" s="154" t="s">
        <v>5246</v>
      </c>
      <c r="J1375" s="154" t="s">
        <v>621</v>
      </c>
      <c r="K1375" s="154" t="s">
        <v>2426</v>
      </c>
      <c r="N1375" s="155"/>
      <c r="O1375" s="156"/>
      <c r="P1375" s="157"/>
      <c r="Q1375" s="158"/>
      <c r="R1375" s="159"/>
      <c r="S1375" s="160"/>
      <c r="T1375" s="161"/>
      <c r="U1375" s="156"/>
      <c r="V1375" s="162"/>
      <c r="W1375" s="163"/>
      <c r="X1375" s="164"/>
      <c r="Y1375" s="159">
        <v>0</v>
      </c>
      <c r="Z1375" s="161"/>
      <c r="AA1375" s="165"/>
      <c r="AE1375" s="155"/>
      <c r="AF1375" s="154" t="s">
        <v>5247</v>
      </c>
      <c r="AI1375" s="154" t="s">
        <v>5246</v>
      </c>
      <c r="AL1375" s="154" t="s">
        <v>621</v>
      </c>
      <c r="AM1375" s="154" t="s">
        <v>2426</v>
      </c>
      <c r="AP1375" s="155"/>
      <c r="AQ1375" s="156"/>
      <c r="AR1375" s="157"/>
      <c r="AS1375" s="158"/>
      <c r="AT1375" s="159"/>
      <c r="AU1375" s="161"/>
      <c r="AV1375" s="156"/>
      <c r="AW1375" s="162"/>
      <c r="AX1375" s="163"/>
      <c r="AY1375" s="164"/>
      <c r="AZ1375" s="159"/>
      <c r="BA1375" s="161"/>
      <c r="BB1375" s="165"/>
      <c r="BF1375" s="155"/>
      <c r="BG1375" s="154" t="s">
        <v>5248</v>
      </c>
    </row>
    <row r="1376" spans="1:59" s="154" customFormat="1" ht="15" customHeight="1">
      <c r="A1376" s="168" t="s">
        <v>5089</v>
      </c>
      <c r="B1376" s="153" t="s">
        <v>5249</v>
      </c>
      <c r="C1376" s="154" t="s">
        <v>5250</v>
      </c>
      <c r="D1376" s="155">
        <v>1</v>
      </c>
      <c r="E1376" s="154">
        <v>1</v>
      </c>
      <c r="F1376" s="154" t="s">
        <v>5091</v>
      </c>
      <c r="G1376" s="154" t="s">
        <v>5091</v>
      </c>
      <c r="J1376" s="154" t="s">
        <v>618</v>
      </c>
      <c r="K1376" s="154" t="s">
        <v>2426</v>
      </c>
      <c r="N1376" s="155"/>
      <c r="O1376" s="156"/>
      <c r="P1376" s="157"/>
      <c r="Q1376" s="158"/>
      <c r="R1376" s="159"/>
      <c r="S1376" s="160"/>
      <c r="T1376" s="161"/>
      <c r="U1376" s="156"/>
      <c r="V1376" s="162"/>
      <c r="W1376" s="163"/>
      <c r="X1376" s="164"/>
      <c r="Y1376" s="159"/>
      <c r="Z1376" s="161"/>
      <c r="AA1376" s="165"/>
      <c r="AE1376" s="155"/>
      <c r="AF1376" s="154" t="s">
        <v>5251</v>
      </c>
      <c r="AI1376" s="154" t="s">
        <v>5091</v>
      </c>
      <c r="AL1376" s="154" t="s">
        <v>618</v>
      </c>
      <c r="AM1376" s="154" t="s">
        <v>2426</v>
      </c>
      <c r="AP1376" s="155"/>
      <c r="AQ1376" s="156"/>
      <c r="AR1376" s="157"/>
      <c r="AS1376" s="158"/>
      <c r="AT1376" s="159"/>
      <c r="AU1376" s="161"/>
      <c r="AV1376" s="156"/>
      <c r="AW1376" s="162"/>
      <c r="AX1376" s="163"/>
      <c r="AY1376" s="164"/>
      <c r="AZ1376" s="159"/>
      <c r="BA1376" s="161"/>
      <c r="BB1376" s="165"/>
      <c r="BF1376" s="155"/>
      <c r="BG1376" s="154" t="s">
        <v>5252</v>
      </c>
    </row>
    <row r="1377" spans="1:59" s="154" customFormat="1" ht="15" customHeight="1">
      <c r="A1377" s="168" t="s">
        <v>5089</v>
      </c>
      <c r="B1377" s="153" t="s">
        <v>5253</v>
      </c>
      <c r="C1377" s="154" t="s">
        <v>5250</v>
      </c>
      <c r="D1377" s="155">
        <v>2</v>
      </c>
      <c r="E1377" s="154">
        <v>1</v>
      </c>
      <c r="F1377" s="154" t="s">
        <v>5091</v>
      </c>
      <c r="G1377" s="154" t="s">
        <v>2646</v>
      </c>
      <c r="J1377" s="154" t="s">
        <v>619</v>
      </c>
      <c r="K1377" s="154" t="s">
        <v>2426</v>
      </c>
      <c r="L1377" s="154">
        <v>1</v>
      </c>
      <c r="N1377" s="155"/>
      <c r="O1377" s="156"/>
      <c r="P1377" s="157"/>
      <c r="Q1377" s="158"/>
      <c r="R1377" s="159"/>
      <c r="S1377" s="160"/>
      <c r="T1377" s="161"/>
      <c r="U1377" s="156"/>
      <c r="V1377" s="162"/>
      <c r="W1377" s="163"/>
      <c r="X1377" s="164"/>
      <c r="Y1377" s="159"/>
      <c r="Z1377" s="161">
        <v>6</v>
      </c>
      <c r="AA1377" s="165"/>
      <c r="AE1377" s="155"/>
      <c r="AF1377" s="154" t="s">
        <v>5254</v>
      </c>
      <c r="AI1377" s="154" t="s">
        <v>5255</v>
      </c>
      <c r="AL1377" s="154" t="s">
        <v>619</v>
      </c>
      <c r="AM1377" s="154" t="s">
        <v>2426</v>
      </c>
      <c r="AN1377" s="154">
        <v>1</v>
      </c>
      <c r="AP1377" s="155"/>
      <c r="AQ1377" s="156"/>
      <c r="AR1377" s="157"/>
      <c r="AS1377" s="158"/>
      <c r="AT1377" s="159"/>
      <c r="AU1377" s="161"/>
      <c r="AV1377" s="156"/>
      <c r="AW1377" s="162"/>
      <c r="AX1377" s="163"/>
      <c r="AY1377" s="164"/>
      <c r="AZ1377" s="159"/>
      <c r="BA1377" s="161"/>
      <c r="BB1377" s="165"/>
      <c r="BF1377" s="155"/>
      <c r="BG1377" s="154" t="s">
        <v>5256</v>
      </c>
    </row>
    <row r="1378" spans="1:59" s="154" customFormat="1" ht="15" customHeight="1">
      <c r="A1378" s="168" t="s">
        <v>5089</v>
      </c>
      <c r="B1378" s="23" t="s">
        <v>5257</v>
      </c>
      <c r="C1378" s="154" t="s">
        <v>5250</v>
      </c>
      <c r="D1378" s="155">
        <v>3</v>
      </c>
      <c r="E1378" s="154">
        <v>1</v>
      </c>
      <c r="F1378" s="154" t="s">
        <v>5091</v>
      </c>
      <c r="G1378" s="154" t="s">
        <v>2646</v>
      </c>
      <c r="J1378" s="154" t="s">
        <v>619</v>
      </c>
      <c r="K1378" s="154" t="s">
        <v>2426</v>
      </c>
      <c r="L1378" s="154">
        <v>1</v>
      </c>
      <c r="N1378" s="155"/>
      <c r="O1378" s="156"/>
      <c r="P1378" s="157"/>
      <c r="Q1378" s="158"/>
      <c r="R1378" s="159"/>
      <c r="S1378" s="160"/>
      <c r="T1378" s="161"/>
      <c r="U1378" s="156"/>
      <c r="V1378" s="162"/>
      <c r="W1378" s="163"/>
      <c r="X1378" s="164"/>
      <c r="Y1378" s="159"/>
      <c r="Z1378" s="161">
        <v>6</v>
      </c>
      <c r="AA1378" s="165"/>
      <c r="AE1378" s="155"/>
      <c r="AI1378" s="154" t="s">
        <v>5255</v>
      </c>
      <c r="AL1378" s="154" t="s">
        <v>619</v>
      </c>
      <c r="AM1378" s="154" t="s">
        <v>2426</v>
      </c>
      <c r="AN1378" s="154">
        <v>1</v>
      </c>
      <c r="AP1378" s="155"/>
      <c r="AQ1378" s="156"/>
      <c r="AR1378" s="157"/>
      <c r="AS1378" s="158"/>
      <c r="AT1378" s="159"/>
      <c r="AU1378" s="161"/>
      <c r="AV1378" s="156"/>
      <c r="AW1378" s="162"/>
      <c r="AX1378" s="163"/>
      <c r="AY1378" s="164"/>
      <c r="AZ1378" s="159"/>
      <c r="BA1378" s="161"/>
      <c r="BB1378" s="165"/>
      <c r="BF1378" s="155"/>
      <c r="BG1378" s="154" t="s">
        <v>5256</v>
      </c>
    </row>
    <row r="1379" spans="1:59" s="154" customFormat="1" ht="15" customHeight="1">
      <c r="A1379" s="168" t="s">
        <v>5089</v>
      </c>
      <c r="B1379" s="23" t="s">
        <v>5258</v>
      </c>
      <c r="C1379" s="154" t="s">
        <v>5250</v>
      </c>
      <c r="D1379" s="155">
        <v>4</v>
      </c>
      <c r="E1379" s="154">
        <v>1</v>
      </c>
      <c r="F1379" s="154" t="s">
        <v>5091</v>
      </c>
      <c r="G1379" s="154" t="s">
        <v>5259</v>
      </c>
      <c r="J1379" s="154" t="s">
        <v>619</v>
      </c>
      <c r="K1379" s="154" t="s">
        <v>2426</v>
      </c>
      <c r="L1379" s="154">
        <v>2</v>
      </c>
      <c r="N1379" s="155"/>
      <c r="O1379" s="156"/>
      <c r="P1379" s="157"/>
      <c r="Q1379" s="158"/>
      <c r="R1379" s="159"/>
      <c r="S1379" s="160"/>
      <c r="T1379" s="161"/>
      <c r="U1379" s="156"/>
      <c r="V1379" s="162"/>
      <c r="W1379" s="163"/>
      <c r="X1379" s="164"/>
      <c r="Y1379" s="159"/>
      <c r="Z1379" s="161">
        <v>7</v>
      </c>
      <c r="AA1379" s="165"/>
      <c r="AE1379" s="155"/>
      <c r="AF1379" s="154" t="s">
        <v>5260</v>
      </c>
      <c r="AI1379" s="154" t="s">
        <v>5261</v>
      </c>
      <c r="AL1379" s="154" t="s">
        <v>619</v>
      </c>
      <c r="AM1379" s="154" t="s">
        <v>2426</v>
      </c>
      <c r="AN1379" s="154">
        <v>2</v>
      </c>
      <c r="AP1379" s="155"/>
      <c r="AQ1379" s="156"/>
      <c r="AR1379" s="157"/>
      <c r="AS1379" s="158"/>
      <c r="AT1379" s="159"/>
      <c r="AU1379" s="161"/>
      <c r="AV1379" s="156"/>
      <c r="AW1379" s="162"/>
      <c r="AX1379" s="163"/>
      <c r="AY1379" s="164"/>
      <c r="AZ1379" s="159"/>
      <c r="BA1379" s="161"/>
      <c r="BB1379" s="165"/>
      <c r="BF1379" s="155"/>
      <c r="BG1379" s="154" t="s">
        <v>5262</v>
      </c>
    </row>
    <row r="1380" spans="1:59" s="154" customFormat="1" ht="15" customHeight="1">
      <c r="A1380" s="168" t="s">
        <v>5089</v>
      </c>
      <c r="B1380" s="23" t="s">
        <v>5263</v>
      </c>
      <c r="C1380" s="154" t="s">
        <v>5250</v>
      </c>
      <c r="D1380" s="155">
        <v>5</v>
      </c>
      <c r="E1380" s="154">
        <v>1</v>
      </c>
      <c r="F1380" s="154" t="s">
        <v>5091</v>
      </c>
      <c r="G1380" s="154" t="s">
        <v>5259</v>
      </c>
      <c r="J1380" s="154" t="s">
        <v>619</v>
      </c>
      <c r="K1380" s="154" t="s">
        <v>2426</v>
      </c>
      <c r="L1380" s="154">
        <v>2</v>
      </c>
      <c r="N1380" s="155"/>
      <c r="O1380" s="156"/>
      <c r="P1380" s="157"/>
      <c r="Q1380" s="158"/>
      <c r="R1380" s="159"/>
      <c r="S1380" s="160"/>
      <c r="T1380" s="161"/>
      <c r="U1380" s="156"/>
      <c r="V1380" s="162"/>
      <c r="W1380" s="163"/>
      <c r="X1380" s="164"/>
      <c r="Y1380" s="159"/>
      <c r="Z1380" s="161">
        <v>7</v>
      </c>
      <c r="AA1380" s="165"/>
      <c r="AE1380" s="155"/>
      <c r="AI1380" s="154" t="s">
        <v>5261</v>
      </c>
      <c r="AL1380" s="154" t="s">
        <v>619</v>
      </c>
      <c r="AM1380" s="154" t="s">
        <v>2426</v>
      </c>
      <c r="AN1380" s="154">
        <v>2</v>
      </c>
      <c r="AP1380" s="155"/>
      <c r="AQ1380" s="156"/>
      <c r="AR1380" s="157"/>
      <c r="AS1380" s="158"/>
      <c r="AT1380" s="159"/>
      <c r="AU1380" s="161"/>
      <c r="AV1380" s="156"/>
      <c r="AW1380" s="162"/>
      <c r="AX1380" s="163"/>
      <c r="AY1380" s="164"/>
      <c r="AZ1380" s="159"/>
      <c r="BA1380" s="161"/>
      <c r="BB1380" s="165"/>
      <c r="BF1380" s="155"/>
      <c r="BG1380" s="154" t="s">
        <v>5262</v>
      </c>
    </row>
    <row r="1381" spans="1:59" s="154" customFormat="1" ht="15" customHeight="1">
      <c r="A1381" s="168" t="s">
        <v>5089</v>
      </c>
      <c r="B1381" s="23" t="s">
        <v>5264</v>
      </c>
      <c r="C1381" s="154" t="s">
        <v>5250</v>
      </c>
      <c r="D1381" s="155">
        <v>6</v>
      </c>
      <c r="E1381" s="154">
        <v>1</v>
      </c>
      <c r="F1381" s="154" t="s">
        <v>5091</v>
      </c>
      <c r="G1381" s="154" t="s">
        <v>5265</v>
      </c>
      <c r="J1381" s="154" t="s">
        <v>619</v>
      </c>
      <c r="K1381" s="154" t="s">
        <v>2426</v>
      </c>
      <c r="L1381" s="154">
        <v>3</v>
      </c>
      <c r="N1381" s="155"/>
      <c r="O1381" s="156"/>
      <c r="P1381" s="157"/>
      <c r="Q1381" s="158"/>
      <c r="R1381" s="159"/>
      <c r="S1381" s="160"/>
      <c r="T1381" s="161"/>
      <c r="U1381" s="156"/>
      <c r="V1381" s="162"/>
      <c r="W1381" s="163"/>
      <c r="X1381" s="164"/>
      <c r="Y1381" s="159"/>
      <c r="Z1381" s="161">
        <v>7</v>
      </c>
      <c r="AA1381" s="165"/>
      <c r="AE1381" s="155"/>
      <c r="AF1381" s="154" t="s">
        <v>5266</v>
      </c>
      <c r="AI1381" s="154" t="s">
        <v>5267</v>
      </c>
      <c r="AL1381" s="154" t="s">
        <v>619</v>
      </c>
      <c r="AM1381" s="154" t="s">
        <v>2426</v>
      </c>
      <c r="AN1381" s="154">
        <v>3</v>
      </c>
      <c r="AP1381" s="155"/>
      <c r="AQ1381" s="156"/>
      <c r="AR1381" s="157"/>
      <c r="AS1381" s="158"/>
      <c r="AT1381" s="159"/>
      <c r="AU1381" s="161"/>
      <c r="AV1381" s="156"/>
      <c r="AW1381" s="162"/>
      <c r="AX1381" s="163"/>
      <c r="AY1381" s="164"/>
      <c r="AZ1381" s="159"/>
      <c r="BA1381" s="161"/>
      <c r="BB1381" s="165"/>
      <c r="BF1381" s="155"/>
      <c r="BG1381" s="154" t="s">
        <v>5268</v>
      </c>
    </row>
    <row r="1382" spans="1:59" s="154" customFormat="1" ht="15" customHeight="1">
      <c r="A1382" s="168" t="s">
        <v>5089</v>
      </c>
      <c r="B1382" s="23" t="s">
        <v>5269</v>
      </c>
      <c r="C1382" s="154" t="s">
        <v>5250</v>
      </c>
      <c r="D1382" s="155">
        <v>7</v>
      </c>
      <c r="E1382" s="154">
        <v>1</v>
      </c>
      <c r="F1382" s="154" t="s">
        <v>5091</v>
      </c>
      <c r="G1382" s="154" t="s">
        <v>5270</v>
      </c>
      <c r="J1382" s="154" t="s">
        <v>621</v>
      </c>
      <c r="K1382" s="154" t="s">
        <v>2426</v>
      </c>
      <c r="L1382" s="154">
        <v>1</v>
      </c>
      <c r="N1382" s="155"/>
      <c r="O1382" s="156"/>
      <c r="P1382" s="157"/>
      <c r="Q1382" s="158"/>
      <c r="R1382" s="159"/>
      <c r="S1382" s="160"/>
      <c r="T1382" s="161"/>
      <c r="U1382" s="156"/>
      <c r="V1382" s="162"/>
      <c r="W1382" s="163"/>
      <c r="X1382" s="164"/>
      <c r="Y1382" s="159" t="s">
        <v>1111</v>
      </c>
      <c r="Z1382" s="161"/>
      <c r="AA1382" s="165"/>
      <c r="AE1382" s="155"/>
      <c r="AF1382" s="154" t="s">
        <v>5271</v>
      </c>
      <c r="AI1382" s="154" t="s">
        <v>5272</v>
      </c>
      <c r="AL1382" s="154" t="s">
        <v>621</v>
      </c>
      <c r="AM1382" s="154" t="s">
        <v>2426</v>
      </c>
      <c r="AN1382" s="154">
        <v>1</v>
      </c>
      <c r="AP1382" s="155"/>
      <c r="AQ1382" s="156"/>
      <c r="AR1382" s="157"/>
      <c r="AS1382" s="158"/>
      <c r="AT1382" s="159"/>
      <c r="AU1382" s="161"/>
      <c r="AV1382" s="156"/>
      <c r="AW1382" s="162"/>
      <c r="AX1382" s="163"/>
      <c r="AY1382" s="164"/>
      <c r="AZ1382" s="159"/>
      <c r="BA1382" s="161"/>
      <c r="BB1382" s="165"/>
      <c r="BF1382" s="155"/>
      <c r="BG1382" s="154" t="s">
        <v>5273</v>
      </c>
    </row>
    <row r="1383" spans="1:59" s="154" customFormat="1" ht="15" customHeight="1">
      <c r="A1383" s="168" t="s">
        <v>5089</v>
      </c>
      <c r="B1383" s="23" t="s">
        <v>5274</v>
      </c>
      <c r="C1383" s="154" t="s">
        <v>5250</v>
      </c>
      <c r="D1383" s="155">
        <v>8</v>
      </c>
      <c r="E1383" s="154">
        <v>1</v>
      </c>
      <c r="F1383" s="154" t="s">
        <v>5091</v>
      </c>
      <c r="G1383" s="154" t="s">
        <v>5275</v>
      </c>
      <c r="J1383" s="154" t="s">
        <v>621</v>
      </c>
      <c r="K1383" s="154" t="s">
        <v>2426</v>
      </c>
      <c r="L1383" s="154">
        <v>1</v>
      </c>
      <c r="N1383" s="155"/>
      <c r="O1383" s="156"/>
      <c r="P1383" s="157"/>
      <c r="Q1383" s="158"/>
      <c r="R1383" s="159"/>
      <c r="S1383" s="160"/>
      <c r="T1383" s="161"/>
      <c r="U1383" s="156"/>
      <c r="V1383" s="162"/>
      <c r="W1383" s="163"/>
      <c r="X1383" s="164"/>
      <c r="Y1383" s="159" t="s">
        <v>1111</v>
      </c>
      <c r="Z1383" s="161"/>
      <c r="AA1383" s="165"/>
      <c r="AE1383" s="155"/>
      <c r="AF1383" s="154" t="s">
        <v>5276</v>
      </c>
      <c r="AI1383" s="154" t="s">
        <v>5277</v>
      </c>
      <c r="AL1383" s="154" t="s">
        <v>621</v>
      </c>
      <c r="AM1383" s="154" t="s">
        <v>2426</v>
      </c>
      <c r="AN1383" s="154">
        <v>1</v>
      </c>
      <c r="AP1383" s="155"/>
      <c r="AQ1383" s="156"/>
      <c r="AR1383" s="157"/>
      <c r="AS1383" s="158"/>
      <c r="AT1383" s="159"/>
      <c r="AU1383" s="161"/>
      <c r="AV1383" s="156"/>
      <c r="AW1383" s="162"/>
      <c r="AX1383" s="163"/>
      <c r="AY1383" s="164"/>
      <c r="AZ1383" s="159"/>
      <c r="BA1383" s="161"/>
      <c r="BB1383" s="165"/>
      <c r="BF1383" s="155"/>
      <c r="BG1383" s="154" t="s">
        <v>5278</v>
      </c>
    </row>
    <row r="1384" spans="1:59" s="154" customFormat="1" ht="15" customHeight="1">
      <c r="A1384" s="168" t="s">
        <v>5089</v>
      </c>
      <c r="B1384" s="23" t="s">
        <v>5279</v>
      </c>
      <c r="C1384" s="154" t="s">
        <v>5250</v>
      </c>
      <c r="D1384" s="155">
        <v>9</v>
      </c>
      <c r="E1384" s="154">
        <v>1</v>
      </c>
      <c r="F1384" s="154" t="s">
        <v>5091</v>
      </c>
      <c r="G1384" s="154" t="s">
        <v>5280</v>
      </c>
      <c r="J1384" s="154" t="s">
        <v>621</v>
      </c>
      <c r="K1384" s="154" t="s">
        <v>2426</v>
      </c>
      <c r="L1384" s="154">
        <v>1</v>
      </c>
      <c r="N1384" s="155"/>
      <c r="O1384" s="156"/>
      <c r="P1384" s="157"/>
      <c r="Q1384" s="158"/>
      <c r="R1384" s="159"/>
      <c r="S1384" s="160"/>
      <c r="T1384" s="161"/>
      <c r="U1384" s="156"/>
      <c r="V1384" s="162"/>
      <c r="W1384" s="163"/>
      <c r="X1384" s="164"/>
      <c r="Y1384" s="159" t="s">
        <v>38</v>
      </c>
      <c r="Z1384" s="161"/>
      <c r="AA1384" s="165"/>
      <c r="AE1384" s="155"/>
      <c r="AF1384" s="154" t="s">
        <v>5281</v>
      </c>
      <c r="AI1384" s="154" t="s">
        <v>5282</v>
      </c>
      <c r="AL1384" s="154" t="s">
        <v>621</v>
      </c>
      <c r="AM1384" s="154" t="s">
        <v>2426</v>
      </c>
      <c r="AN1384" s="154">
        <v>1</v>
      </c>
      <c r="AP1384" s="155"/>
      <c r="AQ1384" s="156"/>
      <c r="AR1384" s="157"/>
      <c r="AS1384" s="158"/>
      <c r="AT1384" s="159"/>
      <c r="AU1384" s="161"/>
      <c r="AV1384" s="156"/>
      <c r="AW1384" s="162"/>
      <c r="AX1384" s="163"/>
      <c r="AY1384" s="164"/>
      <c r="AZ1384" s="159"/>
      <c r="BA1384" s="161"/>
      <c r="BB1384" s="165"/>
      <c r="BF1384" s="155"/>
      <c r="BG1384" s="154" t="s">
        <v>5283</v>
      </c>
    </row>
    <row r="1385" spans="1:59" s="154" customFormat="1" ht="15" customHeight="1">
      <c r="A1385" s="168" t="s">
        <v>5089</v>
      </c>
      <c r="B1385" s="23" t="s">
        <v>5284</v>
      </c>
      <c r="C1385" s="154" t="s">
        <v>5250</v>
      </c>
      <c r="D1385" s="155">
        <v>10</v>
      </c>
      <c r="E1385" s="154">
        <v>1</v>
      </c>
      <c r="F1385" s="154" t="s">
        <v>5091</v>
      </c>
      <c r="G1385" s="154" t="s">
        <v>5280</v>
      </c>
      <c r="J1385" s="154" t="s">
        <v>621</v>
      </c>
      <c r="K1385" s="154" t="s">
        <v>2426</v>
      </c>
      <c r="L1385" s="154">
        <v>1</v>
      </c>
      <c r="N1385" s="155"/>
      <c r="O1385" s="156"/>
      <c r="P1385" s="157"/>
      <c r="Q1385" s="158"/>
      <c r="R1385" s="159"/>
      <c r="S1385" s="160"/>
      <c r="T1385" s="161"/>
      <c r="U1385" s="156"/>
      <c r="V1385" s="162"/>
      <c r="W1385" s="163"/>
      <c r="X1385" s="164"/>
      <c r="Y1385" s="159" t="s">
        <v>38</v>
      </c>
      <c r="Z1385" s="161"/>
      <c r="AA1385" s="165"/>
      <c r="AE1385" s="155"/>
      <c r="AF1385" s="154" t="s">
        <v>5285</v>
      </c>
      <c r="AI1385" s="154" t="s">
        <v>5282</v>
      </c>
      <c r="AL1385" s="154" t="s">
        <v>621</v>
      </c>
      <c r="AM1385" s="154" t="s">
        <v>2426</v>
      </c>
      <c r="AN1385" s="154">
        <v>1</v>
      </c>
      <c r="AP1385" s="155"/>
      <c r="AQ1385" s="156"/>
      <c r="AR1385" s="157"/>
      <c r="AS1385" s="158"/>
      <c r="AT1385" s="159"/>
      <c r="AU1385" s="161"/>
      <c r="AV1385" s="156"/>
      <c r="AW1385" s="162"/>
      <c r="AX1385" s="163"/>
      <c r="AY1385" s="164"/>
      <c r="AZ1385" s="159"/>
      <c r="BA1385" s="161"/>
      <c r="BB1385" s="165"/>
      <c r="BF1385" s="155"/>
      <c r="BG1385" s="154" t="s">
        <v>5286</v>
      </c>
    </row>
    <row r="1386" spans="1:59" s="154" customFormat="1" ht="15" customHeight="1">
      <c r="A1386" s="168" t="s">
        <v>5089</v>
      </c>
      <c r="B1386" s="23" t="s">
        <v>5287</v>
      </c>
      <c r="C1386" s="154" t="s">
        <v>5250</v>
      </c>
      <c r="D1386" s="155">
        <v>11</v>
      </c>
      <c r="E1386" s="154">
        <v>1</v>
      </c>
      <c r="F1386" s="154" t="s">
        <v>5091</v>
      </c>
      <c r="G1386" s="154" t="s">
        <v>5288</v>
      </c>
      <c r="J1386" s="154" t="s">
        <v>621</v>
      </c>
      <c r="K1386" s="154" t="s">
        <v>2426</v>
      </c>
      <c r="L1386" s="154">
        <v>2</v>
      </c>
      <c r="N1386" s="155"/>
      <c r="O1386" s="156"/>
      <c r="P1386" s="157"/>
      <c r="Q1386" s="158"/>
      <c r="R1386" s="159"/>
      <c r="S1386" s="160"/>
      <c r="T1386" s="161"/>
      <c r="U1386" s="156"/>
      <c r="V1386" s="162"/>
      <c r="W1386" s="163"/>
      <c r="X1386" s="164"/>
      <c r="Y1386" s="159">
        <v>0</v>
      </c>
      <c r="Z1386" s="161"/>
      <c r="AA1386" s="165"/>
      <c r="AE1386" s="155"/>
      <c r="AF1386" s="154" t="s">
        <v>5289</v>
      </c>
      <c r="AI1386" s="154" t="s">
        <v>5290</v>
      </c>
      <c r="AL1386" s="154" t="s">
        <v>621</v>
      </c>
      <c r="AM1386" s="154" t="s">
        <v>2426</v>
      </c>
      <c r="AN1386" s="154">
        <v>2</v>
      </c>
      <c r="AP1386" s="155"/>
      <c r="AQ1386" s="156"/>
      <c r="AR1386" s="157"/>
      <c r="AS1386" s="158"/>
      <c r="AT1386" s="159"/>
      <c r="AU1386" s="161"/>
      <c r="AV1386" s="156"/>
      <c r="AW1386" s="162"/>
      <c r="AX1386" s="163"/>
      <c r="AY1386" s="164"/>
      <c r="AZ1386" s="159"/>
      <c r="BA1386" s="161"/>
      <c r="BB1386" s="165"/>
      <c r="BF1386" s="155"/>
      <c r="BG1386" s="154" t="s">
        <v>5291</v>
      </c>
    </row>
    <row r="1387" spans="1:59" s="154" customFormat="1" ht="15" customHeight="1">
      <c r="A1387" s="168" t="s">
        <v>5089</v>
      </c>
      <c r="B1387" s="23" t="s">
        <v>5292</v>
      </c>
      <c r="C1387" s="154" t="s">
        <v>5250</v>
      </c>
      <c r="D1387" s="155">
        <v>12</v>
      </c>
      <c r="E1387" s="154">
        <v>1</v>
      </c>
      <c r="F1387" s="154" t="s">
        <v>5091</v>
      </c>
      <c r="G1387" s="154" t="s">
        <v>5293</v>
      </c>
      <c r="J1387" s="154" t="s">
        <v>621</v>
      </c>
      <c r="K1387" s="154" t="s">
        <v>2426</v>
      </c>
      <c r="L1387" s="154">
        <v>2</v>
      </c>
      <c r="N1387" s="155"/>
      <c r="O1387" s="156"/>
      <c r="P1387" s="157"/>
      <c r="Q1387" s="158"/>
      <c r="R1387" s="159"/>
      <c r="S1387" s="160"/>
      <c r="T1387" s="161"/>
      <c r="U1387" s="156"/>
      <c r="V1387" s="162"/>
      <c r="W1387" s="163"/>
      <c r="X1387" s="164"/>
      <c r="Y1387" s="159">
        <v>0</v>
      </c>
      <c r="Z1387" s="161"/>
      <c r="AA1387" s="165"/>
      <c r="AE1387" s="155"/>
      <c r="AF1387" s="154" t="s">
        <v>5294</v>
      </c>
      <c r="AI1387" s="154" t="s">
        <v>5295</v>
      </c>
      <c r="AL1387" s="154" t="s">
        <v>621</v>
      </c>
      <c r="AM1387" s="154" t="s">
        <v>2426</v>
      </c>
      <c r="AN1387" s="154">
        <v>2</v>
      </c>
      <c r="AP1387" s="155"/>
      <c r="AQ1387" s="156"/>
      <c r="AR1387" s="157"/>
      <c r="AS1387" s="158"/>
      <c r="AT1387" s="159"/>
      <c r="AU1387" s="161"/>
      <c r="AV1387" s="156"/>
      <c r="AW1387" s="162"/>
      <c r="AX1387" s="163"/>
      <c r="AY1387" s="164"/>
      <c r="AZ1387" s="159"/>
      <c r="BA1387" s="161"/>
      <c r="BB1387" s="165"/>
      <c r="BF1387" s="155"/>
      <c r="BG1387" s="154" t="s">
        <v>5296</v>
      </c>
    </row>
    <row r="1388" spans="1:59" s="154" customFormat="1" ht="15" customHeight="1">
      <c r="A1388" s="168" t="s">
        <v>5089</v>
      </c>
      <c r="B1388" s="23" t="s">
        <v>5297</v>
      </c>
      <c r="C1388" s="154" t="s">
        <v>5250</v>
      </c>
      <c r="D1388" s="155">
        <v>13</v>
      </c>
      <c r="E1388" s="154">
        <v>1</v>
      </c>
      <c r="F1388" s="154" t="s">
        <v>5091</v>
      </c>
      <c r="G1388" s="154" t="s">
        <v>5298</v>
      </c>
      <c r="J1388" s="154" t="s">
        <v>621</v>
      </c>
      <c r="K1388" s="154" t="s">
        <v>2426</v>
      </c>
      <c r="L1388" s="154">
        <v>2</v>
      </c>
      <c r="N1388" s="155"/>
      <c r="O1388" s="156"/>
      <c r="P1388" s="157"/>
      <c r="Q1388" s="158"/>
      <c r="R1388" s="159"/>
      <c r="S1388" s="160"/>
      <c r="T1388" s="161"/>
      <c r="U1388" s="156"/>
      <c r="V1388" s="162"/>
      <c r="W1388" s="163"/>
      <c r="X1388" s="164"/>
      <c r="Y1388" s="159">
        <v>0</v>
      </c>
      <c r="Z1388" s="161"/>
      <c r="AA1388" s="165"/>
      <c r="AE1388" s="155"/>
      <c r="AF1388" s="154" t="s">
        <v>5299</v>
      </c>
      <c r="AI1388" s="154" t="s">
        <v>5300</v>
      </c>
      <c r="AL1388" s="154" t="s">
        <v>621</v>
      </c>
      <c r="AM1388" s="154" t="s">
        <v>2426</v>
      </c>
      <c r="AN1388" s="154">
        <v>2</v>
      </c>
      <c r="AP1388" s="155"/>
      <c r="AQ1388" s="156"/>
      <c r="AR1388" s="157"/>
      <c r="AS1388" s="158"/>
      <c r="AT1388" s="159"/>
      <c r="AU1388" s="161"/>
      <c r="AV1388" s="156"/>
      <c r="AW1388" s="162"/>
      <c r="AX1388" s="163"/>
      <c r="AY1388" s="164"/>
      <c r="AZ1388" s="159"/>
      <c r="BA1388" s="161"/>
      <c r="BB1388" s="165"/>
      <c r="BF1388" s="155"/>
      <c r="BG1388" s="154" t="s">
        <v>5301</v>
      </c>
    </row>
    <row r="1389" spans="1:59" s="154" customFormat="1" ht="15" customHeight="1">
      <c r="A1389" s="168" t="s">
        <v>5089</v>
      </c>
      <c r="B1389" s="23" t="s">
        <v>5302</v>
      </c>
      <c r="C1389" s="154" t="s">
        <v>5250</v>
      </c>
      <c r="D1389" s="155">
        <v>14</v>
      </c>
      <c r="E1389" s="154">
        <v>1</v>
      </c>
      <c r="F1389" s="154" t="s">
        <v>5091</v>
      </c>
      <c r="G1389" s="154" t="s">
        <v>5303</v>
      </c>
      <c r="J1389" s="154" t="s">
        <v>621</v>
      </c>
      <c r="K1389" s="154" t="s">
        <v>2426</v>
      </c>
      <c r="L1389" s="154">
        <v>3</v>
      </c>
      <c r="N1389" s="155"/>
      <c r="O1389" s="156"/>
      <c r="P1389" s="157"/>
      <c r="Q1389" s="158"/>
      <c r="R1389" s="159"/>
      <c r="S1389" s="160"/>
      <c r="T1389" s="161"/>
      <c r="U1389" s="156"/>
      <c r="V1389" s="162"/>
      <c r="W1389" s="163"/>
      <c r="X1389" s="164"/>
      <c r="Y1389" s="159">
        <v>0</v>
      </c>
      <c r="Z1389" s="161"/>
      <c r="AA1389" s="165"/>
      <c r="AE1389" s="155"/>
      <c r="AF1389" s="154" t="s">
        <v>5304</v>
      </c>
      <c r="AI1389" s="154" t="s">
        <v>5305</v>
      </c>
      <c r="AL1389" s="154" t="s">
        <v>621</v>
      </c>
      <c r="AM1389" s="154" t="s">
        <v>2426</v>
      </c>
      <c r="AN1389" s="154">
        <v>3</v>
      </c>
      <c r="AP1389" s="155"/>
      <c r="AQ1389" s="156"/>
      <c r="AR1389" s="157"/>
      <c r="AS1389" s="158"/>
      <c r="AT1389" s="159"/>
      <c r="AU1389" s="161"/>
      <c r="AV1389" s="156"/>
      <c r="AW1389" s="162"/>
      <c r="AX1389" s="163"/>
      <c r="AY1389" s="164"/>
      <c r="AZ1389" s="159"/>
      <c r="BA1389" s="161"/>
      <c r="BB1389" s="165"/>
      <c r="BF1389" s="155"/>
      <c r="BG1389" s="154" t="s">
        <v>5306</v>
      </c>
    </row>
    <row r="1390" spans="1:59" s="154" customFormat="1" ht="15" customHeight="1">
      <c r="A1390" s="168" t="s">
        <v>5089</v>
      </c>
      <c r="B1390" s="23" t="s">
        <v>5307</v>
      </c>
      <c r="C1390" s="154" t="s">
        <v>5250</v>
      </c>
      <c r="D1390" s="155">
        <v>15</v>
      </c>
      <c r="E1390" s="154">
        <v>1</v>
      </c>
      <c r="F1390" s="154" t="s">
        <v>5091</v>
      </c>
      <c r="G1390" s="154" t="s">
        <v>5303</v>
      </c>
      <c r="J1390" s="154" t="s">
        <v>621</v>
      </c>
      <c r="K1390" s="154" t="s">
        <v>2426</v>
      </c>
      <c r="L1390" s="154">
        <v>3</v>
      </c>
      <c r="N1390" s="155"/>
      <c r="O1390" s="156"/>
      <c r="P1390" s="157"/>
      <c r="Q1390" s="158"/>
      <c r="R1390" s="159"/>
      <c r="S1390" s="160"/>
      <c r="T1390" s="161"/>
      <c r="U1390" s="156"/>
      <c r="V1390" s="162"/>
      <c r="W1390" s="163"/>
      <c r="X1390" s="164"/>
      <c r="Y1390" s="159">
        <v>0</v>
      </c>
      <c r="Z1390" s="161"/>
      <c r="AA1390" s="165"/>
      <c r="AE1390" s="155"/>
      <c r="AF1390" s="154" t="s">
        <v>5308</v>
      </c>
      <c r="AI1390" s="154" t="s">
        <v>5305</v>
      </c>
      <c r="AL1390" s="154" t="s">
        <v>621</v>
      </c>
      <c r="AM1390" s="154" t="s">
        <v>2426</v>
      </c>
      <c r="AN1390" s="154">
        <v>3</v>
      </c>
      <c r="AP1390" s="155"/>
      <c r="AQ1390" s="156"/>
      <c r="AR1390" s="157"/>
      <c r="AS1390" s="158"/>
      <c r="AT1390" s="159"/>
      <c r="AU1390" s="161"/>
      <c r="AV1390" s="156"/>
      <c r="AW1390" s="162"/>
      <c r="AX1390" s="163"/>
      <c r="AY1390" s="164"/>
      <c r="AZ1390" s="159"/>
      <c r="BA1390" s="161"/>
      <c r="BB1390" s="165"/>
      <c r="BF1390" s="155"/>
      <c r="BG1390" s="154" t="s">
        <v>5309</v>
      </c>
    </row>
    <row r="1391" spans="1:59" s="154" customFormat="1" ht="15" customHeight="1">
      <c r="A1391" s="168" t="s">
        <v>5089</v>
      </c>
      <c r="B1391" s="23" t="s">
        <v>5310</v>
      </c>
      <c r="C1391" s="154" t="s">
        <v>5250</v>
      </c>
      <c r="D1391" s="155">
        <v>16</v>
      </c>
      <c r="E1391" s="154">
        <v>1</v>
      </c>
      <c r="F1391" s="154" t="s">
        <v>5091</v>
      </c>
      <c r="G1391" s="154" t="s">
        <v>5311</v>
      </c>
      <c r="J1391" s="154" t="s">
        <v>31</v>
      </c>
      <c r="K1391" s="154" t="s">
        <v>2426</v>
      </c>
      <c r="N1391" s="155"/>
      <c r="O1391" s="156"/>
      <c r="P1391" s="157"/>
      <c r="Q1391" s="158"/>
      <c r="R1391" s="159"/>
      <c r="S1391" s="160"/>
      <c r="T1391" s="161"/>
      <c r="U1391" s="156"/>
      <c r="V1391" s="162"/>
      <c r="W1391" s="163"/>
      <c r="X1391" s="164"/>
      <c r="Y1391" s="159"/>
      <c r="Z1391" s="161"/>
      <c r="AA1391" s="165"/>
      <c r="AD1391" s="154" t="s">
        <v>5312</v>
      </c>
      <c r="AE1391" s="155"/>
      <c r="AI1391" s="154" t="s">
        <v>5311</v>
      </c>
      <c r="AJ1391" s="154" t="s">
        <v>5313</v>
      </c>
      <c r="AL1391" s="154" t="s">
        <v>31</v>
      </c>
      <c r="AM1391" s="154" t="s">
        <v>2426</v>
      </c>
      <c r="AP1391" s="155"/>
      <c r="AQ1391" s="156"/>
      <c r="AR1391" s="157"/>
      <c r="AS1391" s="158"/>
      <c r="AT1391" s="159"/>
      <c r="AU1391" s="161"/>
      <c r="AV1391" s="156"/>
      <c r="AW1391" s="162"/>
      <c r="AX1391" s="163"/>
      <c r="AY1391" s="164">
        <v>3</v>
      </c>
      <c r="AZ1391" s="159" t="s">
        <v>1112</v>
      </c>
      <c r="BA1391" s="161"/>
      <c r="BB1391" s="165"/>
      <c r="BE1391" s="154" t="s">
        <v>5312</v>
      </c>
      <c r="BF1391" s="155"/>
      <c r="BG1391" s="154" t="s">
        <v>5314</v>
      </c>
    </row>
    <row r="1392" spans="1:59" s="154" customFormat="1" ht="15" customHeight="1">
      <c r="A1392" s="168" t="s">
        <v>5089</v>
      </c>
      <c r="B1392" s="23" t="s">
        <v>5315</v>
      </c>
      <c r="C1392" s="154" t="s">
        <v>5250</v>
      </c>
      <c r="D1392" s="155">
        <v>17</v>
      </c>
      <c r="E1392" s="154">
        <v>1</v>
      </c>
      <c r="F1392" s="154" t="s">
        <v>5091</v>
      </c>
      <c r="G1392" s="154" t="s">
        <v>5311</v>
      </c>
      <c r="J1392" s="154" t="s">
        <v>31</v>
      </c>
      <c r="K1392" s="154" t="s">
        <v>2426</v>
      </c>
      <c r="N1392" s="155"/>
      <c r="O1392" s="156"/>
      <c r="P1392" s="157"/>
      <c r="Q1392" s="158"/>
      <c r="R1392" s="159"/>
      <c r="S1392" s="160"/>
      <c r="T1392" s="161"/>
      <c r="U1392" s="156"/>
      <c r="V1392" s="162"/>
      <c r="W1392" s="163"/>
      <c r="X1392" s="164"/>
      <c r="Y1392" s="159"/>
      <c r="Z1392" s="161"/>
      <c r="AA1392" s="165"/>
      <c r="AD1392" s="154" t="s">
        <v>5312</v>
      </c>
      <c r="AE1392" s="155"/>
      <c r="AI1392" s="154" t="s">
        <v>5311</v>
      </c>
      <c r="AJ1392" s="154" t="s">
        <v>5316</v>
      </c>
      <c r="AL1392" s="154" t="s">
        <v>31</v>
      </c>
      <c r="AM1392" s="154" t="s">
        <v>2426</v>
      </c>
      <c r="AP1392" s="155"/>
      <c r="AQ1392" s="156"/>
      <c r="AR1392" s="157"/>
      <c r="AS1392" s="158"/>
      <c r="AT1392" s="159"/>
      <c r="AU1392" s="161"/>
      <c r="AV1392" s="156"/>
      <c r="AW1392" s="162"/>
      <c r="AX1392" s="163"/>
      <c r="AY1392" s="164">
        <v>3</v>
      </c>
      <c r="AZ1392" s="159" t="s">
        <v>1112</v>
      </c>
      <c r="BA1392" s="161"/>
      <c r="BB1392" s="165"/>
      <c r="BE1392" s="154" t="s">
        <v>5312</v>
      </c>
      <c r="BF1392" s="155"/>
      <c r="BG1392" s="154" t="s">
        <v>5314</v>
      </c>
    </row>
    <row r="1393" spans="1:59" s="154" customFormat="1" ht="15" customHeight="1">
      <c r="A1393" s="168" t="s">
        <v>5089</v>
      </c>
      <c r="B1393" s="23" t="s">
        <v>5317</v>
      </c>
      <c r="C1393" s="154" t="s">
        <v>5250</v>
      </c>
      <c r="D1393" s="155">
        <v>18</v>
      </c>
      <c r="E1393" s="154">
        <v>1</v>
      </c>
      <c r="F1393" s="154" t="s">
        <v>5091</v>
      </c>
      <c r="G1393" s="154" t="s">
        <v>5311</v>
      </c>
      <c r="J1393" s="154" t="s">
        <v>31</v>
      </c>
      <c r="K1393" s="154" t="s">
        <v>2426</v>
      </c>
      <c r="N1393" s="155"/>
      <c r="O1393" s="156"/>
      <c r="P1393" s="157"/>
      <c r="Q1393" s="158"/>
      <c r="R1393" s="159"/>
      <c r="S1393" s="160"/>
      <c r="T1393" s="161"/>
      <c r="U1393" s="156"/>
      <c r="V1393" s="162"/>
      <c r="W1393" s="163"/>
      <c r="X1393" s="164"/>
      <c r="Y1393" s="159"/>
      <c r="Z1393" s="161"/>
      <c r="AA1393" s="165"/>
      <c r="AD1393" s="154" t="s">
        <v>5312</v>
      </c>
      <c r="AE1393" s="155"/>
      <c r="AI1393" s="154" t="s">
        <v>5311</v>
      </c>
      <c r="AJ1393" s="154" t="s">
        <v>5318</v>
      </c>
      <c r="AL1393" s="154" t="s">
        <v>31</v>
      </c>
      <c r="AM1393" s="154" t="s">
        <v>2426</v>
      </c>
      <c r="AP1393" s="155"/>
      <c r="AQ1393" s="156"/>
      <c r="AR1393" s="157"/>
      <c r="AS1393" s="158"/>
      <c r="AT1393" s="159"/>
      <c r="AU1393" s="161"/>
      <c r="AV1393" s="156"/>
      <c r="AW1393" s="162"/>
      <c r="AX1393" s="163"/>
      <c r="AY1393" s="164">
        <v>3</v>
      </c>
      <c r="AZ1393" s="159" t="s">
        <v>1112</v>
      </c>
      <c r="BA1393" s="161"/>
      <c r="BB1393" s="165"/>
      <c r="BE1393" s="154" t="s">
        <v>5312</v>
      </c>
      <c r="BF1393" s="155"/>
      <c r="BG1393" s="154" t="s">
        <v>5314</v>
      </c>
    </row>
    <row r="1394" spans="1:59" s="154" customFormat="1" ht="15" customHeight="1">
      <c r="A1394" s="168" t="s">
        <v>5089</v>
      </c>
      <c r="B1394" s="23" t="s">
        <v>5319</v>
      </c>
      <c r="C1394" s="154" t="s">
        <v>5250</v>
      </c>
      <c r="D1394" s="155">
        <v>19</v>
      </c>
      <c r="E1394" s="154">
        <v>1</v>
      </c>
      <c r="F1394" s="154" t="s">
        <v>5091</v>
      </c>
      <c r="G1394" s="154" t="s">
        <v>5320</v>
      </c>
      <c r="J1394" s="154" t="s">
        <v>31</v>
      </c>
      <c r="K1394" s="154" t="s">
        <v>2426</v>
      </c>
      <c r="N1394" s="155"/>
      <c r="O1394" s="156"/>
      <c r="P1394" s="157"/>
      <c r="Q1394" s="158"/>
      <c r="R1394" s="159"/>
      <c r="S1394" s="160"/>
      <c r="T1394" s="161"/>
      <c r="U1394" s="156"/>
      <c r="V1394" s="162"/>
      <c r="W1394" s="163"/>
      <c r="X1394" s="164"/>
      <c r="Y1394" s="159"/>
      <c r="Z1394" s="161"/>
      <c r="AA1394" s="165"/>
      <c r="AD1394" s="154" t="s">
        <v>5321</v>
      </c>
      <c r="AE1394" s="155"/>
      <c r="AI1394" s="154" t="s">
        <v>5320</v>
      </c>
      <c r="AL1394" s="154" t="s">
        <v>31</v>
      </c>
      <c r="AM1394" s="154" t="s">
        <v>2426</v>
      </c>
      <c r="AP1394" s="155"/>
      <c r="AQ1394" s="156"/>
      <c r="AR1394" s="157"/>
      <c r="AS1394" s="158"/>
      <c r="AT1394" s="159"/>
      <c r="AU1394" s="161"/>
      <c r="AV1394" s="156"/>
      <c r="AW1394" s="162"/>
      <c r="AX1394" s="163"/>
      <c r="AY1394" s="164">
        <v>1</v>
      </c>
      <c r="AZ1394" s="159" t="s">
        <v>1073</v>
      </c>
      <c r="BA1394" s="161"/>
      <c r="BB1394" s="165"/>
      <c r="BE1394" s="154" t="s">
        <v>5321</v>
      </c>
      <c r="BF1394" s="155"/>
      <c r="BG1394" s="154" t="s">
        <v>5322</v>
      </c>
    </row>
    <row r="1395" spans="1:59" s="154" customFormat="1" ht="15" customHeight="1">
      <c r="A1395" s="168" t="s">
        <v>5089</v>
      </c>
      <c r="B1395" s="23" t="s">
        <v>5323</v>
      </c>
      <c r="C1395" s="154" t="s">
        <v>5250</v>
      </c>
      <c r="D1395" s="155">
        <v>20</v>
      </c>
      <c r="E1395" s="154">
        <v>1</v>
      </c>
      <c r="F1395" s="154" t="s">
        <v>5091</v>
      </c>
      <c r="G1395" s="154" t="s">
        <v>5324</v>
      </c>
      <c r="J1395" s="154" t="s">
        <v>31</v>
      </c>
      <c r="K1395" s="154" t="s">
        <v>2426</v>
      </c>
      <c r="N1395" s="155"/>
      <c r="O1395" s="156"/>
      <c r="P1395" s="157"/>
      <c r="Q1395" s="158"/>
      <c r="R1395" s="159"/>
      <c r="S1395" s="160"/>
      <c r="T1395" s="161"/>
      <c r="U1395" s="156"/>
      <c r="V1395" s="162"/>
      <c r="W1395" s="163"/>
      <c r="X1395" s="164"/>
      <c r="Y1395" s="159"/>
      <c r="Z1395" s="161"/>
      <c r="AA1395" s="165"/>
      <c r="AD1395" s="154" t="s">
        <v>5325</v>
      </c>
      <c r="AE1395" s="155"/>
      <c r="AI1395" s="154" t="s">
        <v>5324</v>
      </c>
      <c r="AL1395" s="154" t="s">
        <v>31</v>
      </c>
      <c r="AM1395" s="154" t="s">
        <v>2426</v>
      </c>
      <c r="AP1395" s="155"/>
      <c r="AQ1395" s="156"/>
      <c r="AR1395" s="157"/>
      <c r="AS1395" s="158"/>
      <c r="AT1395" s="159"/>
      <c r="AU1395" s="161"/>
      <c r="AV1395" s="156"/>
      <c r="AW1395" s="162"/>
      <c r="AX1395" s="163"/>
      <c r="AY1395" s="164">
        <v>2</v>
      </c>
      <c r="AZ1395" s="159" t="s">
        <v>1073</v>
      </c>
      <c r="BA1395" s="161"/>
      <c r="BB1395" s="165"/>
      <c r="BE1395" s="154" t="s">
        <v>5325</v>
      </c>
      <c r="BF1395" s="155"/>
      <c r="BG1395" s="154" t="s">
        <v>5326</v>
      </c>
    </row>
    <row r="1396" spans="1:59" s="154" customFormat="1" ht="15" customHeight="1">
      <c r="A1396" s="168" t="s">
        <v>5089</v>
      </c>
      <c r="B1396" s="23" t="s">
        <v>5327</v>
      </c>
      <c r="C1396" s="154" t="s">
        <v>5250</v>
      </c>
      <c r="D1396" s="155">
        <v>21</v>
      </c>
      <c r="E1396" s="154">
        <v>1</v>
      </c>
      <c r="F1396" s="154" t="s">
        <v>5091</v>
      </c>
      <c r="G1396" s="154" t="s">
        <v>5324</v>
      </c>
      <c r="J1396" s="154" t="s">
        <v>31</v>
      </c>
      <c r="K1396" s="154" t="s">
        <v>2426</v>
      </c>
      <c r="N1396" s="155"/>
      <c r="O1396" s="156"/>
      <c r="P1396" s="157"/>
      <c r="Q1396" s="158"/>
      <c r="R1396" s="159"/>
      <c r="S1396" s="160"/>
      <c r="T1396" s="161"/>
      <c r="U1396" s="156"/>
      <c r="V1396" s="162"/>
      <c r="W1396" s="163"/>
      <c r="X1396" s="164"/>
      <c r="Y1396" s="159"/>
      <c r="Z1396" s="161"/>
      <c r="AA1396" s="165"/>
      <c r="AD1396" s="154" t="s">
        <v>5325</v>
      </c>
      <c r="AE1396" s="155"/>
      <c r="AI1396" s="154" t="s">
        <v>5324</v>
      </c>
      <c r="AL1396" s="154" t="s">
        <v>31</v>
      </c>
      <c r="AM1396" s="154" t="s">
        <v>2426</v>
      </c>
      <c r="AP1396" s="155"/>
      <c r="AQ1396" s="156"/>
      <c r="AR1396" s="157"/>
      <c r="AS1396" s="158"/>
      <c r="AT1396" s="159"/>
      <c r="AU1396" s="161"/>
      <c r="AV1396" s="156"/>
      <c r="AW1396" s="162"/>
      <c r="AX1396" s="163"/>
      <c r="AY1396" s="164">
        <v>2</v>
      </c>
      <c r="AZ1396" s="159" t="s">
        <v>1073</v>
      </c>
      <c r="BA1396" s="161"/>
      <c r="BB1396" s="165"/>
      <c r="BE1396" s="154" t="s">
        <v>5325</v>
      </c>
      <c r="BF1396" s="155"/>
      <c r="BG1396" s="154" t="s">
        <v>5328</v>
      </c>
    </row>
    <row r="1397" spans="1:59" s="154" customFormat="1" ht="15" customHeight="1">
      <c r="A1397" s="168" t="s">
        <v>5089</v>
      </c>
      <c r="B1397" s="23" t="s">
        <v>5329</v>
      </c>
      <c r="C1397" s="154" t="s">
        <v>5250</v>
      </c>
      <c r="D1397" s="155">
        <v>22</v>
      </c>
      <c r="E1397" s="154">
        <v>1</v>
      </c>
      <c r="F1397" s="154" t="s">
        <v>5091</v>
      </c>
      <c r="G1397" s="154" t="s">
        <v>5330</v>
      </c>
      <c r="J1397" s="154" t="s">
        <v>31</v>
      </c>
      <c r="K1397" s="154" t="s">
        <v>2426</v>
      </c>
      <c r="N1397" s="155"/>
      <c r="O1397" s="156"/>
      <c r="P1397" s="157"/>
      <c r="Q1397" s="158"/>
      <c r="R1397" s="159"/>
      <c r="S1397" s="160"/>
      <c r="T1397" s="161"/>
      <c r="U1397" s="156"/>
      <c r="V1397" s="162"/>
      <c r="W1397" s="163"/>
      <c r="X1397" s="164"/>
      <c r="Y1397" s="159"/>
      <c r="Z1397" s="161"/>
      <c r="AA1397" s="165"/>
      <c r="AD1397" s="154" t="s">
        <v>5325</v>
      </c>
      <c r="AE1397" s="155"/>
      <c r="AI1397" s="154" t="s">
        <v>5330</v>
      </c>
      <c r="AL1397" s="154" t="s">
        <v>31</v>
      </c>
      <c r="AM1397" s="154" t="s">
        <v>2426</v>
      </c>
      <c r="AP1397" s="155"/>
      <c r="AQ1397" s="156"/>
      <c r="AR1397" s="157"/>
      <c r="AS1397" s="158"/>
      <c r="AT1397" s="159"/>
      <c r="AU1397" s="161"/>
      <c r="AV1397" s="156"/>
      <c r="AW1397" s="162"/>
      <c r="AX1397" s="163"/>
      <c r="AY1397" s="164">
        <v>3</v>
      </c>
      <c r="AZ1397" s="159" t="s">
        <v>1111</v>
      </c>
      <c r="BA1397" s="161"/>
      <c r="BB1397" s="165"/>
      <c r="BE1397" s="154" t="s">
        <v>5325</v>
      </c>
      <c r="BF1397" s="155"/>
      <c r="BG1397" s="154" t="s">
        <v>5331</v>
      </c>
    </row>
    <row r="1398" spans="1:59" s="154" customFormat="1" ht="15" customHeight="1">
      <c r="A1398" s="168" t="s">
        <v>5089</v>
      </c>
      <c r="B1398" s="23" t="s">
        <v>5332</v>
      </c>
      <c r="C1398" s="154" t="s">
        <v>5250</v>
      </c>
      <c r="D1398" s="155">
        <v>23</v>
      </c>
      <c r="E1398" s="154">
        <v>1</v>
      </c>
      <c r="F1398" s="154" t="s">
        <v>5091</v>
      </c>
      <c r="G1398" s="154" t="s">
        <v>5330</v>
      </c>
      <c r="J1398" s="154" t="s">
        <v>31</v>
      </c>
      <c r="K1398" s="154" t="s">
        <v>2426</v>
      </c>
      <c r="N1398" s="155"/>
      <c r="O1398" s="156"/>
      <c r="P1398" s="157"/>
      <c r="Q1398" s="158"/>
      <c r="R1398" s="159"/>
      <c r="S1398" s="160"/>
      <c r="T1398" s="161"/>
      <c r="U1398" s="156"/>
      <c r="V1398" s="162"/>
      <c r="W1398" s="163"/>
      <c r="X1398" s="164"/>
      <c r="Y1398" s="159"/>
      <c r="Z1398" s="161"/>
      <c r="AA1398" s="165"/>
      <c r="AD1398" s="154" t="s">
        <v>5325</v>
      </c>
      <c r="AE1398" s="155"/>
      <c r="AI1398" s="154" t="s">
        <v>5330</v>
      </c>
      <c r="AL1398" s="154" t="s">
        <v>31</v>
      </c>
      <c r="AM1398" s="154" t="s">
        <v>2426</v>
      </c>
      <c r="AP1398" s="155"/>
      <c r="AQ1398" s="156"/>
      <c r="AR1398" s="157"/>
      <c r="AS1398" s="158"/>
      <c r="AT1398" s="159"/>
      <c r="AU1398" s="161"/>
      <c r="AV1398" s="156"/>
      <c r="AW1398" s="162"/>
      <c r="AX1398" s="163"/>
      <c r="AY1398" s="164">
        <v>3</v>
      </c>
      <c r="AZ1398" s="159" t="s">
        <v>1111</v>
      </c>
      <c r="BA1398" s="161"/>
      <c r="BB1398" s="165"/>
      <c r="BE1398" s="154" t="s">
        <v>5325</v>
      </c>
      <c r="BF1398" s="155"/>
      <c r="BG1398" s="154" t="s">
        <v>5333</v>
      </c>
    </row>
    <row r="1399" spans="1:59" s="154" customFormat="1" ht="15" customHeight="1">
      <c r="A1399" s="168" t="s">
        <v>5089</v>
      </c>
      <c r="B1399" s="23" t="s">
        <v>5334</v>
      </c>
      <c r="C1399" s="154" t="s">
        <v>5250</v>
      </c>
      <c r="D1399" s="155">
        <v>24</v>
      </c>
      <c r="E1399" s="154">
        <v>1</v>
      </c>
      <c r="F1399" s="154" t="s">
        <v>5091</v>
      </c>
      <c r="G1399" s="154" t="s">
        <v>5335</v>
      </c>
      <c r="J1399" s="154" t="s">
        <v>31</v>
      </c>
      <c r="K1399" s="154" t="s">
        <v>2426</v>
      </c>
      <c r="N1399" s="155"/>
      <c r="O1399" s="156"/>
      <c r="P1399" s="157"/>
      <c r="Q1399" s="158"/>
      <c r="R1399" s="159"/>
      <c r="S1399" s="160"/>
      <c r="T1399" s="161"/>
      <c r="U1399" s="156"/>
      <c r="V1399" s="162"/>
      <c r="W1399" s="163"/>
      <c r="X1399" s="164"/>
      <c r="Y1399" s="159"/>
      <c r="Z1399" s="161"/>
      <c r="AA1399" s="165"/>
      <c r="AD1399" s="154" t="s">
        <v>5321</v>
      </c>
      <c r="AE1399" s="155"/>
      <c r="AI1399" s="154" t="s">
        <v>5335</v>
      </c>
      <c r="AL1399" s="154" t="s">
        <v>31</v>
      </c>
      <c r="AM1399" s="154" t="s">
        <v>2426</v>
      </c>
      <c r="AP1399" s="155"/>
      <c r="AQ1399" s="156"/>
      <c r="AR1399" s="157"/>
      <c r="AS1399" s="158"/>
      <c r="AT1399" s="159"/>
      <c r="AU1399" s="161"/>
      <c r="AV1399" s="156"/>
      <c r="AW1399" s="162"/>
      <c r="AX1399" s="163"/>
      <c r="AY1399" s="164">
        <v>1</v>
      </c>
      <c r="AZ1399" s="159" t="s">
        <v>1073</v>
      </c>
      <c r="BA1399" s="161"/>
      <c r="BB1399" s="165"/>
      <c r="BE1399" s="154" t="s">
        <v>5321</v>
      </c>
      <c r="BF1399" s="155"/>
      <c r="BG1399" s="154" t="s">
        <v>5336</v>
      </c>
    </row>
    <row r="1400" spans="1:59" s="154" customFormat="1" ht="15" customHeight="1">
      <c r="A1400" s="168" t="s">
        <v>5089</v>
      </c>
      <c r="B1400" s="23" t="s">
        <v>5337</v>
      </c>
      <c r="C1400" s="154" t="s">
        <v>5250</v>
      </c>
      <c r="D1400" s="155">
        <v>25</v>
      </c>
      <c r="E1400" s="154">
        <v>1</v>
      </c>
      <c r="F1400" s="154" t="s">
        <v>5091</v>
      </c>
      <c r="G1400" s="154" t="s">
        <v>5338</v>
      </c>
      <c r="J1400" s="154" t="s">
        <v>31</v>
      </c>
      <c r="K1400" s="154" t="s">
        <v>2426</v>
      </c>
      <c r="N1400" s="155"/>
      <c r="O1400" s="156"/>
      <c r="P1400" s="157"/>
      <c r="Q1400" s="158"/>
      <c r="R1400" s="159"/>
      <c r="S1400" s="160"/>
      <c r="T1400" s="161"/>
      <c r="U1400" s="156"/>
      <c r="V1400" s="162"/>
      <c r="W1400" s="163"/>
      <c r="X1400" s="164"/>
      <c r="Y1400" s="159"/>
      <c r="Z1400" s="161"/>
      <c r="AA1400" s="165"/>
      <c r="AE1400" s="155"/>
      <c r="AI1400" s="154" t="s">
        <v>5338</v>
      </c>
      <c r="AJ1400" s="154" t="s">
        <v>5339</v>
      </c>
      <c r="AL1400" s="154" t="s">
        <v>31</v>
      </c>
      <c r="AM1400" s="154" t="s">
        <v>2426</v>
      </c>
      <c r="AP1400" s="155"/>
      <c r="AQ1400" s="156"/>
      <c r="AR1400" s="157"/>
      <c r="AS1400" s="158"/>
      <c r="AT1400" s="159"/>
      <c r="AU1400" s="161"/>
      <c r="AV1400" s="156"/>
      <c r="AW1400" s="162"/>
      <c r="AX1400" s="163"/>
      <c r="AY1400" s="164">
        <v>2</v>
      </c>
      <c r="AZ1400" s="159">
        <v>1</v>
      </c>
      <c r="BA1400" s="161"/>
      <c r="BB1400" s="165"/>
      <c r="BF1400" s="155"/>
      <c r="BG1400" s="154" t="s">
        <v>5340</v>
      </c>
    </row>
    <row r="1401" spans="1:59" s="154" customFormat="1" ht="15" customHeight="1">
      <c r="A1401" s="168" t="s">
        <v>5089</v>
      </c>
      <c r="B1401" s="23" t="s">
        <v>5341</v>
      </c>
      <c r="C1401" s="154" t="s">
        <v>5250</v>
      </c>
      <c r="D1401" s="155">
        <v>26</v>
      </c>
      <c r="E1401" s="154">
        <v>1</v>
      </c>
      <c r="F1401" s="154" t="s">
        <v>5091</v>
      </c>
      <c r="G1401" s="154" t="s">
        <v>5338</v>
      </c>
      <c r="J1401" s="154" t="s">
        <v>31</v>
      </c>
      <c r="K1401" s="154" t="s">
        <v>2426</v>
      </c>
      <c r="N1401" s="155"/>
      <c r="O1401" s="156"/>
      <c r="P1401" s="157"/>
      <c r="Q1401" s="158"/>
      <c r="R1401" s="159"/>
      <c r="S1401" s="160"/>
      <c r="T1401" s="161"/>
      <c r="U1401" s="156"/>
      <c r="V1401" s="162"/>
      <c r="W1401" s="163"/>
      <c r="X1401" s="164"/>
      <c r="Y1401" s="159"/>
      <c r="Z1401" s="161"/>
      <c r="AA1401" s="165"/>
      <c r="AE1401" s="155"/>
      <c r="AI1401" s="154" t="s">
        <v>5338</v>
      </c>
      <c r="AJ1401" s="154" t="s">
        <v>5342</v>
      </c>
      <c r="AL1401" s="154" t="s">
        <v>31</v>
      </c>
      <c r="AM1401" s="154" t="s">
        <v>2426</v>
      </c>
      <c r="AP1401" s="155"/>
      <c r="AQ1401" s="156"/>
      <c r="AR1401" s="157"/>
      <c r="AS1401" s="158"/>
      <c r="AT1401" s="159"/>
      <c r="AU1401" s="161"/>
      <c r="AV1401" s="156"/>
      <c r="AW1401" s="162"/>
      <c r="AX1401" s="163"/>
      <c r="AY1401" s="164">
        <v>2</v>
      </c>
      <c r="AZ1401" s="159">
        <v>1</v>
      </c>
      <c r="BA1401" s="161"/>
      <c r="BB1401" s="165"/>
      <c r="BF1401" s="155"/>
      <c r="BG1401" s="154" t="s">
        <v>5343</v>
      </c>
    </row>
    <row r="1402" spans="1:59" s="154" customFormat="1" ht="15" customHeight="1">
      <c r="A1402" s="168" t="s">
        <v>5089</v>
      </c>
      <c r="B1402" s="23" t="s">
        <v>5344</v>
      </c>
      <c r="C1402" s="154" t="s">
        <v>5250</v>
      </c>
      <c r="D1402" s="155">
        <v>27</v>
      </c>
      <c r="E1402" s="154">
        <v>1</v>
      </c>
      <c r="F1402" s="154" t="s">
        <v>5091</v>
      </c>
      <c r="G1402" s="154" t="s">
        <v>5338</v>
      </c>
      <c r="J1402" s="154" t="s">
        <v>31</v>
      </c>
      <c r="K1402" s="154" t="s">
        <v>2426</v>
      </c>
      <c r="N1402" s="155"/>
      <c r="O1402" s="156"/>
      <c r="P1402" s="157"/>
      <c r="Q1402" s="158"/>
      <c r="R1402" s="159"/>
      <c r="S1402" s="160"/>
      <c r="T1402" s="161"/>
      <c r="U1402" s="156"/>
      <c r="V1402" s="162"/>
      <c r="W1402" s="163"/>
      <c r="X1402" s="164"/>
      <c r="Y1402" s="159"/>
      <c r="Z1402" s="161"/>
      <c r="AA1402" s="165"/>
      <c r="AE1402" s="155"/>
      <c r="AI1402" s="154" t="s">
        <v>5338</v>
      </c>
      <c r="AJ1402" s="154" t="s">
        <v>5345</v>
      </c>
      <c r="AL1402" s="154" t="s">
        <v>31</v>
      </c>
      <c r="AM1402" s="154" t="s">
        <v>2426</v>
      </c>
      <c r="AP1402" s="155"/>
      <c r="AQ1402" s="156"/>
      <c r="AR1402" s="157"/>
      <c r="AS1402" s="158"/>
      <c r="AT1402" s="159"/>
      <c r="AU1402" s="161"/>
      <c r="AV1402" s="156"/>
      <c r="AW1402" s="162"/>
      <c r="AX1402" s="163"/>
      <c r="AY1402" s="164">
        <v>2</v>
      </c>
      <c r="AZ1402" s="159">
        <v>1</v>
      </c>
      <c r="BA1402" s="161"/>
      <c r="BB1402" s="165"/>
      <c r="BF1402" s="155"/>
      <c r="BG1402" s="154" t="s">
        <v>5346</v>
      </c>
    </row>
    <row r="1403" spans="1:59" s="154" customFormat="1" ht="15" customHeight="1">
      <c r="A1403" s="168" t="s">
        <v>5089</v>
      </c>
      <c r="B1403" s="23" t="s">
        <v>5347</v>
      </c>
      <c r="C1403" s="154" t="s">
        <v>5250</v>
      </c>
      <c r="D1403" s="155">
        <v>28</v>
      </c>
      <c r="E1403" s="154">
        <v>1</v>
      </c>
      <c r="F1403" s="154" t="s">
        <v>5091</v>
      </c>
      <c r="G1403" s="154" t="s">
        <v>5348</v>
      </c>
      <c r="J1403" s="154" t="s">
        <v>31</v>
      </c>
      <c r="K1403" s="154" t="s">
        <v>2426</v>
      </c>
      <c r="N1403" s="155"/>
      <c r="O1403" s="156"/>
      <c r="P1403" s="157"/>
      <c r="Q1403" s="158"/>
      <c r="R1403" s="159"/>
      <c r="S1403" s="160"/>
      <c r="T1403" s="161"/>
      <c r="U1403" s="156"/>
      <c r="V1403" s="162"/>
      <c r="W1403" s="163"/>
      <c r="X1403" s="164"/>
      <c r="Y1403" s="159"/>
      <c r="Z1403" s="161"/>
      <c r="AA1403" s="165"/>
      <c r="AD1403" s="154" t="s">
        <v>5321</v>
      </c>
      <c r="AE1403" s="155"/>
      <c r="AI1403" s="154" t="s">
        <v>5348</v>
      </c>
      <c r="AL1403" s="154" t="s">
        <v>31</v>
      </c>
      <c r="AM1403" s="154" t="s">
        <v>2426</v>
      </c>
      <c r="AP1403" s="155"/>
      <c r="AQ1403" s="156"/>
      <c r="AR1403" s="157"/>
      <c r="AS1403" s="158"/>
      <c r="AT1403" s="159"/>
      <c r="AU1403" s="161"/>
      <c r="AV1403" s="156"/>
      <c r="AW1403" s="162"/>
      <c r="AX1403" s="163"/>
      <c r="AY1403" s="164">
        <v>3</v>
      </c>
      <c r="AZ1403" s="159" t="s">
        <v>1073</v>
      </c>
      <c r="BA1403" s="161"/>
      <c r="BB1403" s="165"/>
      <c r="BE1403" s="154" t="s">
        <v>5321</v>
      </c>
      <c r="BF1403" s="155"/>
      <c r="BG1403" s="154" t="s">
        <v>5349</v>
      </c>
    </row>
    <row r="1404" spans="1:59" s="154" customFormat="1" ht="15" customHeight="1">
      <c r="A1404" s="168" t="s">
        <v>5089</v>
      </c>
      <c r="B1404" s="23" t="s">
        <v>5350</v>
      </c>
      <c r="C1404" s="154" t="s">
        <v>5250</v>
      </c>
      <c r="D1404" s="155">
        <v>29</v>
      </c>
      <c r="E1404" s="154">
        <v>1</v>
      </c>
      <c r="F1404" s="154" t="s">
        <v>5091</v>
      </c>
      <c r="G1404" s="154" t="s">
        <v>5351</v>
      </c>
      <c r="J1404" s="154" t="s">
        <v>31</v>
      </c>
      <c r="K1404" s="154" t="s">
        <v>2426</v>
      </c>
      <c r="N1404" s="155"/>
      <c r="O1404" s="156"/>
      <c r="P1404" s="157"/>
      <c r="Q1404" s="158"/>
      <c r="R1404" s="159"/>
      <c r="S1404" s="160"/>
      <c r="T1404" s="161"/>
      <c r="U1404" s="156"/>
      <c r="V1404" s="162"/>
      <c r="W1404" s="163"/>
      <c r="X1404" s="164"/>
      <c r="Y1404" s="159"/>
      <c r="Z1404" s="161"/>
      <c r="AA1404" s="165"/>
      <c r="AD1404" s="154" t="s">
        <v>5321</v>
      </c>
      <c r="AE1404" s="155"/>
      <c r="AI1404" s="154" t="s">
        <v>5351</v>
      </c>
      <c r="AL1404" s="154" t="s">
        <v>31</v>
      </c>
      <c r="AM1404" s="154" t="s">
        <v>2426</v>
      </c>
      <c r="AP1404" s="155"/>
      <c r="AQ1404" s="156"/>
      <c r="AR1404" s="157"/>
      <c r="AS1404" s="158"/>
      <c r="AT1404" s="159"/>
      <c r="AU1404" s="161"/>
      <c r="AV1404" s="156"/>
      <c r="AW1404" s="162"/>
      <c r="AX1404" s="163"/>
      <c r="AY1404" s="164">
        <v>2</v>
      </c>
      <c r="AZ1404" s="159" t="s">
        <v>1073</v>
      </c>
      <c r="BA1404" s="161"/>
      <c r="BB1404" s="165"/>
      <c r="BE1404" s="154" t="s">
        <v>5321</v>
      </c>
      <c r="BF1404" s="155"/>
      <c r="BG1404" s="154" t="s">
        <v>5352</v>
      </c>
    </row>
    <row r="1405" spans="1:59" s="154" customFormat="1" ht="15" customHeight="1">
      <c r="A1405" s="168" t="s">
        <v>5089</v>
      </c>
      <c r="B1405" s="23" t="s">
        <v>5353</v>
      </c>
      <c r="C1405" s="154" t="s">
        <v>5250</v>
      </c>
      <c r="D1405" s="155">
        <v>30</v>
      </c>
      <c r="E1405" s="154">
        <v>1</v>
      </c>
      <c r="F1405" s="154" t="s">
        <v>5091</v>
      </c>
      <c r="G1405" s="154" t="s">
        <v>5354</v>
      </c>
      <c r="J1405" s="154" t="s">
        <v>31</v>
      </c>
      <c r="K1405" s="154" t="s">
        <v>2426</v>
      </c>
      <c r="N1405" s="155"/>
      <c r="O1405" s="156"/>
      <c r="P1405" s="157"/>
      <c r="Q1405" s="158"/>
      <c r="R1405" s="159"/>
      <c r="S1405" s="160"/>
      <c r="T1405" s="161"/>
      <c r="U1405" s="156"/>
      <c r="V1405" s="162"/>
      <c r="W1405" s="163"/>
      <c r="X1405" s="164"/>
      <c r="Y1405" s="159"/>
      <c r="Z1405" s="161"/>
      <c r="AA1405" s="165"/>
      <c r="AD1405" s="154" t="s">
        <v>5321</v>
      </c>
      <c r="AE1405" s="155"/>
      <c r="AI1405" s="154" t="s">
        <v>5354</v>
      </c>
      <c r="AL1405" s="154" t="s">
        <v>31</v>
      </c>
      <c r="AM1405" s="154" t="s">
        <v>2426</v>
      </c>
      <c r="AP1405" s="155"/>
      <c r="AQ1405" s="156"/>
      <c r="AR1405" s="157"/>
      <c r="AS1405" s="158"/>
      <c r="AT1405" s="159"/>
      <c r="AU1405" s="161"/>
      <c r="AV1405" s="156"/>
      <c r="AW1405" s="162"/>
      <c r="AX1405" s="163"/>
      <c r="AY1405" s="164">
        <v>3</v>
      </c>
      <c r="AZ1405" s="159" t="s">
        <v>1073</v>
      </c>
      <c r="BA1405" s="161"/>
      <c r="BB1405" s="165"/>
      <c r="BE1405" s="154" t="s">
        <v>5321</v>
      </c>
      <c r="BF1405" s="155"/>
      <c r="BG1405" s="154" t="s">
        <v>5355</v>
      </c>
    </row>
    <row r="1406" spans="1:59" s="154" customFormat="1" ht="15" customHeight="1">
      <c r="A1406" s="168" t="s">
        <v>5089</v>
      </c>
      <c r="B1406" s="23" t="s">
        <v>5356</v>
      </c>
      <c r="C1406" s="154" t="s">
        <v>5250</v>
      </c>
      <c r="D1406" s="155">
        <v>31</v>
      </c>
      <c r="E1406" s="154">
        <v>1</v>
      </c>
      <c r="F1406" s="154" t="s">
        <v>5091</v>
      </c>
      <c r="G1406" s="154" t="s">
        <v>5357</v>
      </c>
      <c r="J1406" s="154" t="s">
        <v>31</v>
      </c>
      <c r="K1406" s="154" t="s">
        <v>2426</v>
      </c>
      <c r="N1406" s="155"/>
      <c r="O1406" s="156"/>
      <c r="P1406" s="157"/>
      <c r="Q1406" s="158"/>
      <c r="R1406" s="159"/>
      <c r="S1406" s="160"/>
      <c r="T1406" s="161"/>
      <c r="U1406" s="156"/>
      <c r="V1406" s="162"/>
      <c r="W1406" s="163"/>
      <c r="X1406" s="164"/>
      <c r="Y1406" s="159"/>
      <c r="Z1406" s="161"/>
      <c r="AA1406" s="165"/>
      <c r="AE1406" s="155"/>
      <c r="AI1406" s="154" t="s">
        <v>5357</v>
      </c>
      <c r="AL1406" s="154" t="s">
        <v>31</v>
      </c>
      <c r="AM1406" s="154" t="s">
        <v>2426</v>
      </c>
      <c r="AP1406" s="155"/>
      <c r="AQ1406" s="156"/>
      <c r="AR1406" s="157"/>
      <c r="AS1406" s="158"/>
      <c r="AT1406" s="159"/>
      <c r="AU1406" s="161"/>
      <c r="AV1406" s="156"/>
      <c r="AW1406" s="162"/>
      <c r="AX1406" s="163"/>
      <c r="AY1406" s="164">
        <v>4</v>
      </c>
      <c r="AZ1406" s="159">
        <v>0</v>
      </c>
      <c r="BA1406" s="161"/>
      <c r="BB1406" s="165"/>
      <c r="BF1406" s="155"/>
      <c r="BG1406" s="154" t="s">
        <v>5358</v>
      </c>
    </row>
    <row r="1407" spans="1:59" s="154" customFormat="1" ht="15" customHeight="1">
      <c r="A1407" s="168" t="s">
        <v>5089</v>
      </c>
      <c r="B1407" s="23" t="s">
        <v>5359</v>
      </c>
      <c r="C1407" s="154" t="s">
        <v>5250</v>
      </c>
      <c r="D1407" s="155">
        <v>32</v>
      </c>
      <c r="E1407" s="154">
        <v>1</v>
      </c>
      <c r="F1407" s="154" t="s">
        <v>5091</v>
      </c>
      <c r="G1407" s="154" t="s">
        <v>4652</v>
      </c>
      <c r="J1407" s="154" t="s">
        <v>31</v>
      </c>
      <c r="K1407" s="154" t="s">
        <v>2426</v>
      </c>
      <c r="N1407" s="155"/>
      <c r="O1407" s="156"/>
      <c r="P1407" s="157"/>
      <c r="Q1407" s="158"/>
      <c r="R1407" s="159"/>
      <c r="S1407" s="160"/>
      <c r="T1407" s="161"/>
      <c r="U1407" s="156"/>
      <c r="V1407" s="162"/>
      <c r="W1407" s="163"/>
      <c r="X1407" s="164"/>
      <c r="Y1407" s="159"/>
      <c r="Z1407" s="161"/>
      <c r="AA1407" s="165"/>
      <c r="AD1407" s="154" t="s">
        <v>5321</v>
      </c>
      <c r="AE1407" s="155"/>
      <c r="AI1407" s="154" t="s">
        <v>4652</v>
      </c>
      <c r="AL1407" s="154" t="s">
        <v>31</v>
      </c>
      <c r="AM1407" s="154" t="s">
        <v>2426</v>
      </c>
      <c r="AP1407" s="155"/>
      <c r="AQ1407" s="156"/>
      <c r="AR1407" s="157"/>
      <c r="AS1407" s="158"/>
      <c r="AT1407" s="159"/>
      <c r="AU1407" s="161"/>
      <c r="AV1407" s="156"/>
      <c r="AW1407" s="162"/>
      <c r="AX1407" s="163"/>
      <c r="AY1407" s="164">
        <v>3</v>
      </c>
      <c r="AZ1407" s="159" t="s">
        <v>1111</v>
      </c>
      <c r="BA1407" s="161"/>
      <c r="BB1407" s="165"/>
      <c r="BE1407" s="154" t="s">
        <v>5321</v>
      </c>
      <c r="BF1407" s="155"/>
    </row>
    <row r="1408" spans="1:59" s="154" customFormat="1" ht="15" customHeight="1">
      <c r="A1408" s="168" t="s">
        <v>5089</v>
      </c>
      <c r="B1408" s="23" t="s">
        <v>5360</v>
      </c>
      <c r="C1408" s="154" t="s">
        <v>5250</v>
      </c>
      <c r="D1408" s="155">
        <v>33</v>
      </c>
      <c r="E1408" s="154">
        <v>1</v>
      </c>
      <c r="F1408" s="154" t="s">
        <v>5091</v>
      </c>
      <c r="G1408" s="154" t="s">
        <v>5361</v>
      </c>
      <c r="J1408" s="154" t="s">
        <v>2702</v>
      </c>
      <c r="K1408" s="154" t="s">
        <v>2426</v>
      </c>
      <c r="N1408" s="155"/>
      <c r="O1408" s="156"/>
      <c r="P1408" s="157"/>
      <c r="Q1408" s="158"/>
      <c r="R1408" s="159"/>
      <c r="S1408" s="160"/>
      <c r="T1408" s="161"/>
      <c r="U1408" s="156"/>
      <c r="V1408" s="162"/>
      <c r="W1408" s="163"/>
      <c r="X1408" s="164"/>
      <c r="Y1408" s="159"/>
      <c r="Z1408" s="161"/>
      <c r="AA1408" s="165"/>
      <c r="AD1408" s="154" t="s">
        <v>5362</v>
      </c>
      <c r="AE1408" s="155"/>
      <c r="AF1408" s="154" t="s">
        <v>5363</v>
      </c>
      <c r="AI1408" s="154" t="s">
        <v>5364</v>
      </c>
      <c r="AL1408" s="154" t="s">
        <v>2702</v>
      </c>
      <c r="AM1408" s="154" t="s">
        <v>2426</v>
      </c>
      <c r="AP1408" s="155"/>
      <c r="AQ1408" s="156"/>
      <c r="AR1408" s="157"/>
      <c r="AS1408" s="158"/>
      <c r="AT1408" s="159"/>
      <c r="AU1408" s="161"/>
      <c r="AV1408" s="156"/>
      <c r="AW1408" s="162"/>
      <c r="AX1408" s="163"/>
      <c r="AY1408" s="164"/>
      <c r="AZ1408" s="159"/>
      <c r="BA1408" s="161"/>
      <c r="BB1408" s="165"/>
      <c r="BE1408" s="154" t="s">
        <v>5362</v>
      </c>
      <c r="BF1408" s="155"/>
      <c r="BG1408" s="154" t="s">
        <v>5365</v>
      </c>
    </row>
    <row r="1409" spans="1:59" s="154" customFormat="1" ht="15" customHeight="1">
      <c r="A1409" s="168" t="s">
        <v>5089</v>
      </c>
      <c r="B1409" s="23" t="s">
        <v>5366</v>
      </c>
      <c r="C1409" s="154" t="s">
        <v>5250</v>
      </c>
      <c r="D1409" s="155">
        <v>34</v>
      </c>
      <c r="E1409" s="154">
        <v>1</v>
      </c>
      <c r="F1409" s="154" t="s">
        <v>5091</v>
      </c>
      <c r="G1409" s="154" t="s">
        <v>5367</v>
      </c>
      <c r="J1409" s="154" t="s">
        <v>2702</v>
      </c>
      <c r="K1409" s="154" t="s">
        <v>2426</v>
      </c>
      <c r="N1409" s="155"/>
      <c r="O1409" s="156"/>
      <c r="P1409" s="157"/>
      <c r="Q1409" s="158"/>
      <c r="R1409" s="159"/>
      <c r="S1409" s="160"/>
      <c r="T1409" s="161"/>
      <c r="U1409" s="156"/>
      <c r="V1409" s="162"/>
      <c r="W1409" s="163"/>
      <c r="X1409" s="164"/>
      <c r="Y1409" s="159"/>
      <c r="Z1409" s="161"/>
      <c r="AA1409" s="165"/>
      <c r="AD1409" s="154" t="s">
        <v>5368</v>
      </c>
      <c r="AE1409" s="155"/>
      <c r="AF1409" s="154" t="s">
        <v>5369</v>
      </c>
      <c r="AI1409" s="154" t="s">
        <v>5364</v>
      </c>
      <c r="AL1409" s="154" t="s">
        <v>2702</v>
      </c>
      <c r="AM1409" s="154" t="s">
        <v>2426</v>
      </c>
      <c r="AP1409" s="155"/>
      <c r="AQ1409" s="156"/>
      <c r="AR1409" s="157"/>
      <c r="AS1409" s="158"/>
      <c r="AT1409" s="159"/>
      <c r="AU1409" s="161"/>
      <c r="AV1409" s="156"/>
      <c r="AW1409" s="162"/>
      <c r="AX1409" s="163"/>
      <c r="AY1409" s="164"/>
      <c r="AZ1409" s="159"/>
      <c r="BA1409" s="161"/>
      <c r="BB1409" s="165"/>
      <c r="BE1409" s="154" t="s">
        <v>5368</v>
      </c>
      <c r="BF1409" s="155"/>
      <c r="BG1409" s="154" t="s">
        <v>5370</v>
      </c>
    </row>
    <row r="1410" spans="1:59" s="154" customFormat="1" ht="15" customHeight="1">
      <c r="A1410" s="168" t="s">
        <v>5089</v>
      </c>
      <c r="B1410" s="23" t="s">
        <v>5371</v>
      </c>
      <c r="C1410" s="154" t="s">
        <v>5250</v>
      </c>
      <c r="D1410" s="155">
        <v>35</v>
      </c>
      <c r="E1410" s="154">
        <v>1</v>
      </c>
      <c r="F1410" s="154" t="s">
        <v>5091</v>
      </c>
      <c r="G1410" s="154" t="s">
        <v>5372</v>
      </c>
      <c r="J1410" s="154" t="s">
        <v>2702</v>
      </c>
      <c r="K1410" s="154" t="s">
        <v>2426</v>
      </c>
      <c r="N1410" s="155"/>
      <c r="O1410" s="156"/>
      <c r="P1410" s="157"/>
      <c r="Q1410" s="158"/>
      <c r="R1410" s="159"/>
      <c r="S1410" s="160"/>
      <c r="T1410" s="161"/>
      <c r="U1410" s="156"/>
      <c r="V1410" s="162"/>
      <c r="W1410" s="163"/>
      <c r="X1410" s="164"/>
      <c r="Y1410" s="159"/>
      <c r="Z1410" s="161"/>
      <c r="AA1410" s="165"/>
      <c r="AD1410" s="154" t="s">
        <v>5368</v>
      </c>
      <c r="AE1410" s="155"/>
      <c r="AF1410" s="154" t="s">
        <v>5373</v>
      </c>
      <c r="AI1410" s="154" t="s">
        <v>5364</v>
      </c>
      <c r="AL1410" s="154" t="s">
        <v>2702</v>
      </c>
      <c r="AM1410" s="154" t="s">
        <v>2426</v>
      </c>
      <c r="AP1410" s="155"/>
      <c r="AQ1410" s="156"/>
      <c r="AR1410" s="157"/>
      <c r="AS1410" s="158"/>
      <c r="AT1410" s="159"/>
      <c r="AU1410" s="161"/>
      <c r="AV1410" s="156"/>
      <c r="AW1410" s="162"/>
      <c r="AX1410" s="163"/>
      <c r="AY1410" s="164"/>
      <c r="AZ1410" s="159"/>
      <c r="BA1410" s="161"/>
      <c r="BB1410" s="165"/>
      <c r="BE1410" s="154" t="s">
        <v>5368</v>
      </c>
      <c r="BF1410" s="155"/>
      <c r="BG1410" s="154" t="s">
        <v>5374</v>
      </c>
    </row>
    <row r="1411" spans="1:59" s="154" customFormat="1" ht="15" customHeight="1">
      <c r="A1411" s="168" t="s">
        <v>5089</v>
      </c>
      <c r="B1411" s="23" t="s">
        <v>5375</v>
      </c>
      <c r="C1411" s="154" t="s">
        <v>5250</v>
      </c>
      <c r="D1411" s="155">
        <v>36</v>
      </c>
      <c r="E1411" s="154">
        <v>1</v>
      </c>
      <c r="F1411" s="154" t="s">
        <v>5091</v>
      </c>
      <c r="G1411" s="154" t="s">
        <v>5376</v>
      </c>
      <c r="J1411" s="154" t="s">
        <v>2702</v>
      </c>
      <c r="K1411" s="154" t="s">
        <v>2426</v>
      </c>
      <c r="N1411" s="155"/>
      <c r="O1411" s="156"/>
      <c r="P1411" s="157"/>
      <c r="Q1411" s="158"/>
      <c r="R1411" s="159"/>
      <c r="S1411" s="160"/>
      <c r="T1411" s="161"/>
      <c r="U1411" s="156"/>
      <c r="V1411" s="162"/>
      <c r="W1411" s="163"/>
      <c r="X1411" s="164"/>
      <c r="Y1411" s="159"/>
      <c r="Z1411" s="161"/>
      <c r="AA1411" s="165"/>
      <c r="AD1411" s="154" t="s">
        <v>5377</v>
      </c>
      <c r="AE1411" s="155"/>
      <c r="AF1411" s="154" t="s">
        <v>5378</v>
      </c>
      <c r="AI1411" s="154" t="s">
        <v>5364</v>
      </c>
      <c r="AL1411" s="154" t="s">
        <v>2702</v>
      </c>
      <c r="AM1411" s="154" t="s">
        <v>2426</v>
      </c>
      <c r="AP1411" s="155"/>
      <c r="AQ1411" s="156"/>
      <c r="AR1411" s="157"/>
      <c r="AS1411" s="158"/>
      <c r="AT1411" s="159"/>
      <c r="AU1411" s="161"/>
      <c r="AV1411" s="156"/>
      <c r="AW1411" s="162"/>
      <c r="AX1411" s="163"/>
      <c r="AY1411" s="164"/>
      <c r="AZ1411" s="159"/>
      <c r="BA1411" s="161"/>
      <c r="BB1411" s="165"/>
      <c r="BE1411" s="154" t="s">
        <v>5377</v>
      </c>
      <c r="BF1411" s="155"/>
      <c r="BG1411" s="154" t="s">
        <v>5379</v>
      </c>
    </row>
    <row r="1412" spans="1:59" s="154" customFormat="1" ht="15" customHeight="1">
      <c r="A1412" s="168" t="s">
        <v>5089</v>
      </c>
      <c r="B1412" s="23" t="s">
        <v>5380</v>
      </c>
      <c r="C1412" s="154" t="s">
        <v>5250</v>
      </c>
      <c r="D1412" s="155">
        <v>37</v>
      </c>
      <c r="E1412" s="154">
        <v>1</v>
      </c>
      <c r="F1412" s="154" t="s">
        <v>5091</v>
      </c>
      <c r="G1412" s="154" t="s">
        <v>5381</v>
      </c>
      <c r="J1412" s="154" t="s">
        <v>2702</v>
      </c>
      <c r="K1412" s="154" t="s">
        <v>2426</v>
      </c>
      <c r="N1412" s="155"/>
      <c r="O1412" s="156"/>
      <c r="P1412" s="157"/>
      <c r="Q1412" s="158"/>
      <c r="R1412" s="159"/>
      <c r="S1412" s="160"/>
      <c r="T1412" s="161"/>
      <c r="U1412" s="156"/>
      <c r="V1412" s="162"/>
      <c r="W1412" s="163"/>
      <c r="X1412" s="164"/>
      <c r="Y1412" s="159"/>
      <c r="Z1412" s="161"/>
      <c r="AA1412" s="165"/>
      <c r="AD1412" s="154" t="s">
        <v>5377</v>
      </c>
      <c r="AE1412" s="155"/>
      <c r="AF1412" s="154" t="s">
        <v>5382</v>
      </c>
      <c r="AI1412" s="154" t="s">
        <v>5364</v>
      </c>
      <c r="AL1412" s="154" t="s">
        <v>2702</v>
      </c>
      <c r="AM1412" s="154" t="s">
        <v>2426</v>
      </c>
      <c r="AP1412" s="155"/>
      <c r="AQ1412" s="156"/>
      <c r="AR1412" s="157"/>
      <c r="AS1412" s="158"/>
      <c r="AT1412" s="159"/>
      <c r="AU1412" s="161"/>
      <c r="AV1412" s="156"/>
      <c r="AW1412" s="162"/>
      <c r="AX1412" s="163"/>
      <c r="AY1412" s="164"/>
      <c r="AZ1412" s="159"/>
      <c r="BA1412" s="161"/>
      <c r="BB1412" s="165"/>
      <c r="BE1412" s="154" t="s">
        <v>5377</v>
      </c>
      <c r="BF1412" s="155"/>
      <c r="BG1412" s="154" t="s">
        <v>5383</v>
      </c>
    </row>
    <row r="1413" spans="1:59" s="154" customFormat="1" ht="15" customHeight="1">
      <c r="A1413" s="168" t="s">
        <v>5089</v>
      </c>
      <c r="B1413" s="23" t="s">
        <v>5384</v>
      </c>
      <c r="C1413" s="154" t="s">
        <v>5250</v>
      </c>
      <c r="D1413" s="155">
        <v>38</v>
      </c>
      <c r="E1413" s="154">
        <v>1</v>
      </c>
      <c r="F1413" s="154" t="s">
        <v>5091</v>
      </c>
      <c r="G1413" s="154" t="s">
        <v>5385</v>
      </c>
      <c r="J1413" s="154" t="s">
        <v>2702</v>
      </c>
      <c r="K1413" s="154" t="s">
        <v>2426</v>
      </c>
      <c r="N1413" s="155"/>
      <c r="O1413" s="156"/>
      <c r="P1413" s="157"/>
      <c r="Q1413" s="158"/>
      <c r="R1413" s="159"/>
      <c r="S1413" s="160"/>
      <c r="T1413" s="161"/>
      <c r="U1413" s="156"/>
      <c r="V1413" s="162"/>
      <c r="W1413" s="163"/>
      <c r="X1413" s="164"/>
      <c r="Y1413" s="159"/>
      <c r="Z1413" s="161"/>
      <c r="AA1413" s="165"/>
      <c r="AD1413" s="154" t="s">
        <v>5377</v>
      </c>
      <c r="AE1413" s="155"/>
      <c r="AF1413" s="154" t="s">
        <v>5386</v>
      </c>
      <c r="AI1413" s="154" t="s">
        <v>5364</v>
      </c>
      <c r="AL1413" s="154" t="s">
        <v>2702</v>
      </c>
      <c r="AM1413" s="154" t="s">
        <v>2426</v>
      </c>
      <c r="AP1413" s="155"/>
      <c r="AQ1413" s="156"/>
      <c r="AR1413" s="157"/>
      <c r="AS1413" s="158"/>
      <c r="AT1413" s="159"/>
      <c r="AU1413" s="161"/>
      <c r="AV1413" s="156"/>
      <c r="AW1413" s="162"/>
      <c r="AX1413" s="163"/>
      <c r="AY1413" s="164"/>
      <c r="AZ1413" s="159"/>
      <c r="BA1413" s="161"/>
      <c r="BB1413" s="165"/>
      <c r="BE1413" s="154" t="s">
        <v>5377</v>
      </c>
      <c r="BF1413" s="155"/>
      <c r="BG1413" s="154" t="s">
        <v>5387</v>
      </c>
    </row>
    <row r="1414" spans="1:59" s="154" customFormat="1" ht="15" customHeight="1">
      <c r="A1414" s="168" t="s">
        <v>5089</v>
      </c>
      <c r="B1414" s="23" t="s">
        <v>5388</v>
      </c>
      <c r="C1414" s="154" t="s">
        <v>5250</v>
      </c>
      <c r="D1414" s="155">
        <v>39</v>
      </c>
      <c r="E1414" s="154">
        <v>1</v>
      </c>
      <c r="F1414" s="154" t="s">
        <v>5091</v>
      </c>
      <c r="G1414" s="154" t="s">
        <v>5389</v>
      </c>
      <c r="J1414" s="154" t="s">
        <v>257</v>
      </c>
      <c r="K1414" s="154" t="s">
        <v>26</v>
      </c>
      <c r="N1414" s="155"/>
      <c r="O1414" s="156"/>
      <c r="P1414" s="157"/>
      <c r="Q1414" s="158"/>
      <c r="R1414" s="159"/>
      <c r="S1414" s="160"/>
      <c r="T1414" s="161"/>
      <c r="U1414" s="156"/>
      <c r="V1414" s="162"/>
      <c r="W1414" s="163"/>
      <c r="X1414" s="164"/>
      <c r="Y1414" s="159"/>
      <c r="Z1414" s="161"/>
      <c r="AA1414" s="165"/>
      <c r="AD1414" s="154" t="s">
        <v>5390</v>
      </c>
      <c r="AE1414" s="155"/>
      <c r="AF1414" s="154" t="s">
        <v>5391</v>
      </c>
      <c r="AP1414" s="155"/>
      <c r="AQ1414" s="156"/>
      <c r="AR1414" s="157"/>
      <c r="AS1414" s="158"/>
      <c r="AT1414" s="159"/>
      <c r="AU1414" s="161"/>
      <c r="AV1414" s="156"/>
      <c r="AW1414" s="162"/>
      <c r="AX1414" s="163"/>
      <c r="AY1414" s="164"/>
      <c r="AZ1414" s="159"/>
      <c r="BA1414" s="161"/>
      <c r="BB1414" s="165"/>
      <c r="BF1414" s="155"/>
    </row>
    <row r="1415" spans="1:59" s="154" customFormat="1" ht="15" customHeight="1">
      <c r="A1415" s="168" t="s">
        <v>5089</v>
      </c>
      <c r="B1415" s="23" t="s">
        <v>5392</v>
      </c>
      <c r="C1415" s="154" t="s">
        <v>5250</v>
      </c>
      <c r="D1415" s="155">
        <v>40</v>
      </c>
      <c r="E1415" s="154">
        <v>1</v>
      </c>
      <c r="F1415" s="154" t="s">
        <v>5091</v>
      </c>
      <c r="G1415" s="154" t="s">
        <v>5393</v>
      </c>
      <c r="J1415" s="154" t="s">
        <v>257</v>
      </c>
      <c r="K1415" s="154" t="s">
        <v>26</v>
      </c>
      <c r="N1415" s="155"/>
      <c r="O1415" s="156"/>
      <c r="P1415" s="157"/>
      <c r="Q1415" s="158"/>
      <c r="R1415" s="159"/>
      <c r="S1415" s="160"/>
      <c r="T1415" s="161"/>
      <c r="U1415" s="156"/>
      <c r="V1415" s="162"/>
      <c r="W1415" s="163"/>
      <c r="X1415" s="164"/>
      <c r="Y1415" s="159"/>
      <c r="Z1415" s="161"/>
      <c r="AA1415" s="165"/>
      <c r="AD1415" s="154" t="s">
        <v>2021</v>
      </c>
      <c r="AE1415" s="155"/>
      <c r="AF1415" s="154" t="s">
        <v>5394</v>
      </c>
      <c r="AP1415" s="155"/>
      <c r="AQ1415" s="156"/>
      <c r="AR1415" s="157"/>
      <c r="AS1415" s="158"/>
      <c r="AT1415" s="159"/>
      <c r="AU1415" s="161"/>
      <c r="AV1415" s="156"/>
      <c r="AW1415" s="162"/>
      <c r="AX1415" s="163"/>
      <c r="AY1415" s="164"/>
      <c r="AZ1415" s="159"/>
      <c r="BA1415" s="161"/>
      <c r="BB1415" s="165"/>
      <c r="BF1415" s="155"/>
    </row>
    <row r="1416" spans="1:59" s="154" customFormat="1" ht="15" customHeight="1">
      <c r="A1416" s="168" t="s">
        <v>5089</v>
      </c>
      <c r="B1416" s="23" t="s">
        <v>5395</v>
      </c>
      <c r="C1416" s="154" t="s">
        <v>5250</v>
      </c>
      <c r="D1416" s="155">
        <v>41</v>
      </c>
      <c r="E1416" s="154">
        <v>1</v>
      </c>
      <c r="F1416" s="154" t="s">
        <v>5091</v>
      </c>
      <c r="G1416" s="154" t="s">
        <v>5396</v>
      </c>
      <c r="J1416" s="154" t="s">
        <v>257</v>
      </c>
      <c r="K1416" s="154" t="s">
        <v>26</v>
      </c>
      <c r="N1416" s="155"/>
      <c r="O1416" s="156"/>
      <c r="P1416" s="157"/>
      <c r="Q1416" s="158"/>
      <c r="R1416" s="159"/>
      <c r="S1416" s="160"/>
      <c r="T1416" s="161"/>
      <c r="U1416" s="156"/>
      <c r="V1416" s="162"/>
      <c r="W1416" s="163"/>
      <c r="X1416" s="164"/>
      <c r="Y1416" s="159"/>
      <c r="Z1416" s="161"/>
      <c r="AA1416" s="165"/>
      <c r="AD1416" s="154" t="s">
        <v>265</v>
      </c>
      <c r="AE1416" s="155"/>
      <c r="AF1416" s="154" t="s">
        <v>5397</v>
      </c>
      <c r="AP1416" s="155"/>
      <c r="AQ1416" s="156"/>
      <c r="AR1416" s="157"/>
      <c r="AS1416" s="158"/>
      <c r="AT1416" s="159"/>
      <c r="AU1416" s="161"/>
      <c r="AV1416" s="156"/>
      <c r="AW1416" s="162"/>
      <c r="AX1416" s="163"/>
      <c r="AY1416" s="164"/>
      <c r="AZ1416" s="159"/>
      <c r="BA1416" s="161"/>
      <c r="BB1416" s="165"/>
      <c r="BF1416" s="155"/>
    </row>
    <row r="1417" spans="1:59" s="154" customFormat="1" ht="15" customHeight="1">
      <c r="A1417" s="168" t="s">
        <v>5089</v>
      </c>
      <c r="B1417" s="23" t="s">
        <v>5398</v>
      </c>
      <c r="C1417" s="154" t="s">
        <v>5250</v>
      </c>
      <c r="D1417" s="155">
        <v>42</v>
      </c>
      <c r="E1417" s="154">
        <v>1</v>
      </c>
      <c r="F1417" s="154" t="s">
        <v>5091</v>
      </c>
      <c r="G1417" s="154" t="s">
        <v>5399</v>
      </c>
      <c r="J1417" s="154" t="s">
        <v>257</v>
      </c>
      <c r="K1417" s="154" t="s">
        <v>26</v>
      </c>
      <c r="N1417" s="155"/>
      <c r="O1417" s="156"/>
      <c r="P1417" s="157"/>
      <c r="Q1417" s="158"/>
      <c r="R1417" s="159"/>
      <c r="S1417" s="160"/>
      <c r="T1417" s="161"/>
      <c r="U1417" s="156"/>
      <c r="V1417" s="162"/>
      <c r="W1417" s="163"/>
      <c r="X1417" s="164"/>
      <c r="Y1417" s="159"/>
      <c r="Z1417" s="161"/>
      <c r="AA1417" s="165"/>
      <c r="AD1417" s="154" t="s">
        <v>5390</v>
      </c>
      <c r="AE1417" s="155"/>
      <c r="AF1417" s="154" t="s">
        <v>5400</v>
      </c>
      <c r="AP1417" s="155"/>
      <c r="AQ1417" s="156"/>
      <c r="AR1417" s="157"/>
      <c r="AS1417" s="158"/>
      <c r="AT1417" s="159"/>
      <c r="AU1417" s="161"/>
      <c r="AV1417" s="156"/>
      <c r="AW1417" s="162"/>
      <c r="AX1417" s="163"/>
      <c r="AY1417" s="164"/>
      <c r="AZ1417" s="159"/>
      <c r="BA1417" s="161"/>
      <c r="BB1417" s="165"/>
      <c r="BF1417" s="155"/>
    </row>
    <row r="1418" spans="1:59" s="154" customFormat="1" ht="15" customHeight="1">
      <c r="A1418" s="168" t="s">
        <v>5089</v>
      </c>
      <c r="B1418" s="23" t="s">
        <v>5401</v>
      </c>
      <c r="C1418" s="154" t="s">
        <v>5250</v>
      </c>
      <c r="D1418" s="155">
        <v>43</v>
      </c>
      <c r="E1418" s="154">
        <v>1</v>
      </c>
      <c r="F1418" s="154" t="s">
        <v>5091</v>
      </c>
      <c r="G1418" s="154" t="s">
        <v>5399</v>
      </c>
      <c r="J1418" s="154" t="s">
        <v>257</v>
      </c>
      <c r="K1418" s="154" t="s">
        <v>26</v>
      </c>
      <c r="N1418" s="155"/>
      <c r="O1418" s="156"/>
      <c r="P1418" s="157"/>
      <c r="Q1418" s="158"/>
      <c r="R1418" s="159"/>
      <c r="S1418" s="160"/>
      <c r="T1418" s="161"/>
      <c r="U1418" s="156"/>
      <c r="V1418" s="162"/>
      <c r="W1418" s="163"/>
      <c r="X1418" s="164"/>
      <c r="Y1418" s="159"/>
      <c r="Z1418" s="161"/>
      <c r="AA1418" s="165"/>
      <c r="AD1418" s="154" t="s">
        <v>5390</v>
      </c>
      <c r="AE1418" s="155"/>
      <c r="AF1418" s="154" t="s">
        <v>5402</v>
      </c>
      <c r="AP1418" s="155"/>
      <c r="AQ1418" s="156"/>
      <c r="AR1418" s="157"/>
      <c r="AS1418" s="158"/>
      <c r="AT1418" s="159"/>
      <c r="AU1418" s="161"/>
      <c r="AV1418" s="156"/>
      <c r="AW1418" s="162"/>
      <c r="AX1418" s="163"/>
      <c r="AY1418" s="164"/>
      <c r="AZ1418" s="159"/>
      <c r="BA1418" s="161"/>
      <c r="BB1418" s="165"/>
      <c r="BF1418" s="155"/>
    </row>
    <row r="1419" spans="1:59" s="154" customFormat="1" ht="15" customHeight="1">
      <c r="A1419" s="168" t="s">
        <v>5089</v>
      </c>
      <c r="B1419" s="30" t="s">
        <v>5403</v>
      </c>
      <c r="C1419" s="154" t="s">
        <v>5250</v>
      </c>
      <c r="D1419" s="155">
        <v>44</v>
      </c>
      <c r="E1419" s="154">
        <v>1</v>
      </c>
      <c r="F1419" s="154" t="s">
        <v>5091</v>
      </c>
      <c r="G1419" s="154" t="s">
        <v>5404</v>
      </c>
      <c r="J1419" s="154" t="s">
        <v>257</v>
      </c>
      <c r="K1419" s="154" t="s">
        <v>26</v>
      </c>
      <c r="N1419" s="155"/>
      <c r="O1419" s="156"/>
      <c r="P1419" s="157"/>
      <c r="Q1419" s="158"/>
      <c r="R1419" s="159"/>
      <c r="S1419" s="160"/>
      <c r="T1419" s="161"/>
      <c r="U1419" s="156"/>
      <c r="V1419" s="162"/>
      <c r="W1419" s="163"/>
      <c r="X1419" s="164"/>
      <c r="Y1419" s="159"/>
      <c r="Z1419" s="161"/>
      <c r="AA1419" s="165"/>
      <c r="AD1419" s="154" t="s">
        <v>5390</v>
      </c>
      <c r="AE1419" s="155"/>
      <c r="AF1419" s="154" t="s">
        <v>5405</v>
      </c>
      <c r="AP1419" s="155"/>
      <c r="AQ1419" s="156"/>
      <c r="AR1419" s="157"/>
      <c r="AS1419" s="158"/>
      <c r="AT1419" s="159"/>
      <c r="AU1419" s="161"/>
      <c r="AV1419" s="156"/>
      <c r="AW1419" s="162"/>
      <c r="AX1419" s="163"/>
      <c r="AY1419" s="164"/>
      <c r="AZ1419" s="159"/>
      <c r="BA1419" s="161"/>
      <c r="BB1419" s="165"/>
      <c r="BF1419" s="155"/>
    </row>
    <row r="1420" spans="1:59" s="154" customFormat="1" ht="15" customHeight="1">
      <c r="A1420" s="168" t="s">
        <v>5089</v>
      </c>
      <c r="B1420" s="23" t="s">
        <v>5406</v>
      </c>
      <c r="C1420" s="154" t="s">
        <v>5250</v>
      </c>
      <c r="D1420" s="155">
        <v>45</v>
      </c>
      <c r="E1420" s="154">
        <v>1</v>
      </c>
      <c r="F1420" s="154" t="s">
        <v>5091</v>
      </c>
      <c r="G1420" s="154" t="s">
        <v>5404</v>
      </c>
      <c r="J1420" s="154" t="s">
        <v>257</v>
      </c>
      <c r="K1420" s="154" t="s">
        <v>26</v>
      </c>
      <c r="N1420" s="155"/>
      <c r="O1420" s="156"/>
      <c r="P1420" s="157"/>
      <c r="Q1420" s="158"/>
      <c r="R1420" s="159"/>
      <c r="S1420" s="160"/>
      <c r="T1420" s="161"/>
      <c r="U1420" s="156"/>
      <c r="V1420" s="162"/>
      <c r="W1420" s="163"/>
      <c r="X1420" s="164"/>
      <c r="Y1420" s="159"/>
      <c r="Z1420" s="161"/>
      <c r="AA1420" s="165"/>
      <c r="AD1420" s="154" t="s">
        <v>5390</v>
      </c>
      <c r="AE1420" s="155"/>
      <c r="AF1420" s="154" t="s">
        <v>5407</v>
      </c>
      <c r="AP1420" s="155"/>
      <c r="AQ1420" s="156"/>
      <c r="AR1420" s="157"/>
      <c r="AS1420" s="158"/>
      <c r="AT1420" s="159"/>
      <c r="AU1420" s="161"/>
      <c r="AV1420" s="156"/>
      <c r="AW1420" s="162"/>
      <c r="AX1420" s="163"/>
      <c r="AY1420" s="164"/>
      <c r="AZ1420" s="159"/>
      <c r="BA1420" s="161"/>
      <c r="BB1420" s="165"/>
      <c r="BF1420" s="155"/>
    </row>
    <row r="1421" spans="1:59" s="154" customFormat="1" ht="15" customHeight="1">
      <c r="A1421" s="168" t="s">
        <v>5089</v>
      </c>
      <c r="B1421" s="23" t="s">
        <v>5408</v>
      </c>
      <c r="C1421" s="154" t="s">
        <v>5250</v>
      </c>
      <c r="D1421" s="155">
        <v>46</v>
      </c>
      <c r="E1421" s="154">
        <v>1</v>
      </c>
      <c r="F1421" s="154" t="s">
        <v>5091</v>
      </c>
      <c r="G1421" s="154" t="s">
        <v>5409</v>
      </c>
      <c r="J1421" s="154" t="s">
        <v>257</v>
      </c>
      <c r="K1421" s="154" t="s">
        <v>26</v>
      </c>
      <c r="N1421" s="155"/>
      <c r="O1421" s="156"/>
      <c r="P1421" s="157"/>
      <c r="Q1421" s="158"/>
      <c r="R1421" s="159"/>
      <c r="S1421" s="160"/>
      <c r="T1421" s="161"/>
      <c r="U1421" s="156"/>
      <c r="V1421" s="162"/>
      <c r="W1421" s="163"/>
      <c r="X1421" s="164"/>
      <c r="Y1421" s="159"/>
      <c r="Z1421" s="161"/>
      <c r="AA1421" s="165"/>
      <c r="AD1421" s="154" t="s">
        <v>5390</v>
      </c>
      <c r="AE1421" s="155"/>
      <c r="AF1421" s="154" t="s">
        <v>5410</v>
      </c>
      <c r="AP1421" s="155"/>
      <c r="AQ1421" s="156"/>
      <c r="AR1421" s="157"/>
      <c r="AS1421" s="158"/>
      <c r="AT1421" s="159"/>
      <c r="AU1421" s="161"/>
      <c r="AV1421" s="156"/>
      <c r="AW1421" s="162"/>
      <c r="AX1421" s="163"/>
      <c r="AY1421" s="164"/>
      <c r="AZ1421" s="159"/>
      <c r="BA1421" s="161"/>
      <c r="BB1421" s="165"/>
      <c r="BF1421" s="155"/>
    </row>
    <row r="1422" spans="1:59" ht="15" customHeight="1">
      <c r="A1422" s="168" t="s">
        <v>5089</v>
      </c>
      <c r="B1422" s="23" t="s">
        <v>5411</v>
      </c>
      <c r="C1422" s="154" t="s">
        <v>5250</v>
      </c>
      <c r="D1422" s="24">
        <v>47</v>
      </c>
      <c r="E1422" s="23">
        <v>1</v>
      </c>
      <c r="F1422" s="154" t="s">
        <v>5091</v>
      </c>
      <c r="G1422" s="28" t="s">
        <v>5409</v>
      </c>
      <c r="J1422" s="23" t="s">
        <v>257</v>
      </c>
      <c r="K1422" s="28" t="s">
        <v>26</v>
      </c>
      <c r="N1422" s="147"/>
      <c r="O1422" s="118"/>
      <c r="P1422" s="119"/>
      <c r="Q1422" s="120"/>
      <c r="R1422" s="29"/>
      <c r="S1422" s="135"/>
      <c r="T1422" s="122"/>
      <c r="U1422" s="118"/>
      <c r="V1422" s="123"/>
      <c r="W1422" s="124"/>
      <c r="X1422" s="125"/>
      <c r="Y1422" s="29"/>
      <c r="Z1422" s="122"/>
      <c r="AA1422" s="126"/>
      <c r="AB1422" s="148"/>
      <c r="AD1422" s="23" t="s">
        <v>5390</v>
      </c>
      <c r="AF1422" s="23" t="s">
        <v>5412</v>
      </c>
      <c r="AI1422" s="28"/>
      <c r="AM1422" s="28"/>
      <c r="AP1422" s="24"/>
      <c r="AQ1422" s="118"/>
      <c r="AR1422" s="119"/>
      <c r="AS1422" s="120"/>
      <c r="AT1422" s="29"/>
      <c r="AU1422" s="122"/>
      <c r="AV1422" s="118"/>
      <c r="AW1422" s="123"/>
      <c r="AX1422" s="124"/>
      <c r="AY1422" s="125"/>
      <c r="AZ1422" s="29"/>
      <c r="BA1422" s="122"/>
      <c r="BB1422" s="126"/>
    </row>
    <row r="1423" spans="1:59" ht="15" customHeight="1">
      <c r="A1423" s="168" t="s">
        <v>5089</v>
      </c>
      <c r="B1423" s="30" t="s">
        <v>5413</v>
      </c>
      <c r="C1423" s="154" t="s">
        <v>5250</v>
      </c>
      <c r="D1423" s="24">
        <v>48</v>
      </c>
      <c r="E1423" s="23">
        <v>1</v>
      </c>
      <c r="F1423" s="154" t="s">
        <v>5091</v>
      </c>
      <c r="G1423" s="23" t="s">
        <v>5414</v>
      </c>
      <c r="H1423" s="23" t="s">
        <v>5415</v>
      </c>
      <c r="I1423" s="23" t="s">
        <v>223</v>
      </c>
      <c r="J1423" s="23" t="s">
        <v>29</v>
      </c>
      <c r="K1423" s="23" t="s">
        <v>2426</v>
      </c>
      <c r="N1423" s="147"/>
      <c r="O1423" s="118"/>
      <c r="P1423" s="119"/>
      <c r="Q1423" s="120">
        <v>2</v>
      </c>
      <c r="R1423" s="29">
        <v>3</v>
      </c>
      <c r="S1423" s="135"/>
      <c r="T1423" s="122">
        <v>6</v>
      </c>
      <c r="U1423" s="118"/>
      <c r="V1423" s="123">
        <v>2</v>
      </c>
      <c r="W1423" s="124">
        <v>2</v>
      </c>
      <c r="X1423" s="125"/>
      <c r="Y1423" s="29"/>
      <c r="Z1423" s="122"/>
      <c r="AA1423" s="126">
        <v>3</v>
      </c>
      <c r="AB1423" s="148"/>
      <c r="AD1423" s="23" t="s">
        <v>1156</v>
      </c>
      <c r="AF1423" s="23" t="s">
        <v>5416</v>
      </c>
      <c r="AP1423" s="24"/>
      <c r="AQ1423" s="118"/>
      <c r="AR1423" s="119"/>
      <c r="AS1423" s="120"/>
      <c r="AT1423" s="29"/>
      <c r="AU1423" s="122"/>
      <c r="AV1423" s="118"/>
      <c r="AW1423" s="123"/>
      <c r="AX1423" s="124"/>
      <c r="AY1423" s="125"/>
      <c r="AZ1423" s="29"/>
      <c r="BA1423" s="122"/>
      <c r="BB1423" s="126"/>
    </row>
    <row r="1424" spans="1:59" ht="15" customHeight="1">
      <c r="A1424" s="168" t="s">
        <v>5089</v>
      </c>
      <c r="B1424" s="23" t="s">
        <v>5417</v>
      </c>
      <c r="C1424" s="154" t="s">
        <v>5250</v>
      </c>
      <c r="D1424" s="24">
        <v>49</v>
      </c>
      <c r="E1424" s="23">
        <v>1</v>
      </c>
      <c r="F1424" s="154" t="s">
        <v>5091</v>
      </c>
      <c r="G1424" s="23" t="s">
        <v>5418</v>
      </c>
      <c r="H1424" s="23" t="s">
        <v>5419</v>
      </c>
      <c r="I1424" s="23" t="s">
        <v>223</v>
      </c>
      <c r="J1424" s="23" t="s">
        <v>29</v>
      </c>
      <c r="K1424" s="23" t="s">
        <v>2426</v>
      </c>
      <c r="N1424" s="147"/>
      <c r="O1424" s="118"/>
      <c r="P1424" s="119"/>
      <c r="Q1424" s="120">
        <v>4</v>
      </c>
      <c r="R1424" s="29">
        <v>4</v>
      </c>
      <c r="S1424" s="135"/>
      <c r="T1424" s="122" t="s">
        <v>4883</v>
      </c>
      <c r="U1424" s="118"/>
      <c r="V1424" s="123">
        <v>2</v>
      </c>
      <c r="W1424" s="124">
        <v>1</v>
      </c>
      <c r="X1424" s="125"/>
      <c r="Y1424" s="29"/>
      <c r="Z1424" s="122"/>
      <c r="AA1424" s="126">
        <v>2</v>
      </c>
      <c r="AB1424" s="148"/>
      <c r="AD1424" s="23" t="s">
        <v>1794</v>
      </c>
      <c r="AF1424" s="23" t="s">
        <v>5420</v>
      </c>
      <c r="AP1424" s="24"/>
      <c r="AQ1424" s="118"/>
      <c r="AR1424" s="119"/>
      <c r="AS1424" s="120"/>
      <c r="AT1424" s="29"/>
      <c r="AU1424" s="122"/>
      <c r="AV1424" s="118"/>
      <c r="AW1424" s="123"/>
      <c r="AX1424" s="124"/>
      <c r="AY1424" s="125"/>
      <c r="AZ1424" s="29"/>
      <c r="BA1424" s="122"/>
      <c r="BB1424" s="126"/>
    </row>
    <row r="1425" spans="1:58" ht="15" customHeight="1">
      <c r="A1425" s="168" t="s">
        <v>5089</v>
      </c>
      <c r="B1425" s="23" t="s">
        <v>5421</v>
      </c>
      <c r="C1425" s="154" t="s">
        <v>5250</v>
      </c>
      <c r="D1425" s="24">
        <v>50</v>
      </c>
      <c r="E1425" s="23">
        <v>1</v>
      </c>
      <c r="F1425" s="154" t="s">
        <v>5091</v>
      </c>
      <c r="G1425" s="23" t="s">
        <v>5418</v>
      </c>
      <c r="H1425" s="23" t="s">
        <v>5419</v>
      </c>
      <c r="I1425" s="23" t="s">
        <v>223</v>
      </c>
      <c r="J1425" s="23" t="s">
        <v>29</v>
      </c>
      <c r="K1425" s="23" t="s">
        <v>2426</v>
      </c>
      <c r="N1425" s="147"/>
      <c r="O1425" s="118"/>
      <c r="P1425" s="119"/>
      <c r="Q1425" s="120">
        <v>4</v>
      </c>
      <c r="R1425" s="29">
        <v>4</v>
      </c>
      <c r="S1425" s="135"/>
      <c r="T1425" s="122" t="s">
        <v>4883</v>
      </c>
      <c r="U1425" s="118"/>
      <c r="V1425" s="123">
        <v>2</v>
      </c>
      <c r="W1425" s="124">
        <v>1</v>
      </c>
      <c r="X1425" s="125"/>
      <c r="Y1425" s="29"/>
      <c r="Z1425" s="122"/>
      <c r="AA1425" s="126">
        <v>2</v>
      </c>
      <c r="AB1425" s="148"/>
      <c r="AD1425" s="23" t="s">
        <v>1794</v>
      </c>
      <c r="AF1425" s="23" t="s">
        <v>5422</v>
      </c>
      <c r="AP1425" s="24"/>
      <c r="AQ1425" s="118"/>
      <c r="AR1425" s="119"/>
      <c r="AS1425" s="120"/>
      <c r="AT1425" s="29"/>
      <c r="AU1425" s="122"/>
      <c r="AV1425" s="118"/>
      <c r="AW1425" s="123"/>
      <c r="AX1425" s="124"/>
      <c r="AY1425" s="125"/>
      <c r="AZ1425" s="29"/>
      <c r="BA1425" s="122"/>
      <c r="BB1425" s="126"/>
    </row>
    <row r="1426" spans="1:58" ht="15" customHeight="1">
      <c r="A1426" s="168" t="s">
        <v>5089</v>
      </c>
      <c r="B1426" s="23" t="s">
        <v>5423</v>
      </c>
      <c r="C1426" s="154" t="s">
        <v>5250</v>
      </c>
      <c r="D1426" s="24">
        <v>51</v>
      </c>
      <c r="E1426" s="23">
        <v>1</v>
      </c>
      <c r="F1426" s="154" t="s">
        <v>5091</v>
      </c>
      <c r="G1426" s="23" t="s">
        <v>5424</v>
      </c>
      <c r="I1426" s="23" t="s">
        <v>223</v>
      </c>
      <c r="J1426" s="23" t="s">
        <v>29</v>
      </c>
      <c r="K1426" s="23" t="s">
        <v>2426</v>
      </c>
      <c r="N1426" s="147"/>
      <c r="O1426" s="118"/>
      <c r="P1426" s="119"/>
      <c r="Q1426" s="120">
        <v>3</v>
      </c>
      <c r="R1426" s="29">
        <v>3</v>
      </c>
      <c r="S1426" s="135"/>
      <c r="T1426" s="122">
        <v>12</v>
      </c>
      <c r="U1426" s="118"/>
      <c r="V1426" s="123">
        <v>2</v>
      </c>
      <c r="W1426" s="124"/>
      <c r="X1426" s="125"/>
      <c r="Y1426" s="29"/>
      <c r="Z1426" s="122"/>
      <c r="AA1426" s="126">
        <v>5</v>
      </c>
      <c r="AB1426" s="148"/>
      <c r="AD1426" s="23" t="s">
        <v>1794</v>
      </c>
      <c r="AF1426" s="23" t="s">
        <v>5425</v>
      </c>
      <c r="AP1426" s="24"/>
      <c r="AQ1426" s="118"/>
      <c r="AR1426" s="119"/>
      <c r="AS1426" s="120"/>
      <c r="AT1426" s="29"/>
      <c r="AU1426" s="122"/>
      <c r="AV1426" s="118"/>
      <c r="AW1426" s="123"/>
      <c r="AX1426" s="124"/>
      <c r="AY1426" s="125"/>
      <c r="AZ1426" s="29"/>
      <c r="BA1426" s="122"/>
      <c r="BB1426" s="126"/>
    </row>
    <row r="1427" spans="1:58" s="154" customFormat="1" ht="15" customHeight="1">
      <c r="A1427" s="168" t="s">
        <v>5089</v>
      </c>
      <c r="B1427" s="23" t="s">
        <v>5426</v>
      </c>
      <c r="C1427" s="154" t="s">
        <v>5250</v>
      </c>
      <c r="D1427" s="155">
        <v>52</v>
      </c>
      <c r="E1427" s="154">
        <v>2</v>
      </c>
      <c r="F1427" s="154" t="s">
        <v>5091</v>
      </c>
      <c r="G1427" s="171" t="s">
        <v>5427</v>
      </c>
      <c r="J1427" s="154" t="s">
        <v>29</v>
      </c>
      <c r="K1427" s="171" t="s">
        <v>2426</v>
      </c>
      <c r="N1427" s="155"/>
      <c r="O1427" s="156"/>
      <c r="P1427" s="157"/>
      <c r="Q1427" s="158">
        <v>4</v>
      </c>
      <c r="R1427" s="159">
        <v>3</v>
      </c>
      <c r="S1427" s="160"/>
      <c r="T1427" s="161">
        <v>4</v>
      </c>
      <c r="U1427" s="156"/>
      <c r="V1427" s="162">
        <v>1</v>
      </c>
      <c r="W1427" s="163">
        <v>2</v>
      </c>
      <c r="X1427" s="164"/>
      <c r="Y1427" s="159"/>
      <c r="Z1427" s="161"/>
      <c r="AA1427" s="165"/>
      <c r="AD1427" s="154" t="s">
        <v>488</v>
      </c>
      <c r="AE1427" s="155"/>
      <c r="AF1427" s="154" t="s">
        <v>5428</v>
      </c>
      <c r="AI1427" s="171"/>
      <c r="AM1427" s="171"/>
      <c r="AP1427" s="155"/>
      <c r="AQ1427" s="156"/>
      <c r="AR1427" s="157"/>
      <c r="AS1427" s="158"/>
      <c r="AT1427" s="159"/>
      <c r="AU1427" s="161"/>
      <c r="AV1427" s="156"/>
      <c r="AW1427" s="162"/>
      <c r="AX1427" s="163"/>
      <c r="AY1427" s="164"/>
      <c r="AZ1427" s="159"/>
      <c r="BA1427" s="161"/>
      <c r="BB1427" s="165"/>
      <c r="BF1427" s="155"/>
    </row>
    <row r="1428" spans="1:58" s="154" customFormat="1" ht="15" customHeight="1">
      <c r="A1428" s="168" t="s">
        <v>5089</v>
      </c>
      <c r="B1428" s="23" t="s">
        <v>5429</v>
      </c>
      <c r="C1428" s="154" t="s">
        <v>5250</v>
      </c>
      <c r="D1428" s="155">
        <v>53</v>
      </c>
      <c r="E1428" s="154">
        <v>3</v>
      </c>
      <c r="F1428" s="154" t="s">
        <v>5091</v>
      </c>
      <c r="G1428" s="154" t="s">
        <v>5430</v>
      </c>
      <c r="J1428" s="154" t="s">
        <v>29</v>
      </c>
      <c r="K1428" s="154" t="s">
        <v>2426</v>
      </c>
      <c r="N1428" s="155"/>
      <c r="O1428" s="156"/>
      <c r="P1428" s="157"/>
      <c r="Q1428" s="158">
        <v>2</v>
      </c>
      <c r="R1428" s="159">
        <v>2</v>
      </c>
      <c r="S1428" s="160"/>
      <c r="T1428" s="161">
        <v>2</v>
      </c>
      <c r="U1428" s="156"/>
      <c r="V1428" s="162">
        <v>1</v>
      </c>
      <c r="W1428" s="163">
        <v>1</v>
      </c>
      <c r="X1428" s="164"/>
      <c r="Y1428" s="159"/>
      <c r="Z1428" s="161"/>
      <c r="AA1428" s="165"/>
      <c r="AD1428" s="154" t="s">
        <v>5431</v>
      </c>
      <c r="AE1428" s="155"/>
      <c r="AF1428" s="154" t="s">
        <v>5432</v>
      </c>
      <c r="AP1428" s="155"/>
      <c r="AQ1428" s="156"/>
      <c r="AR1428" s="157"/>
      <c r="AS1428" s="158"/>
      <c r="AT1428" s="159"/>
      <c r="AU1428" s="161"/>
      <c r="AV1428" s="156"/>
      <c r="AW1428" s="162"/>
      <c r="AX1428" s="163"/>
      <c r="AY1428" s="164"/>
      <c r="AZ1428" s="159"/>
      <c r="BA1428" s="161"/>
      <c r="BB1428" s="165"/>
      <c r="BF1428" s="155"/>
    </row>
    <row r="1429" spans="1:58" s="154" customFormat="1" ht="15" customHeight="1">
      <c r="A1429" s="168" t="s">
        <v>5089</v>
      </c>
      <c r="B1429" s="23" t="s">
        <v>5433</v>
      </c>
      <c r="C1429" s="154" t="s">
        <v>5250</v>
      </c>
      <c r="D1429" s="155">
        <v>54</v>
      </c>
      <c r="E1429" s="154">
        <v>3</v>
      </c>
      <c r="F1429" s="154" t="s">
        <v>5091</v>
      </c>
      <c r="G1429" s="154" t="s">
        <v>5434</v>
      </c>
      <c r="J1429" s="154" t="s">
        <v>29</v>
      </c>
      <c r="K1429" s="154" t="s">
        <v>2426</v>
      </c>
      <c r="N1429" s="155"/>
      <c r="O1429" s="156"/>
      <c r="P1429" s="157"/>
      <c r="Q1429" s="158">
        <v>3</v>
      </c>
      <c r="R1429" s="159">
        <v>1</v>
      </c>
      <c r="S1429" s="160"/>
      <c r="T1429" s="161">
        <v>3</v>
      </c>
      <c r="U1429" s="156"/>
      <c r="V1429" s="162">
        <v>1</v>
      </c>
      <c r="W1429" s="163">
        <v>1</v>
      </c>
      <c r="X1429" s="164"/>
      <c r="Y1429" s="159"/>
      <c r="Z1429" s="161"/>
      <c r="AA1429" s="165"/>
      <c r="AD1429" s="154" t="s">
        <v>5435</v>
      </c>
      <c r="AE1429" s="155"/>
      <c r="AF1429" s="154" t="s">
        <v>5436</v>
      </c>
      <c r="AP1429" s="155"/>
      <c r="AQ1429" s="156"/>
      <c r="AR1429" s="157"/>
      <c r="AS1429" s="158"/>
      <c r="AT1429" s="159"/>
      <c r="AU1429" s="161"/>
      <c r="AV1429" s="156"/>
      <c r="AW1429" s="162"/>
      <c r="AX1429" s="163"/>
      <c r="AY1429" s="164"/>
      <c r="AZ1429" s="159"/>
      <c r="BA1429" s="161"/>
      <c r="BB1429" s="165"/>
      <c r="BF1429" s="155"/>
    </row>
    <row r="1430" spans="1:58" s="154" customFormat="1" ht="15" customHeight="1">
      <c r="A1430" s="168" t="s">
        <v>5089</v>
      </c>
      <c r="B1430" s="23" t="s">
        <v>5437</v>
      </c>
      <c r="C1430" s="154" t="s">
        <v>5250</v>
      </c>
      <c r="D1430" s="155">
        <v>55</v>
      </c>
      <c r="E1430" s="154">
        <v>3</v>
      </c>
      <c r="F1430" s="154" t="s">
        <v>5091</v>
      </c>
      <c r="G1430" s="154" t="s">
        <v>5438</v>
      </c>
      <c r="J1430" s="154" t="s">
        <v>28</v>
      </c>
      <c r="K1430" s="154" t="s">
        <v>2426</v>
      </c>
      <c r="N1430" s="155"/>
      <c r="O1430" s="156"/>
      <c r="P1430" s="157"/>
      <c r="Q1430" s="158"/>
      <c r="R1430" s="159"/>
      <c r="S1430" s="160"/>
      <c r="T1430" s="161"/>
      <c r="U1430" s="156"/>
      <c r="V1430" s="162"/>
      <c r="W1430" s="163"/>
      <c r="X1430" s="164"/>
      <c r="Y1430" s="159"/>
      <c r="Z1430" s="161"/>
      <c r="AA1430" s="165"/>
      <c r="AD1430" s="154" t="s">
        <v>5439</v>
      </c>
      <c r="AE1430" s="155"/>
      <c r="AF1430" s="154" t="s">
        <v>5440</v>
      </c>
      <c r="AP1430" s="155"/>
      <c r="AQ1430" s="156"/>
      <c r="AR1430" s="157"/>
      <c r="AS1430" s="158"/>
      <c r="AT1430" s="159"/>
      <c r="AU1430" s="161"/>
      <c r="AV1430" s="156"/>
      <c r="AW1430" s="162"/>
      <c r="AX1430" s="163"/>
      <c r="AY1430" s="164"/>
      <c r="AZ1430" s="159"/>
      <c r="BA1430" s="161"/>
      <c r="BB1430" s="165"/>
      <c r="BF1430" s="155"/>
    </row>
    <row r="1431" spans="1:58" s="154" customFormat="1" ht="15" customHeight="1">
      <c r="A1431" s="168" t="s">
        <v>5089</v>
      </c>
      <c r="B1431" s="23" t="s">
        <v>5441</v>
      </c>
      <c r="C1431" s="154" t="s">
        <v>5250</v>
      </c>
      <c r="D1431" s="155">
        <v>56</v>
      </c>
      <c r="E1431" s="154">
        <v>3</v>
      </c>
      <c r="F1431" s="154" t="s">
        <v>5091</v>
      </c>
      <c r="G1431" s="154" t="s">
        <v>5442</v>
      </c>
      <c r="J1431" s="154" t="s">
        <v>28</v>
      </c>
      <c r="K1431" s="154" t="s">
        <v>2426</v>
      </c>
      <c r="N1431" s="155"/>
      <c r="O1431" s="156"/>
      <c r="P1431" s="157"/>
      <c r="Q1431" s="158"/>
      <c r="R1431" s="159"/>
      <c r="S1431" s="160"/>
      <c r="T1431" s="161"/>
      <c r="U1431" s="156"/>
      <c r="V1431" s="162"/>
      <c r="W1431" s="163"/>
      <c r="X1431" s="164"/>
      <c r="Y1431" s="159"/>
      <c r="Z1431" s="161"/>
      <c r="AA1431" s="165"/>
      <c r="AD1431" s="154" t="s">
        <v>5443</v>
      </c>
      <c r="AE1431" s="155"/>
      <c r="AF1431" s="154" t="s">
        <v>5444</v>
      </c>
      <c r="AP1431" s="155"/>
      <c r="AQ1431" s="156"/>
      <c r="AR1431" s="157"/>
      <c r="AS1431" s="158"/>
      <c r="AT1431" s="159"/>
      <c r="AU1431" s="161"/>
      <c r="AV1431" s="156"/>
      <c r="AW1431" s="162"/>
      <c r="AX1431" s="163"/>
      <c r="AY1431" s="164"/>
      <c r="AZ1431" s="159"/>
      <c r="BA1431" s="161"/>
      <c r="BB1431" s="165"/>
      <c r="BF1431" s="155"/>
    </row>
    <row r="1432" spans="1:58" s="154" customFormat="1" ht="15" customHeight="1">
      <c r="A1432" s="168" t="s">
        <v>5089</v>
      </c>
      <c r="B1432" s="23" t="s">
        <v>5445</v>
      </c>
      <c r="C1432" s="154" t="s">
        <v>5250</v>
      </c>
      <c r="D1432" s="155">
        <v>57</v>
      </c>
      <c r="E1432" s="154">
        <v>3</v>
      </c>
      <c r="F1432" s="154" t="s">
        <v>5091</v>
      </c>
      <c r="G1432" s="154" t="s">
        <v>5446</v>
      </c>
      <c r="J1432" s="154" t="s">
        <v>28</v>
      </c>
      <c r="K1432" s="171" t="s">
        <v>2426</v>
      </c>
      <c r="N1432" s="155"/>
      <c r="O1432" s="156"/>
      <c r="P1432" s="157"/>
      <c r="Q1432" s="158"/>
      <c r="R1432" s="159"/>
      <c r="S1432" s="160"/>
      <c r="T1432" s="161"/>
      <c r="U1432" s="156"/>
      <c r="V1432" s="162"/>
      <c r="W1432" s="163"/>
      <c r="X1432" s="164"/>
      <c r="Y1432" s="159"/>
      <c r="Z1432" s="161"/>
      <c r="AA1432" s="165"/>
      <c r="AD1432" s="154" t="s">
        <v>1025</v>
      </c>
      <c r="AE1432" s="155"/>
      <c r="AF1432" s="154" t="s">
        <v>5447</v>
      </c>
      <c r="AP1432" s="155"/>
      <c r="AQ1432" s="156"/>
      <c r="AR1432" s="157"/>
      <c r="AS1432" s="158"/>
      <c r="AT1432" s="159"/>
      <c r="AU1432" s="161"/>
      <c r="AV1432" s="156"/>
      <c r="AW1432" s="162"/>
      <c r="AX1432" s="163"/>
      <c r="AY1432" s="164"/>
      <c r="AZ1432" s="159"/>
      <c r="BA1432" s="161"/>
      <c r="BB1432" s="165"/>
      <c r="BF1432" s="155"/>
    </row>
    <row r="1433" spans="1:58" s="154" customFormat="1" ht="15" customHeight="1">
      <c r="A1433" s="168" t="s">
        <v>5089</v>
      </c>
      <c r="B1433" s="23" t="s">
        <v>5448</v>
      </c>
      <c r="C1433" s="154" t="s">
        <v>5250</v>
      </c>
      <c r="D1433" s="155">
        <v>58</v>
      </c>
      <c r="E1433" s="154">
        <v>3</v>
      </c>
      <c r="F1433" s="154" t="s">
        <v>5091</v>
      </c>
      <c r="G1433" s="154" t="s">
        <v>5449</v>
      </c>
      <c r="J1433" s="154" t="s">
        <v>28</v>
      </c>
      <c r="K1433" s="171" t="s">
        <v>2426</v>
      </c>
      <c r="N1433" s="155"/>
      <c r="O1433" s="156"/>
      <c r="P1433" s="157"/>
      <c r="Q1433" s="158"/>
      <c r="R1433" s="159"/>
      <c r="S1433" s="160"/>
      <c r="T1433" s="161"/>
      <c r="U1433" s="156"/>
      <c r="V1433" s="162"/>
      <c r="W1433" s="163"/>
      <c r="X1433" s="164"/>
      <c r="Y1433" s="159"/>
      <c r="Z1433" s="161"/>
      <c r="AA1433" s="165"/>
      <c r="AD1433" s="154" t="s">
        <v>1025</v>
      </c>
      <c r="AE1433" s="155"/>
      <c r="AF1433" s="154" t="s">
        <v>5450</v>
      </c>
      <c r="AP1433" s="155"/>
      <c r="AQ1433" s="156"/>
      <c r="AR1433" s="157"/>
      <c r="AS1433" s="158"/>
      <c r="AT1433" s="159"/>
      <c r="AU1433" s="161"/>
      <c r="AV1433" s="156"/>
      <c r="AW1433" s="162"/>
      <c r="AX1433" s="163"/>
      <c r="AY1433" s="164"/>
      <c r="AZ1433" s="159"/>
      <c r="BA1433" s="161"/>
      <c r="BB1433" s="165"/>
      <c r="BF1433" s="155"/>
    </row>
    <row r="1434" spans="1:58" s="154" customFormat="1" ht="15" customHeight="1">
      <c r="A1434" s="168" t="s">
        <v>5089</v>
      </c>
      <c r="B1434" s="23" t="s">
        <v>5451</v>
      </c>
      <c r="C1434" s="154" t="s">
        <v>5250</v>
      </c>
      <c r="D1434" s="155">
        <v>59</v>
      </c>
      <c r="E1434" s="154">
        <v>3</v>
      </c>
      <c r="F1434" s="154" t="s">
        <v>5091</v>
      </c>
      <c r="G1434" s="154" t="s">
        <v>5452</v>
      </c>
      <c r="J1434" s="154" t="s">
        <v>28</v>
      </c>
      <c r="K1434" s="154" t="s">
        <v>2426</v>
      </c>
      <c r="N1434" s="155"/>
      <c r="O1434" s="156"/>
      <c r="P1434" s="157"/>
      <c r="Q1434" s="158"/>
      <c r="R1434" s="159"/>
      <c r="S1434" s="160"/>
      <c r="T1434" s="161"/>
      <c r="U1434" s="156"/>
      <c r="V1434" s="162"/>
      <c r="W1434" s="163"/>
      <c r="X1434" s="164"/>
      <c r="Y1434" s="159"/>
      <c r="Z1434" s="161"/>
      <c r="AA1434" s="165"/>
      <c r="AD1434" s="154" t="s">
        <v>479</v>
      </c>
      <c r="AE1434" s="155"/>
      <c r="AF1434" s="154" t="s">
        <v>5453</v>
      </c>
      <c r="AP1434" s="155"/>
      <c r="AQ1434" s="156"/>
      <c r="AR1434" s="157"/>
      <c r="AS1434" s="158"/>
      <c r="AT1434" s="159"/>
      <c r="AU1434" s="161"/>
      <c r="AV1434" s="156"/>
      <c r="AW1434" s="162"/>
      <c r="AX1434" s="163"/>
      <c r="AY1434" s="164"/>
      <c r="AZ1434" s="159"/>
      <c r="BA1434" s="161"/>
      <c r="BB1434" s="165"/>
      <c r="BF1434" s="155"/>
    </row>
    <row r="1435" spans="1:58" s="154" customFormat="1" ht="15" customHeight="1">
      <c r="A1435" s="168" t="s">
        <v>5089</v>
      </c>
      <c r="B1435" s="23" t="s">
        <v>5454</v>
      </c>
      <c r="C1435" s="154" t="s">
        <v>5250</v>
      </c>
      <c r="D1435" s="155">
        <v>60</v>
      </c>
      <c r="E1435" s="154">
        <v>3</v>
      </c>
      <c r="F1435" s="154" t="s">
        <v>5091</v>
      </c>
      <c r="G1435" s="154" t="s">
        <v>5452</v>
      </c>
      <c r="J1435" s="154" t="s">
        <v>28</v>
      </c>
      <c r="K1435" s="154" t="s">
        <v>2426</v>
      </c>
      <c r="N1435" s="155"/>
      <c r="O1435" s="156"/>
      <c r="P1435" s="157"/>
      <c r="Q1435" s="158"/>
      <c r="R1435" s="159"/>
      <c r="S1435" s="160"/>
      <c r="T1435" s="161"/>
      <c r="U1435" s="156"/>
      <c r="V1435" s="162"/>
      <c r="W1435" s="163"/>
      <c r="X1435" s="164"/>
      <c r="Y1435" s="159"/>
      <c r="Z1435" s="161"/>
      <c r="AA1435" s="165"/>
      <c r="AD1435" s="154" t="s">
        <v>479</v>
      </c>
      <c r="AE1435" s="155"/>
      <c r="AF1435" s="154" t="s">
        <v>635</v>
      </c>
      <c r="AP1435" s="155"/>
      <c r="AQ1435" s="156"/>
      <c r="AR1435" s="157"/>
      <c r="AS1435" s="158"/>
      <c r="AT1435" s="159"/>
      <c r="AU1435" s="161"/>
      <c r="AV1435" s="156"/>
      <c r="AW1435" s="162"/>
      <c r="AX1435" s="163"/>
      <c r="AY1435" s="164"/>
      <c r="AZ1435" s="159"/>
      <c r="BA1435" s="161"/>
      <c r="BB1435" s="165"/>
      <c r="BF1435" s="155"/>
    </row>
    <row r="1436" spans="1:58" s="154" customFormat="1" ht="15" customHeight="1">
      <c r="A1436" s="168" t="s">
        <v>5089</v>
      </c>
      <c r="B1436" s="23" t="s">
        <v>5455</v>
      </c>
      <c r="C1436" s="154" t="s">
        <v>5250</v>
      </c>
      <c r="D1436" s="155">
        <v>61</v>
      </c>
      <c r="E1436" s="154">
        <v>3</v>
      </c>
      <c r="F1436" s="154" t="s">
        <v>5091</v>
      </c>
      <c r="G1436" s="154" t="s">
        <v>5456</v>
      </c>
      <c r="J1436" s="154" t="s">
        <v>28</v>
      </c>
      <c r="K1436" s="154" t="s">
        <v>2426</v>
      </c>
      <c r="N1436" s="155"/>
      <c r="O1436" s="156"/>
      <c r="P1436" s="157"/>
      <c r="Q1436" s="158"/>
      <c r="R1436" s="159"/>
      <c r="S1436" s="160"/>
      <c r="T1436" s="161"/>
      <c r="U1436" s="156"/>
      <c r="V1436" s="162"/>
      <c r="W1436" s="163"/>
      <c r="X1436" s="164"/>
      <c r="Y1436" s="159"/>
      <c r="Z1436" s="161"/>
      <c r="AA1436" s="165"/>
      <c r="AD1436" s="154" t="s">
        <v>486</v>
      </c>
      <c r="AE1436" s="155"/>
      <c r="AF1436" s="154" t="s">
        <v>5457</v>
      </c>
      <c r="AP1436" s="155"/>
      <c r="AQ1436" s="156"/>
      <c r="AR1436" s="157"/>
      <c r="AS1436" s="158"/>
      <c r="AT1436" s="159"/>
      <c r="AU1436" s="161"/>
      <c r="AV1436" s="156"/>
      <c r="AW1436" s="162"/>
      <c r="AX1436" s="163"/>
      <c r="AY1436" s="164"/>
      <c r="AZ1436" s="159"/>
      <c r="BA1436" s="161"/>
      <c r="BB1436" s="165"/>
      <c r="BF1436" s="155"/>
    </row>
    <row r="1437" spans="1:58" s="171" customFormat="1" ht="15" customHeight="1">
      <c r="A1437" s="153" t="s">
        <v>5461</v>
      </c>
      <c r="B1437" s="154" t="s">
        <v>5464</v>
      </c>
      <c r="C1437" s="154" t="s">
        <v>5491</v>
      </c>
      <c r="D1437" s="170">
        <v>1</v>
      </c>
      <c r="E1437" s="171">
        <v>2</v>
      </c>
      <c r="F1437" s="154"/>
      <c r="G1437" s="171" t="s">
        <v>1812</v>
      </c>
      <c r="J1437" s="171" t="s">
        <v>257</v>
      </c>
      <c r="K1437" s="171" t="s">
        <v>198</v>
      </c>
      <c r="L1437" s="171">
        <v>2</v>
      </c>
      <c r="N1437" s="170">
        <v>2</v>
      </c>
      <c r="O1437" s="156">
        <v>1</v>
      </c>
      <c r="P1437" s="157"/>
      <c r="Q1437" s="158">
        <v>1</v>
      </c>
      <c r="R1437" s="159"/>
      <c r="S1437" s="160"/>
      <c r="T1437" s="161"/>
      <c r="U1437" s="156"/>
      <c r="V1437" s="162"/>
      <c r="W1437" s="163"/>
      <c r="X1437" s="164"/>
      <c r="Y1437" s="159"/>
      <c r="Z1437" s="161"/>
      <c r="AA1437" s="165"/>
      <c r="AB1437" s="171" t="s">
        <v>1083</v>
      </c>
      <c r="AC1437" s="171" t="s">
        <v>393</v>
      </c>
      <c r="AD1437" s="171" t="s">
        <v>265</v>
      </c>
      <c r="AE1437" s="170"/>
      <c r="AF1437" s="171" t="s">
        <v>5465</v>
      </c>
      <c r="AQ1437" s="156"/>
      <c r="AR1437" s="157"/>
      <c r="AS1437" s="158"/>
      <c r="AT1437" s="159"/>
      <c r="AU1437" s="161"/>
      <c r="AV1437" s="156"/>
      <c r="AW1437" s="162"/>
      <c r="AX1437" s="163"/>
      <c r="AY1437" s="164"/>
      <c r="AZ1437" s="159"/>
      <c r="BA1437" s="161"/>
      <c r="BB1437" s="165"/>
      <c r="BF1437" s="170"/>
    </row>
    <row r="1438" spans="1:58" s="154" customFormat="1" ht="15" customHeight="1">
      <c r="A1438" s="153" t="s">
        <v>5461</v>
      </c>
      <c r="B1438" s="154" t="s">
        <v>5466</v>
      </c>
      <c r="C1438" s="154" t="s">
        <v>5491</v>
      </c>
      <c r="D1438" s="170">
        <v>2</v>
      </c>
      <c r="E1438" s="154">
        <v>2</v>
      </c>
      <c r="G1438" s="154" t="s">
        <v>1380</v>
      </c>
      <c r="J1438" s="171" t="s">
        <v>257</v>
      </c>
      <c r="K1438" s="154" t="s">
        <v>198</v>
      </c>
      <c r="L1438" s="154">
        <v>2</v>
      </c>
      <c r="N1438" s="155">
        <v>2</v>
      </c>
      <c r="O1438" s="156"/>
      <c r="P1438" s="157"/>
      <c r="Q1438" s="158">
        <v>1</v>
      </c>
      <c r="R1438" s="159">
        <v>1</v>
      </c>
      <c r="S1438" s="160"/>
      <c r="T1438" s="161"/>
      <c r="U1438" s="156"/>
      <c r="V1438" s="162"/>
      <c r="W1438" s="163"/>
      <c r="X1438" s="164"/>
      <c r="Y1438" s="159"/>
      <c r="Z1438" s="161"/>
      <c r="AA1438" s="165"/>
      <c r="AB1438" s="154" t="s">
        <v>1087</v>
      </c>
      <c r="AC1438" s="154" t="s">
        <v>258</v>
      </c>
      <c r="AD1438" s="154" t="s">
        <v>298</v>
      </c>
      <c r="AE1438" s="155"/>
      <c r="AF1438" s="154" t="s">
        <v>5467</v>
      </c>
      <c r="AL1438" s="171"/>
      <c r="AO1438" s="155"/>
      <c r="AP1438" s="155"/>
      <c r="AQ1438" s="156"/>
      <c r="AR1438" s="157"/>
      <c r="AS1438" s="158"/>
      <c r="AT1438" s="159"/>
      <c r="AU1438" s="161"/>
      <c r="AV1438" s="156"/>
      <c r="AW1438" s="162"/>
      <c r="AX1438" s="163"/>
      <c r="AY1438" s="164"/>
      <c r="AZ1438" s="159"/>
      <c r="BA1438" s="161"/>
      <c r="BB1438" s="165"/>
      <c r="BE1438" s="155"/>
    </row>
    <row r="1439" spans="1:58" s="154" customFormat="1" ht="15" customHeight="1">
      <c r="A1439" s="153" t="s">
        <v>5461</v>
      </c>
      <c r="B1439" s="153" t="s">
        <v>5468</v>
      </c>
      <c r="C1439" s="154" t="s">
        <v>5491</v>
      </c>
      <c r="D1439" s="170">
        <v>3</v>
      </c>
      <c r="E1439" s="154">
        <v>2</v>
      </c>
      <c r="G1439" s="154" t="s">
        <v>1987</v>
      </c>
      <c r="J1439" s="171" t="s">
        <v>27</v>
      </c>
      <c r="K1439" s="154" t="s">
        <v>199</v>
      </c>
      <c r="L1439" s="154">
        <v>2</v>
      </c>
      <c r="N1439" s="155">
        <v>0</v>
      </c>
      <c r="O1439" s="156">
        <v>1</v>
      </c>
      <c r="P1439" s="157">
        <v>1</v>
      </c>
      <c r="Q1439" s="158"/>
      <c r="R1439" s="159"/>
      <c r="S1439" s="160"/>
      <c r="T1439" s="161"/>
      <c r="U1439" s="156"/>
      <c r="V1439" s="162"/>
      <c r="W1439" s="163"/>
      <c r="X1439" s="164"/>
      <c r="Y1439" s="159"/>
      <c r="Z1439" s="161"/>
      <c r="AA1439" s="165"/>
      <c r="AB1439" s="154" t="s">
        <v>1092</v>
      </c>
      <c r="AD1439" s="154" t="s">
        <v>340</v>
      </c>
      <c r="AE1439" s="155"/>
      <c r="AF1439" s="154" t="s">
        <v>5469</v>
      </c>
      <c r="AL1439" s="171"/>
      <c r="AO1439" s="155"/>
      <c r="AP1439" s="155"/>
      <c r="AQ1439" s="156"/>
      <c r="AR1439" s="157"/>
      <c r="AS1439" s="158"/>
      <c r="AT1439" s="159"/>
      <c r="AU1439" s="161"/>
      <c r="AV1439" s="156"/>
      <c r="AW1439" s="162"/>
      <c r="AX1439" s="163"/>
      <c r="AY1439" s="164"/>
      <c r="AZ1439" s="159"/>
      <c r="BA1439" s="161"/>
      <c r="BB1439" s="165"/>
      <c r="BE1439" s="155"/>
    </row>
    <row r="1440" spans="1:58" s="154" customFormat="1" ht="15" customHeight="1">
      <c r="A1440" s="153" t="s">
        <v>5461</v>
      </c>
      <c r="B1440" s="153" t="s">
        <v>5470</v>
      </c>
      <c r="C1440" s="154" t="s">
        <v>5491</v>
      </c>
      <c r="D1440" s="170">
        <v>4</v>
      </c>
      <c r="E1440" s="154">
        <v>2</v>
      </c>
      <c r="G1440" s="154" t="s">
        <v>1396</v>
      </c>
      <c r="H1440" s="154" t="s">
        <v>5471</v>
      </c>
      <c r="J1440" s="171" t="s">
        <v>257</v>
      </c>
      <c r="K1440" s="154" t="s">
        <v>199</v>
      </c>
      <c r="L1440" s="154">
        <v>4</v>
      </c>
      <c r="N1440" s="155">
        <v>1</v>
      </c>
      <c r="O1440" s="156"/>
      <c r="P1440" s="157">
        <v>2</v>
      </c>
      <c r="Q1440" s="158"/>
      <c r="R1440" s="159"/>
      <c r="S1440" s="160"/>
      <c r="T1440" s="161"/>
      <c r="U1440" s="156"/>
      <c r="V1440" s="162"/>
      <c r="W1440" s="163"/>
      <c r="X1440" s="164"/>
      <c r="Y1440" s="159"/>
      <c r="Z1440" s="161"/>
      <c r="AA1440" s="165"/>
      <c r="AB1440" s="154" t="s">
        <v>1084</v>
      </c>
      <c r="AD1440" s="154" t="s">
        <v>1398</v>
      </c>
      <c r="AE1440" s="155"/>
      <c r="AF1440" s="154" t="s">
        <v>5472</v>
      </c>
      <c r="AL1440" s="171"/>
      <c r="AO1440" s="155"/>
      <c r="AP1440" s="155"/>
      <c r="AQ1440" s="156"/>
      <c r="AR1440" s="157"/>
      <c r="AS1440" s="158"/>
      <c r="AT1440" s="159"/>
      <c r="AU1440" s="161"/>
      <c r="AV1440" s="156"/>
      <c r="AW1440" s="162"/>
      <c r="AX1440" s="163"/>
      <c r="AY1440" s="164"/>
      <c r="AZ1440" s="159"/>
      <c r="BA1440" s="161"/>
      <c r="BB1440" s="165"/>
      <c r="BE1440" s="155"/>
    </row>
    <row r="1441" spans="1:59" s="154" customFormat="1" ht="15" customHeight="1">
      <c r="A1441" s="153" t="s">
        <v>5461</v>
      </c>
      <c r="B1441" s="153" t="s">
        <v>5473</v>
      </c>
      <c r="C1441" s="154" t="s">
        <v>5491</v>
      </c>
      <c r="D1441" s="170">
        <v>5</v>
      </c>
      <c r="E1441" s="154">
        <v>2</v>
      </c>
      <c r="G1441" s="154" t="s">
        <v>1730</v>
      </c>
      <c r="J1441" s="154" t="s">
        <v>27</v>
      </c>
      <c r="K1441" s="154" t="s">
        <v>201</v>
      </c>
      <c r="L1441" s="154">
        <v>2</v>
      </c>
      <c r="N1441" s="154">
        <v>3</v>
      </c>
      <c r="O1441" s="156">
        <v>1</v>
      </c>
      <c r="P1441" s="157">
        <v>2</v>
      </c>
      <c r="Q1441" s="158"/>
      <c r="R1441" s="159"/>
      <c r="S1441" s="160"/>
      <c r="T1441" s="161"/>
      <c r="U1441" s="156"/>
      <c r="V1441" s="162"/>
      <c r="W1441" s="163"/>
      <c r="X1441" s="164"/>
      <c r="Y1441" s="159"/>
      <c r="Z1441" s="161"/>
      <c r="AA1441" s="165"/>
      <c r="AB1441" s="154" t="s">
        <v>2399</v>
      </c>
      <c r="AD1441" s="154" t="s">
        <v>1731</v>
      </c>
      <c r="AF1441" s="154" t="s">
        <v>5474</v>
      </c>
      <c r="AO1441" s="155"/>
      <c r="AQ1441" s="156"/>
      <c r="AR1441" s="157"/>
      <c r="AS1441" s="158"/>
      <c r="AT1441" s="159"/>
      <c r="AU1441" s="161"/>
      <c r="AV1441" s="156"/>
      <c r="AW1441" s="162"/>
      <c r="AX1441" s="163"/>
      <c r="AY1441" s="164"/>
      <c r="AZ1441" s="159"/>
      <c r="BA1441" s="161"/>
      <c r="BB1441" s="165"/>
      <c r="BE1441" s="155"/>
    </row>
    <row r="1442" spans="1:59" s="154" customFormat="1" ht="15" customHeight="1">
      <c r="A1442" s="153" t="s">
        <v>5461</v>
      </c>
      <c r="B1442" s="169" t="s">
        <v>5475</v>
      </c>
      <c r="C1442" s="154" t="s">
        <v>5491</v>
      </c>
      <c r="D1442" s="170">
        <v>6</v>
      </c>
      <c r="E1442" s="154">
        <v>2</v>
      </c>
      <c r="G1442" s="154" t="s">
        <v>1411</v>
      </c>
      <c r="J1442" s="154" t="s">
        <v>27</v>
      </c>
      <c r="K1442" s="154" t="s">
        <v>201</v>
      </c>
      <c r="L1442" s="154">
        <v>2</v>
      </c>
      <c r="N1442" s="154">
        <v>0</v>
      </c>
      <c r="O1442" s="156"/>
      <c r="P1442" s="157">
        <v>1</v>
      </c>
      <c r="Q1442" s="158"/>
      <c r="R1442" s="159">
        <v>2</v>
      </c>
      <c r="S1442" s="160"/>
      <c r="T1442" s="161"/>
      <c r="U1442" s="156"/>
      <c r="V1442" s="162"/>
      <c r="W1442" s="163"/>
      <c r="X1442" s="164"/>
      <c r="Y1442" s="159"/>
      <c r="Z1442" s="161"/>
      <c r="AA1442" s="165"/>
      <c r="AB1442" s="154" t="s">
        <v>5476</v>
      </c>
      <c r="AD1442" s="154" t="s">
        <v>1412</v>
      </c>
      <c r="AF1442" s="154" t="s">
        <v>5477</v>
      </c>
      <c r="AO1442" s="155"/>
      <c r="AQ1442" s="156"/>
      <c r="AR1442" s="157"/>
      <c r="AS1442" s="158"/>
      <c r="AT1442" s="159"/>
      <c r="AU1442" s="161"/>
      <c r="AV1442" s="156"/>
      <c r="AW1442" s="162"/>
      <c r="AX1442" s="163"/>
      <c r="AY1442" s="164"/>
      <c r="AZ1442" s="159"/>
      <c r="BA1442" s="161"/>
      <c r="BB1442" s="165"/>
      <c r="BE1442" s="155"/>
    </row>
    <row r="1443" spans="1:59" s="154" customFormat="1" ht="15" customHeight="1">
      <c r="A1443" s="153" t="s">
        <v>5461</v>
      </c>
      <c r="B1443" s="169" t="s">
        <v>5478</v>
      </c>
      <c r="C1443" s="154" t="s">
        <v>5491</v>
      </c>
      <c r="D1443" s="170">
        <v>7</v>
      </c>
      <c r="E1443" s="154">
        <v>2</v>
      </c>
      <c r="G1443" s="154" t="s">
        <v>1421</v>
      </c>
      <c r="J1443" s="154" t="s">
        <v>257</v>
      </c>
      <c r="K1443" s="154" t="s">
        <v>200</v>
      </c>
      <c r="L1443" s="154">
        <v>2</v>
      </c>
      <c r="N1443" s="154">
        <v>4</v>
      </c>
      <c r="O1443" s="156"/>
      <c r="P1443" s="157">
        <v>1</v>
      </c>
      <c r="Q1443" s="158"/>
      <c r="R1443" s="159"/>
      <c r="S1443" s="160"/>
      <c r="T1443" s="161"/>
      <c r="U1443" s="156"/>
      <c r="V1443" s="162"/>
      <c r="W1443" s="163"/>
      <c r="X1443" s="164"/>
      <c r="Y1443" s="159"/>
      <c r="Z1443" s="161"/>
      <c r="AA1443" s="165"/>
      <c r="AB1443" s="154" t="s">
        <v>205</v>
      </c>
      <c r="AC1443" s="154" t="s">
        <v>378</v>
      </c>
      <c r="AD1443" s="154" t="s">
        <v>279</v>
      </c>
      <c r="AF1443" s="154" t="s">
        <v>5479</v>
      </c>
      <c r="AO1443" s="155"/>
      <c r="AQ1443" s="156"/>
      <c r="AR1443" s="157"/>
      <c r="AS1443" s="158"/>
      <c r="AT1443" s="159"/>
      <c r="AU1443" s="161"/>
      <c r="AV1443" s="156"/>
      <c r="AW1443" s="162"/>
      <c r="AX1443" s="163"/>
      <c r="AY1443" s="164"/>
      <c r="AZ1443" s="159"/>
      <c r="BA1443" s="161"/>
      <c r="BB1443" s="165"/>
      <c r="BE1443" s="155"/>
    </row>
    <row r="1444" spans="1:59" s="154" customFormat="1" ht="15" customHeight="1">
      <c r="A1444" s="153" t="s">
        <v>5461</v>
      </c>
      <c r="B1444" s="153" t="s">
        <v>5480</v>
      </c>
      <c r="C1444" s="154" t="s">
        <v>5491</v>
      </c>
      <c r="D1444" s="170">
        <v>8</v>
      </c>
      <c r="E1444" s="154">
        <v>2</v>
      </c>
      <c r="G1444" s="154" t="s">
        <v>1427</v>
      </c>
      <c r="J1444" s="154" t="s">
        <v>257</v>
      </c>
      <c r="K1444" s="154" t="s">
        <v>200</v>
      </c>
      <c r="L1444" s="154">
        <v>3</v>
      </c>
      <c r="N1444" s="154">
        <v>2</v>
      </c>
      <c r="O1444" s="156">
        <v>2</v>
      </c>
      <c r="P1444" s="157"/>
      <c r="Q1444" s="158"/>
      <c r="R1444" s="159"/>
      <c r="S1444" s="160"/>
      <c r="T1444" s="161"/>
      <c r="U1444" s="156"/>
      <c r="V1444" s="162"/>
      <c r="W1444" s="163"/>
      <c r="X1444" s="164"/>
      <c r="Y1444" s="159"/>
      <c r="Z1444" s="161"/>
      <c r="AA1444" s="165"/>
      <c r="AB1444" s="154" t="s">
        <v>1094</v>
      </c>
      <c r="AC1444" s="154" t="s">
        <v>378</v>
      </c>
      <c r="AD1444" s="154" t="s">
        <v>279</v>
      </c>
      <c r="AF1444" s="154" t="s">
        <v>5481</v>
      </c>
      <c r="AO1444" s="155"/>
      <c r="AQ1444" s="156"/>
      <c r="AR1444" s="157"/>
      <c r="AS1444" s="158"/>
      <c r="AT1444" s="159"/>
      <c r="AU1444" s="161"/>
      <c r="AV1444" s="156"/>
      <c r="AW1444" s="162"/>
      <c r="AX1444" s="163"/>
      <c r="AY1444" s="164"/>
      <c r="AZ1444" s="159"/>
      <c r="BA1444" s="161"/>
      <c r="BB1444" s="165"/>
      <c r="BE1444" s="155"/>
    </row>
    <row r="1445" spans="1:59" s="154" customFormat="1" ht="15" customHeight="1">
      <c r="A1445" s="153" t="s">
        <v>5461</v>
      </c>
      <c r="B1445" s="153" t="s">
        <v>5482</v>
      </c>
      <c r="C1445" s="154" t="s">
        <v>5491</v>
      </c>
      <c r="D1445" s="170">
        <v>9</v>
      </c>
      <c r="E1445" s="154">
        <v>2</v>
      </c>
      <c r="G1445" s="154" t="s">
        <v>1738</v>
      </c>
      <c r="J1445" s="154" t="s">
        <v>27</v>
      </c>
      <c r="K1445" s="154" t="s">
        <v>202</v>
      </c>
      <c r="L1445" s="154">
        <v>2</v>
      </c>
      <c r="N1445" s="172">
        <v>2</v>
      </c>
      <c r="O1445" s="156"/>
      <c r="P1445" s="157"/>
      <c r="Q1445" s="158">
        <v>2</v>
      </c>
      <c r="R1445" s="159">
        <v>1</v>
      </c>
      <c r="S1445" s="160"/>
      <c r="T1445" s="161"/>
      <c r="U1445" s="156"/>
      <c r="V1445" s="162"/>
      <c r="W1445" s="163"/>
      <c r="X1445" s="164"/>
      <c r="Y1445" s="159"/>
      <c r="Z1445" s="161"/>
      <c r="AA1445" s="165"/>
      <c r="AB1445" s="154" t="s">
        <v>5483</v>
      </c>
      <c r="AD1445" s="154" t="s">
        <v>372</v>
      </c>
      <c r="AF1445" s="154" t="s">
        <v>5484</v>
      </c>
      <c r="AO1445" s="155"/>
      <c r="AQ1445" s="156"/>
      <c r="AR1445" s="157"/>
      <c r="AS1445" s="158"/>
      <c r="AT1445" s="159"/>
      <c r="AU1445" s="161"/>
      <c r="AV1445" s="156"/>
      <c r="AW1445" s="162"/>
      <c r="AX1445" s="163"/>
      <c r="AY1445" s="164"/>
      <c r="AZ1445" s="159"/>
      <c r="BA1445" s="161"/>
      <c r="BB1445" s="165"/>
      <c r="BE1445" s="155"/>
    </row>
    <row r="1446" spans="1:59" s="154" customFormat="1" ht="15" customHeight="1">
      <c r="A1446" s="153" t="s">
        <v>5461</v>
      </c>
      <c r="B1446" s="153" t="s">
        <v>5485</v>
      </c>
      <c r="C1446" s="154" t="s">
        <v>5491</v>
      </c>
      <c r="D1446" s="170">
        <v>10</v>
      </c>
      <c r="E1446" s="154">
        <v>2</v>
      </c>
      <c r="G1446" s="154" t="s">
        <v>1995</v>
      </c>
      <c r="J1446" s="154" t="s">
        <v>312</v>
      </c>
      <c r="K1446" s="154" t="s">
        <v>202</v>
      </c>
      <c r="L1446" s="154">
        <v>3</v>
      </c>
      <c r="N1446" s="154">
        <v>1</v>
      </c>
      <c r="O1446" s="156"/>
      <c r="P1446" s="157"/>
      <c r="Q1446" s="158"/>
      <c r="R1446" s="159"/>
      <c r="S1446" s="160">
        <v>2</v>
      </c>
      <c r="T1446" s="161"/>
      <c r="U1446" s="156"/>
      <c r="V1446" s="162"/>
      <c r="W1446" s="163"/>
      <c r="X1446" s="164"/>
      <c r="Y1446" s="159"/>
      <c r="Z1446" s="161"/>
      <c r="AA1446" s="165"/>
      <c r="AB1446" s="154" t="s">
        <v>1082</v>
      </c>
      <c r="AC1446" s="154" t="s">
        <v>275</v>
      </c>
      <c r="AD1446" s="154" t="s">
        <v>412</v>
      </c>
      <c r="AF1446" s="154" t="s">
        <v>5486</v>
      </c>
      <c r="AO1446" s="155"/>
      <c r="AQ1446" s="156"/>
      <c r="AR1446" s="157"/>
      <c r="AS1446" s="158"/>
      <c r="AT1446" s="159"/>
      <c r="AU1446" s="161"/>
      <c r="AV1446" s="156"/>
      <c r="AW1446" s="162"/>
      <c r="AX1446" s="163"/>
      <c r="AY1446" s="164"/>
      <c r="AZ1446" s="159"/>
      <c r="BA1446" s="161"/>
      <c r="BB1446" s="165"/>
      <c r="BE1446" s="155"/>
    </row>
    <row r="1447" spans="1:59" s="154" customFormat="1" ht="15" customHeight="1">
      <c r="A1447" s="153" t="s">
        <v>5461</v>
      </c>
      <c r="B1447" s="153" t="s">
        <v>5487</v>
      </c>
      <c r="C1447" s="154" t="s">
        <v>5491</v>
      </c>
      <c r="D1447" s="170">
        <v>11</v>
      </c>
      <c r="E1447" s="154">
        <v>2</v>
      </c>
      <c r="G1447" s="154" t="s">
        <v>5488</v>
      </c>
      <c r="J1447" s="154" t="s">
        <v>28</v>
      </c>
      <c r="K1447" s="154" t="s">
        <v>26</v>
      </c>
      <c r="M1447" s="154" t="s">
        <v>691</v>
      </c>
      <c r="O1447" s="156"/>
      <c r="P1447" s="157"/>
      <c r="Q1447" s="158"/>
      <c r="R1447" s="159"/>
      <c r="S1447" s="160"/>
      <c r="T1447" s="161"/>
      <c r="U1447" s="156"/>
      <c r="V1447" s="162"/>
      <c r="W1447" s="163"/>
      <c r="X1447" s="164"/>
      <c r="Y1447" s="159"/>
      <c r="Z1447" s="161"/>
      <c r="AA1447" s="165"/>
      <c r="AD1447" s="154" t="s">
        <v>5489</v>
      </c>
      <c r="AF1447" s="154" t="s">
        <v>5490</v>
      </c>
      <c r="AO1447" s="155"/>
      <c r="AQ1447" s="156"/>
      <c r="AR1447" s="157"/>
      <c r="AS1447" s="158"/>
      <c r="AT1447" s="159"/>
      <c r="AU1447" s="161"/>
      <c r="AV1447" s="156"/>
      <c r="AW1447" s="162"/>
      <c r="AX1447" s="163"/>
      <c r="AY1447" s="164"/>
      <c r="AZ1447" s="159"/>
      <c r="BA1447" s="161"/>
      <c r="BB1447" s="165"/>
      <c r="BE1447" s="155"/>
    </row>
    <row r="1448" spans="1:59" s="171" customFormat="1" ht="15" customHeight="1">
      <c r="A1448" s="153" t="s">
        <v>5461</v>
      </c>
      <c r="B1448" s="154" t="s">
        <v>5492</v>
      </c>
      <c r="C1448" s="154" t="s">
        <v>5491</v>
      </c>
      <c r="D1448" s="170">
        <v>12</v>
      </c>
      <c r="E1448" s="171">
        <v>1</v>
      </c>
      <c r="F1448" s="171" t="s">
        <v>5493</v>
      </c>
      <c r="G1448" s="171" t="s">
        <v>5493</v>
      </c>
      <c r="J1448" s="171" t="s">
        <v>618</v>
      </c>
      <c r="K1448" s="171" t="s">
        <v>2426</v>
      </c>
      <c r="N1448" s="170"/>
      <c r="O1448" s="156"/>
      <c r="P1448" s="157"/>
      <c r="Q1448" s="158"/>
      <c r="R1448" s="159"/>
      <c r="S1448" s="160"/>
      <c r="T1448" s="161"/>
      <c r="U1448" s="156"/>
      <c r="V1448" s="162"/>
      <c r="W1448" s="163"/>
      <c r="X1448" s="164"/>
      <c r="Y1448" s="159"/>
      <c r="Z1448" s="161"/>
      <c r="AA1448" s="165"/>
      <c r="AE1448" s="170"/>
      <c r="AF1448" s="171" t="s">
        <v>5632</v>
      </c>
      <c r="AI1448" s="171" t="s">
        <v>5493</v>
      </c>
      <c r="AL1448" s="171" t="s">
        <v>618</v>
      </c>
      <c r="AM1448" s="171" t="s">
        <v>2426</v>
      </c>
      <c r="AQ1448" s="156"/>
      <c r="AR1448" s="157"/>
      <c r="AS1448" s="158"/>
      <c r="AT1448" s="159"/>
      <c r="AU1448" s="161"/>
      <c r="AV1448" s="156"/>
      <c r="AW1448" s="162"/>
      <c r="AX1448" s="163"/>
      <c r="AY1448" s="164"/>
      <c r="AZ1448" s="159"/>
      <c r="BA1448" s="161"/>
      <c r="BB1448" s="165"/>
      <c r="BF1448" s="170"/>
      <c r="BG1448" s="171" t="s">
        <v>5633</v>
      </c>
    </row>
    <row r="1449" spans="1:59" s="154" customFormat="1" ht="15" customHeight="1">
      <c r="A1449" s="153" t="s">
        <v>5461</v>
      </c>
      <c r="B1449" s="154" t="s">
        <v>5494</v>
      </c>
      <c r="C1449" s="154" t="s">
        <v>5491</v>
      </c>
      <c r="D1449" s="170">
        <v>13</v>
      </c>
      <c r="E1449" s="154">
        <v>1</v>
      </c>
      <c r="F1449" s="171" t="s">
        <v>5493</v>
      </c>
      <c r="G1449" s="154" t="s">
        <v>5495</v>
      </c>
      <c r="J1449" s="171" t="s">
        <v>31</v>
      </c>
      <c r="K1449" s="154" t="s">
        <v>2426</v>
      </c>
      <c r="N1449" s="155"/>
      <c r="O1449" s="156"/>
      <c r="P1449" s="157"/>
      <c r="Q1449" s="158"/>
      <c r="R1449" s="159"/>
      <c r="S1449" s="160"/>
      <c r="T1449" s="161"/>
      <c r="U1449" s="156"/>
      <c r="V1449" s="162"/>
      <c r="W1449" s="163"/>
      <c r="X1449" s="164"/>
      <c r="Y1449" s="159"/>
      <c r="Z1449" s="161"/>
      <c r="AA1449" s="165"/>
      <c r="AD1449" s="154" t="s">
        <v>242</v>
      </c>
      <c r="AE1449" s="155"/>
      <c r="AI1449" s="154" t="s">
        <v>5495</v>
      </c>
      <c r="AL1449" s="171" t="s">
        <v>31</v>
      </c>
      <c r="AM1449" s="154" t="s">
        <v>2426</v>
      </c>
      <c r="AO1449" s="155"/>
      <c r="AP1449" s="155"/>
      <c r="AQ1449" s="156"/>
      <c r="AR1449" s="157"/>
      <c r="AS1449" s="158"/>
      <c r="AT1449" s="159"/>
      <c r="AU1449" s="161"/>
      <c r="AV1449" s="156"/>
      <c r="AW1449" s="162"/>
      <c r="AX1449" s="163"/>
      <c r="AY1449" s="164">
        <v>4</v>
      </c>
      <c r="AZ1449" s="159" t="s">
        <v>1073</v>
      </c>
      <c r="BA1449" s="161"/>
      <c r="BB1449" s="165"/>
      <c r="BE1449" s="155" t="s">
        <v>242</v>
      </c>
      <c r="BG1449" s="154" t="s">
        <v>5634</v>
      </c>
    </row>
    <row r="1450" spans="1:59" s="154" customFormat="1" ht="15" customHeight="1">
      <c r="A1450" s="153" t="s">
        <v>5461</v>
      </c>
      <c r="B1450" s="153" t="s">
        <v>5496</v>
      </c>
      <c r="C1450" s="154" t="s">
        <v>5491</v>
      </c>
      <c r="D1450" s="170">
        <v>14</v>
      </c>
      <c r="E1450" s="154">
        <v>2</v>
      </c>
      <c r="F1450" s="171" t="s">
        <v>5493</v>
      </c>
      <c r="G1450" s="154" t="s">
        <v>5497</v>
      </c>
      <c r="J1450" s="171" t="s">
        <v>29</v>
      </c>
      <c r="K1450" s="154" t="s">
        <v>2426</v>
      </c>
      <c r="N1450" s="155"/>
      <c r="O1450" s="156"/>
      <c r="P1450" s="157"/>
      <c r="Q1450" s="158">
        <v>2</v>
      </c>
      <c r="R1450" s="159">
        <v>4</v>
      </c>
      <c r="S1450" s="160"/>
      <c r="T1450" s="161">
        <v>3</v>
      </c>
      <c r="U1450" s="156"/>
      <c r="V1450" s="162">
        <v>1</v>
      </c>
      <c r="W1450" s="163"/>
      <c r="X1450" s="164"/>
      <c r="Y1450" s="159"/>
      <c r="Z1450" s="161"/>
      <c r="AA1450" s="165"/>
      <c r="AD1450" s="154" t="s">
        <v>5498</v>
      </c>
      <c r="AE1450" s="155"/>
      <c r="AF1450" s="154" t="s">
        <v>5635</v>
      </c>
      <c r="AL1450" s="171"/>
      <c r="AO1450" s="155"/>
      <c r="AP1450" s="155"/>
      <c r="AQ1450" s="156"/>
      <c r="AR1450" s="157"/>
      <c r="AS1450" s="158"/>
      <c r="AT1450" s="159"/>
      <c r="AU1450" s="161"/>
      <c r="AV1450" s="156"/>
      <c r="AW1450" s="162"/>
      <c r="AX1450" s="163"/>
      <c r="AY1450" s="164"/>
      <c r="AZ1450" s="159"/>
      <c r="BA1450" s="161"/>
      <c r="BB1450" s="165"/>
      <c r="BE1450" s="155"/>
    </row>
    <row r="1451" spans="1:59" s="154" customFormat="1" ht="15" customHeight="1">
      <c r="A1451" s="153" t="s">
        <v>5461</v>
      </c>
      <c r="B1451" s="153" t="s">
        <v>5499</v>
      </c>
      <c r="C1451" s="154" t="s">
        <v>5491</v>
      </c>
      <c r="D1451" s="170">
        <v>15</v>
      </c>
      <c r="E1451" s="154">
        <v>1</v>
      </c>
      <c r="F1451" s="154" t="s">
        <v>5500</v>
      </c>
      <c r="G1451" s="154" t="s">
        <v>5500</v>
      </c>
      <c r="J1451" s="171" t="s">
        <v>618</v>
      </c>
      <c r="K1451" s="154" t="s">
        <v>2426</v>
      </c>
      <c r="N1451" s="155"/>
      <c r="O1451" s="156"/>
      <c r="P1451" s="157"/>
      <c r="Q1451" s="158"/>
      <c r="R1451" s="159"/>
      <c r="S1451" s="160"/>
      <c r="T1451" s="161"/>
      <c r="U1451" s="156"/>
      <c r="V1451" s="162"/>
      <c r="W1451" s="163"/>
      <c r="X1451" s="164"/>
      <c r="Y1451" s="159"/>
      <c r="Z1451" s="161"/>
      <c r="AA1451" s="165"/>
      <c r="AE1451" s="155"/>
      <c r="AF1451" s="154" t="s">
        <v>5636</v>
      </c>
      <c r="AI1451" s="154" t="s">
        <v>5500</v>
      </c>
      <c r="AL1451" s="171" t="s">
        <v>618</v>
      </c>
      <c r="AM1451" s="154" t="s">
        <v>2426</v>
      </c>
      <c r="AO1451" s="155"/>
      <c r="AP1451" s="155"/>
      <c r="AQ1451" s="156"/>
      <c r="AR1451" s="157"/>
      <c r="AS1451" s="158"/>
      <c r="AT1451" s="159"/>
      <c r="AU1451" s="161"/>
      <c r="AV1451" s="156"/>
      <c r="AW1451" s="162"/>
      <c r="AX1451" s="163"/>
      <c r="AY1451" s="164"/>
      <c r="AZ1451" s="159"/>
      <c r="BA1451" s="161"/>
      <c r="BB1451" s="165"/>
      <c r="BE1451" s="155"/>
      <c r="BG1451" s="154" t="s">
        <v>5501</v>
      </c>
    </row>
    <row r="1452" spans="1:59" s="154" customFormat="1" ht="15" customHeight="1">
      <c r="A1452" s="153" t="s">
        <v>5461</v>
      </c>
      <c r="B1452" s="153" t="s">
        <v>5502</v>
      </c>
      <c r="C1452" s="154" t="s">
        <v>5491</v>
      </c>
      <c r="D1452" s="170">
        <v>16</v>
      </c>
      <c r="E1452" s="154">
        <v>1</v>
      </c>
      <c r="F1452" s="154" t="s">
        <v>5500</v>
      </c>
      <c r="G1452" s="154" t="s">
        <v>1571</v>
      </c>
      <c r="J1452" s="154" t="s">
        <v>31</v>
      </c>
      <c r="K1452" s="154" t="s">
        <v>2426</v>
      </c>
      <c r="O1452" s="156"/>
      <c r="P1452" s="157"/>
      <c r="Q1452" s="158"/>
      <c r="R1452" s="159"/>
      <c r="S1452" s="160"/>
      <c r="T1452" s="161"/>
      <c r="U1452" s="156"/>
      <c r="V1452" s="162"/>
      <c r="W1452" s="163"/>
      <c r="X1452" s="164"/>
      <c r="Y1452" s="159"/>
      <c r="Z1452" s="161"/>
      <c r="AA1452" s="165"/>
      <c r="AD1452" s="154" t="s">
        <v>1572</v>
      </c>
      <c r="AI1452" s="154" t="s">
        <v>1571</v>
      </c>
      <c r="AL1452" s="154" t="s">
        <v>31</v>
      </c>
      <c r="AM1452" s="154" t="s">
        <v>2426</v>
      </c>
      <c r="AO1452" s="155"/>
      <c r="AQ1452" s="156"/>
      <c r="AR1452" s="157"/>
      <c r="AS1452" s="158"/>
      <c r="AT1452" s="159"/>
      <c r="AU1452" s="161"/>
      <c r="AV1452" s="156"/>
      <c r="AW1452" s="162"/>
      <c r="AX1452" s="163"/>
      <c r="AY1452" s="164">
        <v>4</v>
      </c>
      <c r="AZ1452" s="159">
        <v>0</v>
      </c>
      <c r="BA1452" s="161"/>
      <c r="BB1452" s="165"/>
      <c r="BE1452" s="155" t="s">
        <v>1572</v>
      </c>
      <c r="BG1452" s="154" t="s">
        <v>5637</v>
      </c>
    </row>
    <row r="1453" spans="1:59" s="154" customFormat="1" ht="15" customHeight="1">
      <c r="A1453" s="153" t="s">
        <v>5461</v>
      </c>
      <c r="B1453" s="169" t="s">
        <v>5503</v>
      </c>
      <c r="C1453" s="154" t="s">
        <v>5491</v>
      </c>
      <c r="D1453" s="170">
        <v>17</v>
      </c>
      <c r="E1453" s="154">
        <v>1</v>
      </c>
      <c r="F1453" s="154" t="s">
        <v>5500</v>
      </c>
      <c r="G1453" s="154" t="s">
        <v>5504</v>
      </c>
      <c r="J1453" s="154" t="s">
        <v>31</v>
      </c>
      <c r="K1453" s="154" t="s">
        <v>2426</v>
      </c>
      <c r="O1453" s="156"/>
      <c r="P1453" s="157"/>
      <c r="Q1453" s="158"/>
      <c r="R1453" s="159"/>
      <c r="S1453" s="160"/>
      <c r="T1453" s="161"/>
      <c r="U1453" s="156"/>
      <c r="V1453" s="162"/>
      <c r="W1453" s="163"/>
      <c r="X1453" s="164"/>
      <c r="Y1453" s="159"/>
      <c r="Z1453" s="161"/>
      <c r="AA1453" s="165"/>
      <c r="AD1453" s="154" t="s">
        <v>1572</v>
      </c>
      <c r="AI1453" s="154" t="s">
        <v>5504</v>
      </c>
      <c r="AL1453" s="154" t="s">
        <v>31</v>
      </c>
      <c r="AM1453" s="154" t="s">
        <v>2426</v>
      </c>
      <c r="AO1453" s="155"/>
      <c r="AQ1453" s="156"/>
      <c r="AR1453" s="157"/>
      <c r="AS1453" s="158"/>
      <c r="AT1453" s="159"/>
      <c r="AU1453" s="161"/>
      <c r="AV1453" s="156"/>
      <c r="AW1453" s="162"/>
      <c r="AX1453" s="163"/>
      <c r="AY1453" s="164">
        <v>1</v>
      </c>
      <c r="AZ1453" s="159">
        <v>0</v>
      </c>
      <c r="BA1453" s="161"/>
      <c r="BB1453" s="165"/>
      <c r="BE1453" s="155" t="s">
        <v>1572</v>
      </c>
      <c r="BG1453" s="154" t="s">
        <v>5505</v>
      </c>
    </row>
    <row r="1454" spans="1:59" s="154" customFormat="1" ht="15" customHeight="1">
      <c r="A1454" s="153" t="s">
        <v>5461</v>
      </c>
      <c r="B1454" s="169" t="s">
        <v>5506</v>
      </c>
      <c r="C1454" s="154" t="s">
        <v>5491</v>
      </c>
      <c r="D1454" s="170">
        <v>18</v>
      </c>
      <c r="E1454" s="154">
        <v>2</v>
      </c>
      <c r="F1454" s="154" t="s">
        <v>5500</v>
      </c>
      <c r="G1454" s="154" t="s">
        <v>5507</v>
      </c>
      <c r="J1454" s="154" t="s">
        <v>28</v>
      </c>
      <c r="K1454" s="154" t="s">
        <v>2426</v>
      </c>
      <c r="O1454" s="156"/>
      <c r="P1454" s="157"/>
      <c r="Q1454" s="158"/>
      <c r="R1454" s="159"/>
      <c r="S1454" s="160"/>
      <c r="T1454" s="161"/>
      <c r="U1454" s="156"/>
      <c r="V1454" s="162"/>
      <c r="W1454" s="163"/>
      <c r="X1454" s="164"/>
      <c r="Y1454" s="159"/>
      <c r="Z1454" s="161"/>
      <c r="AA1454" s="165"/>
      <c r="AD1454" s="154" t="s">
        <v>5508</v>
      </c>
      <c r="AF1454" s="154" t="s">
        <v>5638</v>
      </c>
      <c r="AO1454" s="155"/>
      <c r="AQ1454" s="156"/>
      <c r="AR1454" s="157"/>
      <c r="AS1454" s="158"/>
      <c r="AT1454" s="159"/>
      <c r="AU1454" s="161"/>
      <c r="AV1454" s="156"/>
      <c r="AW1454" s="162"/>
      <c r="AX1454" s="163"/>
      <c r="AY1454" s="164"/>
      <c r="AZ1454" s="159"/>
      <c r="BA1454" s="161"/>
      <c r="BB1454" s="165"/>
      <c r="BE1454" s="155"/>
    </row>
    <row r="1455" spans="1:59" s="154" customFormat="1" ht="15" customHeight="1">
      <c r="A1455" s="153" t="s">
        <v>5461</v>
      </c>
      <c r="B1455" s="153" t="s">
        <v>5509</v>
      </c>
      <c r="C1455" s="154" t="s">
        <v>5491</v>
      </c>
      <c r="D1455" s="170">
        <v>19</v>
      </c>
      <c r="E1455" s="154">
        <v>2</v>
      </c>
      <c r="F1455" s="154" t="s">
        <v>5500</v>
      </c>
      <c r="G1455" s="154" t="s">
        <v>5510</v>
      </c>
      <c r="J1455" s="154" t="s">
        <v>28</v>
      </c>
      <c r="K1455" s="154" t="s">
        <v>2426</v>
      </c>
      <c r="O1455" s="156"/>
      <c r="P1455" s="157"/>
      <c r="Q1455" s="158"/>
      <c r="R1455" s="159"/>
      <c r="S1455" s="160"/>
      <c r="T1455" s="161"/>
      <c r="U1455" s="156"/>
      <c r="V1455" s="162"/>
      <c r="W1455" s="163"/>
      <c r="X1455" s="164"/>
      <c r="Y1455" s="159"/>
      <c r="Z1455" s="161"/>
      <c r="AA1455" s="165"/>
      <c r="AD1455" s="154" t="s">
        <v>5508</v>
      </c>
      <c r="AF1455" s="154" t="s">
        <v>5639</v>
      </c>
      <c r="AO1455" s="155"/>
      <c r="AQ1455" s="156"/>
      <c r="AR1455" s="157"/>
      <c r="AS1455" s="158"/>
      <c r="AT1455" s="159"/>
      <c r="AU1455" s="161"/>
      <c r="AV1455" s="156"/>
      <c r="AW1455" s="162"/>
      <c r="AX1455" s="163"/>
      <c r="AY1455" s="164"/>
      <c r="AZ1455" s="159"/>
      <c r="BA1455" s="161"/>
      <c r="BB1455" s="165"/>
      <c r="BE1455" s="155"/>
    </row>
    <row r="1456" spans="1:59" s="154" customFormat="1" ht="15" customHeight="1">
      <c r="A1456" s="153" t="s">
        <v>5461</v>
      </c>
      <c r="B1456" s="153" t="s">
        <v>5511</v>
      </c>
      <c r="C1456" s="154" t="s">
        <v>5491</v>
      </c>
      <c r="D1456" s="170">
        <v>20</v>
      </c>
      <c r="E1456" s="154">
        <v>1</v>
      </c>
      <c r="F1456" s="154" t="s">
        <v>5512</v>
      </c>
      <c r="G1456" s="154" t="s">
        <v>5512</v>
      </c>
      <c r="J1456" s="154" t="s">
        <v>618</v>
      </c>
      <c r="K1456" s="154" t="s">
        <v>2426</v>
      </c>
      <c r="N1456" s="172"/>
      <c r="O1456" s="156"/>
      <c r="P1456" s="157"/>
      <c r="Q1456" s="158"/>
      <c r="R1456" s="159"/>
      <c r="S1456" s="160"/>
      <c r="T1456" s="161"/>
      <c r="U1456" s="156"/>
      <c r="V1456" s="162"/>
      <c r="W1456" s="163"/>
      <c r="X1456" s="164"/>
      <c r="Y1456" s="159"/>
      <c r="Z1456" s="161"/>
      <c r="AA1456" s="165"/>
      <c r="AF1456" s="154" t="s">
        <v>5640</v>
      </c>
      <c r="AI1456" s="154" t="s">
        <v>5512</v>
      </c>
      <c r="AL1456" s="154" t="s">
        <v>618</v>
      </c>
      <c r="AM1456" s="154" t="s">
        <v>2426</v>
      </c>
      <c r="AO1456" s="155"/>
      <c r="AQ1456" s="156"/>
      <c r="AR1456" s="157"/>
      <c r="AS1456" s="158"/>
      <c r="AT1456" s="159"/>
      <c r="AU1456" s="161"/>
      <c r="AV1456" s="156"/>
      <c r="AW1456" s="162"/>
      <c r="AX1456" s="163"/>
      <c r="AY1456" s="164"/>
      <c r="AZ1456" s="159"/>
      <c r="BA1456" s="161"/>
      <c r="BB1456" s="165"/>
      <c r="BE1456" s="155"/>
      <c r="BG1456" s="154" t="s">
        <v>5641</v>
      </c>
    </row>
    <row r="1457" spans="1:59" s="154" customFormat="1" ht="15" customHeight="1">
      <c r="A1457" s="153" t="s">
        <v>5461</v>
      </c>
      <c r="B1457" s="153" t="s">
        <v>5513</v>
      </c>
      <c r="C1457" s="154" t="s">
        <v>5491</v>
      </c>
      <c r="D1457" s="170">
        <v>21</v>
      </c>
      <c r="E1457" s="154">
        <v>1</v>
      </c>
      <c r="F1457" s="154" t="s">
        <v>5512</v>
      </c>
      <c r="G1457" s="154" t="s">
        <v>1770</v>
      </c>
      <c r="J1457" s="154" t="s">
        <v>31</v>
      </c>
      <c r="K1457" s="154" t="s">
        <v>2426</v>
      </c>
      <c r="O1457" s="156"/>
      <c r="P1457" s="157"/>
      <c r="Q1457" s="158"/>
      <c r="R1457" s="159"/>
      <c r="S1457" s="160"/>
      <c r="T1457" s="161"/>
      <c r="U1457" s="156"/>
      <c r="V1457" s="162"/>
      <c r="W1457" s="163"/>
      <c r="X1457" s="164"/>
      <c r="Y1457" s="159"/>
      <c r="Z1457" s="161"/>
      <c r="AA1457" s="165"/>
      <c r="AD1457" s="154" t="s">
        <v>1772</v>
      </c>
      <c r="AI1457" s="154" t="s">
        <v>1770</v>
      </c>
      <c r="AJ1457" s="154" t="s">
        <v>5514</v>
      </c>
      <c r="AL1457" s="154" t="s">
        <v>31</v>
      </c>
      <c r="AM1457" s="154" t="s">
        <v>2426</v>
      </c>
      <c r="AO1457" s="155"/>
      <c r="AQ1457" s="156"/>
      <c r="AR1457" s="157"/>
      <c r="AS1457" s="158"/>
      <c r="AT1457" s="159"/>
      <c r="AU1457" s="161"/>
      <c r="AV1457" s="156"/>
      <c r="AW1457" s="162"/>
      <c r="AX1457" s="163"/>
      <c r="AY1457" s="164">
        <v>3</v>
      </c>
      <c r="AZ1457" s="159" t="s">
        <v>1073</v>
      </c>
      <c r="BA1457" s="161"/>
      <c r="BB1457" s="165">
        <v>1</v>
      </c>
      <c r="BE1457" s="155" t="s">
        <v>1772</v>
      </c>
      <c r="BG1457" s="154" t="s">
        <v>5642</v>
      </c>
    </row>
    <row r="1458" spans="1:59" s="154" customFormat="1" ht="15" customHeight="1">
      <c r="A1458" s="153" t="s">
        <v>5461</v>
      </c>
      <c r="B1458" s="153" t="s">
        <v>5515</v>
      </c>
      <c r="C1458" s="154" t="s">
        <v>5491</v>
      </c>
      <c r="D1458" s="170">
        <v>22</v>
      </c>
      <c r="E1458" s="154">
        <v>1</v>
      </c>
      <c r="F1458" s="154" t="s">
        <v>5512</v>
      </c>
      <c r="G1458" s="154" t="s">
        <v>1770</v>
      </c>
      <c r="J1458" s="154" t="s">
        <v>31</v>
      </c>
      <c r="K1458" s="154" t="s">
        <v>2426</v>
      </c>
      <c r="O1458" s="156"/>
      <c r="P1458" s="157"/>
      <c r="Q1458" s="158"/>
      <c r="R1458" s="159"/>
      <c r="S1458" s="160"/>
      <c r="T1458" s="161"/>
      <c r="U1458" s="156"/>
      <c r="V1458" s="162"/>
      <c r="W1458" s="163"/>
      <c r="X1458" s="164"/>
      <c r="Y1458" s="159"/>
      <c r="Z1458" s="161"/>
      <c r="AA1458" s="165"/>
      <c r="AD1458" s="154" t="s">
        <v>1772</v>
      </c>
      <c r="AI1458" s="154" t="s">
        <v>1770</v>
      </c>
      <c r="AJ1458" s="154" t="s">
        <v>5516</v>
      </c>
      <c r="AL1458" s="154" t="s">
        <v>31</v>
      </c>
      <c r="AM1458" s="154" t="s">
        <v>2426</v>
      </c>
      <c r="AO1458" s="155"/>
      <c r="AQ1458" s="156"/>
      <c r="AR1458" s="157"/>
      <c r="AS1458" s="158"/>
      <c r="AT1458" s="159"/>
      <c r="AU1458" s="161"/>
      <c r="AV1458" s="156"/>
      <c r="AW1458" s="162"/>
      <c r="AX1458" s="163"/>
      <c r="AY1458" s="164">
        <v>5</v>
      </c>
      <c r="AZ1458" s="159">
        <v>0</v>
      </c>
      <c r="BA1458" s="161"/>
      <c r="BB1458" s="165"/>
      <c r="BE1458" s="155" t="s">
        <v>1772</v>
      </c>
      <c r="BG1458" s="154" t="s">
        <v>5643</v>
      </c>
    </row>
    <row r="1459" spans="1:59" s="154" customFormat="1" ht="15" customHeight="1">
      <c r="A1459" s="153" t="s">
        <v>5461</v>
      </c>
      <c r="B1459" s="153" t="s">
        <v>5517</v>
      </c>
      <c r="C1459" s="154" t="s">
        <v>5491</v>
      </c>
      <c r="D1459" s="170">
        <v>23</v>
      </c>
      <c r="E1459" s="154">
        <v>2</v>
      </c>
      <c r="F1459" s="154" t="s">
        <v>5512</v>
      </c>
      <c r="G1459" s="154" t="s">
        <v>5518</v>
      </c>
      <c r="J1459" s="154" t="s">
        <v>28</v>
      </c>
      <c r="K1459" s="154" t="s">
        <v>2426</v>
      </c>
      <c r="O1459" s="156"/>
      <c r="P1459" s="157"/>
      <c r="Q1459" s="158"/>
      <c r="R1459" s="159"/>
      <c r="S1459" s="160"/>
      <c r="T1459" s="161"/>
      <c r="U1459" s="156"/>
      <c r="V1459" s="162"/>
      <c r="W1459" s="163"/>
      <c r="X1459" s="164"/>
      <c r="Y1459" s="159"/>
      <c r="Z1459" s="161"/>
      <c r="AA1459" s="165"/>
      <c r="AD1459" s="154" t="s">
        <v>1663</v>
      </c>
      <c r="AF1459" s="154" t="s">
        <v>5644</v>
      </c>
      <c r="AO1459" s="155"/>
      <c r="AQ1459" s="156"/>
      <c r="AR1459" s="157"/>
      <c r="AS1459" s="158"/>
      <c r="AT1459" s="159"/>
      <c r="AU1459" s="161"/>
      <c r="AV1459" s="156"/>
      <c r="AW1459" s="162"/>
      <c r="AX1459" s="163"/>
      <c r="AY1459" s="164"/>
      <c r="AZ1459" s="159"/>
      <c r="BA1459" s="161"/>
      <c r="BB1459" s="165"/>
      <c r="BE1459" s="155"/>
    </row>
    <row r="1460" spans="1:59" s="154" customFormat="1" ht="15" customHeight="1">
      <c r="A1460" s="153" t="s">
        <v>5461</v>
      </c>
      <c r="B1460" s="153" t="s">
        <v>5519</v>
      </c>
      <c r="C1460" s="154" t="s">
        <v>5491</v>
      </c>
      <c r="D1460" s="170">
        <v>24</v>
      </c>
      <c r="E1460" s="154">
        <v>2</v>
      </c>
      <c r="F1460" s="154" t="s">
        <v>5512</v>
      </c>
      <c r="G1460" s="154" t="s">
        <v>5520</v>
      </c>
      <c r="J1460" s="154" t="s">
        <v>28</v>
      </c>
      <c r="K1460" s="154" t="s">
        <v>2426</v>
      </c>
      <c r="O1460" s="156"/>
      <c r="P1460" s="157"/>
      <c r="Q1460" s="158"/>
      <c r="R1460" s="159"/>
      <c r="S1460" s="160"/>
      <c r="T1460" s="161"/>
      <c r="U1460" s="156"/>
      <c r="V1460" s="162"/>
      <c r="W1460" s="163"/>
      <c r="X1460" s="164"/>
      <c r="Y1460" s="159"/>
      <c r="Z1460" s="161"/>
      <c r="AA1460" s="165">
        <v>0</v>
      </c>
      <c r="AD1460" s="154" t="s">
        <v>1663</v>
      </c>
      <c r="AF1460" s="154" t="s">
        <v>5645</v>
      </c>
      <c r="AO1460" s="155"/>
      <c r="AQ1460" s="156"/>
      <c r="AR1460" s="157"/>
      <c r="AS1460" s="158"/>
      <c r="AT1460" s="159"/>
      <c r="AU1460" s="161"/>
      <c r="AV1460" s="156"/>
      <c r="AW1460" s="162"/>
      <c r="AX1460" s="163"/>
      <c r="AY1460" s="164"/>
      <c r="AZ1460" s="159"/>
      <c r="BA1460" s="161"/>
      <c r="BB1460" s="165"/>
      <c r="BE1460" s="155"/>
    </row>
    <row r="1461" spans="1:59" s="154" customFormat="1" ht="15" customHeight="1">
      <c r="A1461" s="153" t="s">
        <v>5461</v>
      </c>
      <c r="B1461" s="153" t="s">
        <v>5521</v>
      </c>
      <c r="C1461" s="154" t="s">
        <v>5491</v>
      </c>
      <c r="D1461" s="170">
        <v>25</v>
      </c>
      <c r="E1461" s="154">
        <v>1</v>
      </c>
      <c r="F1461" s="154" t="s">
        <v>5522</v>
      </c>
      <c r="G1461" s="154" t="s">
        <v>5522</v>
      </c>
      <c r="J1461" s="154" t="s">
        <v>618</v>
      </c>
      <c r="K1461" s="154" t="s">
        <v>2426</v>
      </c>
      <c r="O1461" s="156"/>
      <c r="P1461" s="157"/>
      <c r="Q1461" s="158"/>
      <c r="R1461" s="159"/>
      <c r="S1461" s="160"/>
      <c r="T1461" s="161"/>
      <c r="U1461" s="156"/>
      <c r="V1461" s="162"/>
      <c r="W1461" s="163"/>
      <c r="X1461" s="164"/>
      <c r="Y1461" s="159"/>
      <c r="Z1461" s="161"/>
      <c r="AA1461" s="165"/>
      <c r="AF1461" s="154" t="s">
        <v>5646</v>
      </c>
      <c r="AI1461" s="154" t="s">
        <v>5522</v>
      </c>
      <c r="AL1461" s="154" t="s">
        <v>618</v>
      </c>
      <c r="AM1461" s="154" t="s">
        <v>2426</v>
      </c>
      <c r="AO1461" s="155"/>
      <c r="AQ1461" s="156"/>
      <c r="AR1461" s="157"/>
      <c r="AS1461" s="158"/>
      <c r="AT1461" s="159"/>
      <c r="AU1461" s="161"/>
      <c r="AV1461" s="156"/>
      <c r="AW1461" s="162"/>
      <c r="AX1461" s="163"/>
      <c r="AY1461" s="164"/>
      <c r="AZ1461" s="159"/>
      <c r="BA1461" s="161"/>
      <c r="BB1461" s="165"/>
      <c r="BE1461" s="155"/>
      <c r="BG1461" s="154" t="s">
        <v>5523</v>
      </c>
    </row>
    <row r="1462" spans="1:59" s="154" customFormat="1" ht="15" customHeight="1">
      <c r="A1462" s="153" t="s">
        <v>5461</v>
      </c>
      <c r="B1462" s="153" t="s">
        <v>5524</v>
      </c>
      <c r="C1462" s="154" t="s">
        <v>5491</v>
      </c>
      <c r="D1462" s="170">
        <v>26</v>
      </c>
      <c r="E1462" s="154">
        <v>1</v>
      </c>
      <c r="F1462" s="154" t="s">
        <v>5522</v>
      </c>
      <c r="G1462" s="154" t="s">
        <v>5525</v>
      </c>
      <c r="J1462" s="154" t="s">
        <v>619</v>
      </c>
      <c r="K1462" s="154" t="s">
        <v>2426</v>
      </c>
      <c r="L1462" s="154">
        <v>0</v>
      </c>
      <c r="O1462" s="156"/>
      <c r="P1462" s="157"/>
      <c r="Q1462" s="158"/>
      <c r="R1462" s="159"/>
      <c r="S1462" s="160"/>
      <c r="T1462" s="161"/>
      <c r="U1462" s="156"/>
      <c r="V1462" s="162"/>
      <c r="W1462" s="163"/>
      <c r="X1462" s="164"/>
      <c r="Y1462" s="159"/>
      <c r="Z1462" s="161">
        <v>2</v>
      </c>
      <c r="AA1462" s="165"/>
      <c r="AO1462" s="155"/>
      <c r="AQ1462" s="156"/>
      <c r="AR1462" s="157"/>
      <c r="AS1462" s="158"/>
      <c r="AT1462" s="159"/>
      <c r="AU1462" s="161"/>
      <c r="AV1462" s="156"/>
      <c r="AW1462" s="162"/>
      <c r="AX1462" s="163"/>
      <c r="AY1462" s="164"/>
      <c r="AZ1462" s="159"/>
      <c r="BA1462" s="161"/>
      <c r="BB1462" s="165"/>
    </row>
    <row r="1463" spans="1:59" s="154" customFormat="1" ht="15" customHeight="1">
      <c r="A1463" s="153" t="s">
        <v>5461</v>
      </c>
      <c r="B1463" s="153" t="s">
        <v>5526</v>
      </c>
      <c r="C1463" s="154" t="s">
        <v>5491</v>
      </c>
      <c r="D1463" s="170">
        <v>26</v>
      </c>
      <c r="E1463" s="154">
        <v>1</v>
      </c>
      <c r="F1463" s="154" t="s">
        <v>5522</v>
      </c>
      <c r="G1463" s="154" t="s">
        <v>5527</v>
      </c>
      <c r="H1463" s="154" t="s">
        <v>5528</v>
      </c>
      <c r="I1463" s="154" t="s">
        <v>223</v>
      </c>
      <c r="J1463" s="154" t="s">
        <v>29</v>
      </c>
      <c r="K1463" s="171" t="s">
        <v>2426</v>
      </c>
      <c r="O1463" s="156"/>
      <c r="P1463" s="157"/>
      <c r="Q1463" s="158">
        <v>3</v>
      </c>
      <c r="R1463" s="159">
        <v>3</v>
      </c>
      <c r="S1463" s="160"/>
      <c r="T1463" s="161">
        <v>4</v>
      </c>
      <c r="U1463" s="156"/>
      <c r="V1463" s="162">
        <v>2</v>
      </c>
      <c r="W1463" s="163">
        <v>1</v>
      </c>
      <c r="X1463" s="164"/>
      <c r="Y1463" s="159"/>
      <c r="Z1463" s="161"/>
      <c r="AA1463" s="165"/>
      <c r="AD1463" s="154" t="s">
        <v>1794</v>
      </c>
      <c r="AF1463" s="154" t="s">
        <v>5647</v>
      </c>
      <c r="AM1463" s="171"/>
      <c r="AO1463" s="155"/>
      <c r="AQ1463" s="156"/>
      <c r="AR1463" s="157"/>
      <c r="AS1463" s="158"/>
      <c r="AT1463" s="159"/>
      <c r="AU1463" s="161"/>
      <c r="AV1463" s="156"/>
      <c r="AW1463" s="162"/>
      <c r="AX1463" s="163"/>
      <c r="AY1463" s="164"/>
      <c r="AZ1463" s="159"/>
      <c r="BA1463" s="161"/>
      <c r="BB1463" s="165"/>
    </row>
    <row r="1464" spans="1:59" s="154" customFormat="1" ht="15" customHeight="1">
      <c r="A1464" s="153" t="s">
        <v>5461</v>
      </c>
      <c r="B1464" s="153" t="s">
        <v>5529</v>
      </c>
      <c r="C1464" s="154" t="s">
        <v>5491</v>
      </c>
      <c r="D1464" s="170">
        <v>27</v>
      </c>
      <c r="E1464" s="154">
        <v>1</v>
      </c>
      <c r="F1464" s="154" t="s">
        <v>5522</v>
      </c>
      <c r="G1464" s="154" t="s">
        <v>5530</v>
      </c>
      <c r="J1464" s="154" t="s">
        <v>619</v>
      </c>
      <c r="K1464" s="171" t="s">
        <v>2426</v>
      </c>
      <c r="L1464" s="154">
        <v>1</v>
      </c>
      <c r="O1464" s="156"/>
      <c r="P1464" s="157"/>
      <c r="Q1464" s="158"/>
      <c r="R1464" s="159"/>
      <c r="S1464" s="160"/>
      <c r="T1464" s="161"/>
      <c r="U1464" s="156"/>
      <c r="V1464" s="162"/>
      <c r="W1464" s="163"/>
      <c r="X1464" s="164"/>
      <c r="Y1464" s="159"/>
      <c r="Z1464" s="161">
        <v>2</v>
      </c>
      <c r="AA1464" s="165"/>
      <c r="AI1464" s="154" t="s">
        <v>1875</v>
      </c>
      <c r="AL1464" s="154" t="s">
        <v>619</v>
      </c>
      <c r="AM1464" s="154" t="s">
        <v>2426</v>
      </c>
      <c r="AN1464" s="154">
        <v>1</v>
      </c>
      <c r="AO1464" s="155"/>
      <c r="AQ1464" s="156"/>
      <c r="AR1464" s="157"/>
      <c r="AS1464" s="158"/>
      <c r="AT1464" s="159"/>
      <c r="AU1464" s="161"/>
      <c r="AV1464" s="156"/>
      <c r="AW1464" s="162"/>
      <c r="AX1464" s="163"/>
      <c r="AY1464" s="164"/>
      <c r="AZ1464" s="159"/>
      <c r="BA1464" s="161"/>
      <c r="BB1464" s="165"/>
      <c r="BE1464" s="155"/>
      <c r="BG1464" s="154" t="s">
        <v>5531</v>
      </c>
    </row>
    <row r="1465" spans="1:59" s="154" customFormat="1" ht="15" customHeight="1">
      <c r="A1465" s="153" t="s">
        <v>5461</v>
      </c>
      <c r="B1465" s="169" t="s">
        <v>5532</v>
      </c>
      <c r="C1465" s="154" t="s">
        <v>5491</v>
      </c>
      <c r="D1465" s="170">
        <v>28</v>
      </c>
      <c r="E1465" s="154">
        <v>1</v>
      </c>
      <c r="F1465" s="154" t="s">
        <v>5522</v>
      </c>
      <c r="G1465" s="154" t="s">
        <v>1829</v>
      </c>
      <c r="J1465" s="154" t="s">
        <v>31</v>
      </c>
      <c r="K1465" s="171" t="s">
        <v>2426</v>
      </c>
      <c r="O1465" s="156"/>
      <c r="P1465" s="157"/>
      <c r="Q1465" s="158"/>
      <c r="R1465" s="159"/>
      <c r="S1465" s="160"/>
      <c r="T1465" s="161"/>
      <c r="U1465" s="156"/>
      <c r="V1465" s="162"/>
      <c r="W1465" s="163"/>
      <c r="X1465" s="164"/>
      <c r="Y1465" s="159"/>
      <c r="Z1465" s="161"/>
      <c r="AA1465" s="165"/>
      <c r="AD1465" s="154" t="s">
        <v>1828</v>
      </c>
      <c r="AI1465" s="154" t="s">
        <v>1829</v>
      </c>
      <c r="AL1465" s="154" t="s">
        <v>31</v>
      </c>
      <c r="AM1465" s="154" t="s">
        <v>2426</v>
      </c>
      <c r="AO1465" s="155"/>
      <c r="AQ1465" s="156"/>
      <c r="AR1465" s="157"/>
      <c r="AS1465" s="158"/>
      <c r="AT1465" s="159"/>
      <c r="AU1465" s="161"/>
      <c r="AV1465" s="156"/>
      <c r="AW1465" s="162"/>
      <c r="AX1465" s="163"/>
      <c r="AY1465" s="164">
        <v>3</v>
      </c>
      <c r="AZ1465" s="159" t="s">
        <v>1111</v>
      </c>
      <c r="BA1465" s="161"/>
      <c r="BB1465" s="165">
        <v>1</v>
      </c>
      <c r="BE1465" s="155" t="s">
        <v>1828</v>
      </c>
      <c r="BG1465" s="154" t="s">
        <v>5533</v>
      </c>
    </row>
    <row r="1466" spans="1:59" s="154" customFormat="1" ht="15" customHeight="1">
      <c r="A1466" s="153" t="s">
        <v>5461</v>
      </c>
      <c r="B1466" s="153" t="s">
        <v>5534</v>
      </c>
      <c r="C1466" s="154" t="s">
        <v>5491</v>
      </c>
      <c r="D1466" s="170">
        <v>29</v>
      </c>
      <c r="E1466" s="154">
        <v>1</v>
      </c>
      <c r="F1466" s="154" t="s">
        <v>5522</v>
      </c>
      <c r="G1466" s="154" t="s">
        <v>5535</v>
      </c>
      <c r="J1466" s="154" t="s">
        <v>31</v>
      </c>
      <c r="K1466" s="154" t="s">
        <v>2426</v>
      </c>
      <c r="O1466" s="156"/>
      <c r="P1466" s="157"/>
      <c r="Q1466" s="158"/>
      <c r="R1466" s="159"/>
      <c r="S1466" s="160"/>
      <c r="T1466" s="161"/>
      <c r="U1466" s="156"/>
      <c r="V1466" s="162"/>
      <c r="W1466" s="163"/>
      <c r="X1466" s="164"/>
      <c r="Y1466" s="159"/>
      <c r="Z1466" s="161"/>
      <c r="AA1466" s="165"/>
      <c r="AD1466" s="154" t="s">
        <v>1828</v>
      </c>
      <c r="AI1466" s="154" t="s">
        <v>1827</v>
      </c>
      <c r="AL1466" s="154" t="s">
        <v>31</v>
      </c>
      <c r="AM1466" s="154" t="s">
        <v>2426</v>
      </c>
      <c r="AO1466" s="155"/>
      <c r="AQ1466" s="156"/>
      <c r="AR1466" s="157"/>
      <c r="AS1466" s="158"/>
      <c r="AT1466" s="159"/>
      <c r="AU1466" s="161"/>
      <c r="AV1466" s="156"/>
      <c r="AW1466" s="162"/>
      <c r="AX1466" s="163"/>
      <c r="AY1466" s="164">
        <v>1</v>
      </c>
      <c r="AZ1466" s="159" t="s">
        <v>1111</v>
      </c>
      <c r="BA1466" s="161"/>
      <c r="BB1466" s="165"/>
      <c r="BE1466" s="155" t="s">
        <v>1828</v>
      </c>
      <c r="BG1466" s="154" t="s">
        <v>5536</v>
      </c>
    </row>
    <row r="1467" spans="1:59" s="154" customFormat="1" ht="15" customHeight="1">
      <c r="A1467" s="153" t="s">
        <v>5461</v>
      </c>
      <c r="B1467" s="153" t="s">
        <v>5537</v>
      </c>
      <c r="C1467" s="154" t="s">
        <v>5491</v>
      </c>
      <c r="D1467" s="170">
        <v>30</v>
      </c>
      <c r="E1467" s="154">
        <v>1</v>
      </c>
      <c r="F1467" s="154" t="s">
        <v>5522</v>
      </c>
      <c r="G1467" s="154" t="s">
        <v>5538</v>
      </c>
      <c r="J1467" s="154" t="s">
        <v>31</v>
      </c>
      <c r="K1467" s="154" t="s">
        <v>2426</v>
      </c>
      <c r="O1467" s="156"/>
      <c r="P1467" s="157"/>
      <c r="Q1467" s="158"/>
      <c r="R1467" s="159"/>
      <c r="S1467" s="160"/>
      <c r="T1467" s="161"/>
      <c r="U1467" s="156"/>
      <c r="V1467" s="162"/>
      <c r="W1467" s="163"/>
      <c r="X1467" s="164"/>
      <c r="Y1467" s="159"/>
      <c r="Z1467" s="161"/>
      <c r="AA1467" s="165"/>
      <c r="AD1467" s="154" t="s">
        <v>1828</v>
      </c>
      <c r="AI1467" s="154" t="s">
        <v>1827</v>
      </c>
      <c r="AL1467" s="154" t="s">
        <v>31</v>
      </c>
      <c r="AM1467" s="154" t="s">
        <v>2426</v>
      </c>
      <c r="AP1467" s="155"/>
      <c r="AQ1467" s="156"/>
      <c r="AR1467" s="157"/>
      <c r="AS1467" s="158"/>
      <c r="AT1467" s="159"/>
      <c r="AU1467" s="161"/>
      <c r="AV1467" s="156"/>
      <c r="AW1467" s="162"/>
      <c r="AX1467" s="163"/>
      <c r="AY1467" s="164">
        <v>3</v>
      </c>
      <c r="AZ1467" s="159">
        <v>3</v>
      </c>
      <c r="BA1467" s="161"/>
      <c r="BB1467" s="165"/>
      <c r="BE1467" s="154" t="s">
        <v>1828</v>
      </c>
      <c r="BF1467" s="155"/>
      <c r="BG1467" s="154" t="s">
        <v>5536</v>
      </c>
    </row>
    <row r="1468" spans="1:59" s="154" customFormat="1" ht="15" customHeight="1">
      <c r="A1468" s="153" t="s">
        <v>5461</v>
      </c>
      <c r="B1468" s="153" t="s">
        <v>5539</v>
      </c>
      <c r="C1468" s="154" t="s">
        <v>5491</v>
      </c>
      <c r="D1468" s="170">
        <v>31</v>
      </c>
      <c r="E1468" s="154">
        <v>1</v>
      </c>
      <c r="F1468" s="154" t="s">
        <v>5522</v>
      </c>
      <c r="G1468" s="154" t="s">
        <v>5540</v>
      </c>
      <c r="J1468" s="154" t="s">
        <v>257</v>
      </c>
      <c r="K1468" s="154" t="s">
        <v>26</v>
      </c>
      <c r="N1468" s="155"/>
      <c r="O1468" s="156"/>
      <c r="P1468" s="157"/>
      <c r="Q1468" s="158"/>
      <c r="R1468" s="159"/>
      <c r="S1468" s="160"/>
      <c r="T1468" s="161">
        <v>2</v>
      </c>
      <c r="U1468" s="156">
        <v>2</v>
      </c>
      <c r="V1468" s="162"/>
      <c r="W1468" s="163"/>
      <c r="X1468" s="164"/>
      <c r="Y1468" s="159"/>
      <c r="Z1468" s="161"/>
      <c r="AA1468" s="165"/>
      <c r="AD1468" s="154" t="s">
        <v>1833</v>
      </c>
      <c r="AE1468" s="155"/>
      <c r="AF1468" s="154" t="s">
        <v>5648</v>
      </c>
      <c r="AP1468" s="155"/>
      <c r="AQ1468" s="156"/>
      <c r="AR1468" s="157"/>
      <c r="AS1468" s="158"/>
      <c r="AT1468" s="159"/>
      <c r="AU1468" s="161"/>
      <c r="AV1468" s="156"/>
      <c r="AW1468" s="162"/>
      <c r="AX1468" s="163"/>
      <c r="AY1468" s="164"/>
      <c r="AZ1468" s="159"/>
      <c r="BA1468" s="161"/>
      <c r="BB1468" s="165"/>
      <c r="BF1468" s="155"/>
    </row>
    <row r="1469" spans="1:59" s="154" customFormat="1" ht="15" customHeight="1">
      <c r="A1469" s="153" t="s">
        <v>5461</v>
      </c>
      <c r="B1469" s="153" t="s">
        <v>5541</v>
      </c>
      <c r="C1469" s="154" t="s">
        <v>5491</v>
      </c>
      <c r="D1469" s="170">
        <v>32</v>
      </c>
      <c r="E1469" s="154">
        <v>1</v>
      </c>
      <c r="F1469" s="154" t="s">
        <v>5542</v>
      </c>
      <c r="G1469" s="154" t="s">
        <v>5542</v>
      </c>
      <c r="J1469" s="154" t="s">
        <v>618</v>
      </c>
      <c r="K1469" s="154" t="s">
        <v>2426</v>
      </c>
      <c r="N1469" s="155"/>
      <c r="O1469" s="156"/>
      <c r="P1469" s="157"/>
      <c r="Q1469" s="158"/>
      <c r="R1469" s="159"/>
      <c r="S1469" s="160"/>
      <c r="T1469" s="161"/>
      <c r="U1469" s="156"/>
      <c r="V1469" s="162"/>
      <c r="W1469" s="163"/>
      <c r="X1469" s="164"/>
      <c r="Y1469" s="159"/>
      <c r="Z1469" s="161"/>
      <c r="AA1469" s="165"/>
      <c r="AE1469" s="155"/>
      <c r="AF1469" s="154" t="s">
        <v>5649</v>
      </c>
      <c r="AI1469" s="154" t="s">
        <v>5542</v>
      </c>
      <c r="AL1469" s="154" t="s">
        <v>618</v>
      </c>
      <c r="AM1469" s="154" t="s">
        <v>2426</v>
      </c>
      <c r="AP1469" s="155"/>
      <c r="AQ1469" s="156"/>
      <c r="AR1469" s="157"/>
      <c r="AS1469" s="158"/>
      <c r="AT1469" s="159"/>
      <c r="AU1469" s="161"/>
      <c r="AV1469" s="156"/>
      <c r="AW1469" s="162"/>
      <c r="AX1469" s="163"/>
      <c r="AY1469" s="164"/>
      <c r="AZ1469" s="159"/>
      <c r="BA1469" s="161"/>
      <c r="BB1469" s="165"/>
      <c r="BF1469" s="155"/>
      <c r="BG1469" s="154" t="s">
        <v>5650</v>
      </c>
    </row>
    <row r="1470" spans="1:59" s="154" customFormat="1" ht="15" customHeight="1">
      <c r="A1470" s="153" t="s">
        <v>5461</v>
      </c>
      <c r="B1470" s="153" t="s">
        <v>5543</v>
      </c>
      <c r="C1470" s="154" t="s">
        <v>5491</v>
      </c>
      <c r="D1470" s="170">
        <v>33</v>
      </c>
      <c r="E1470" s="154">
        <v>1</v>
      </c>
      <c r="F1470" s="154" t="s">
        <v>5542</v>
      </c>
      <c r="G1470" s="154" t="s">
        <v>2009</v>
      </c>
      <c r="J1470" s="154" t="s">
        <v>31</v>
      </c>
      <c r="K1470" s="154" t="s">
        <v>2426</v>
      </c>
      <c r="N1470" s="155"/>
      <c r="O1470" s="156"/>
      <c r="P1470" s="157"/>
      <c r="Q1470" s="158"/>
      <c r="R1470" s="159"/>
      <c r="S1470" s="160"/>
      <c r="T1470" s="161"/>
      <c r="U1470" s="156"/>
      <c r="V1470" s="162"/>
      <c r="W1470" s="163"/>
      <c r="X1470" s="164"/>
      <c r="Y1470" s="159"/>
      <c r="Z1470" s="161"/>
      <c r="AA1470" s="165"/>
      <c r="AD1470" s="154" t="s">
        <v>2010</v>
      </c>
      <c r="AE1470" s="155"/>
      <c r="AI1470" s="154" t="s">
        <v>2009</v>
      </c>
      <c r="AJ1470" s="154" t="s">
        <v>5544</v>
      </c>
      <c r="AL1470" s="154" t="s">
        <v>31</v>
      </c>
      <c r="AM1470" s="154" t="s">
        <v>2426</v>
      </c>
      <c r="AP1470" s="155"/>
      <c r="AQ1470" s="156"/>
      <c r="AR1470" s="157"/>
      <c r="AS1470" s="158"/>
      <c r="AT1470" s="159"/>
      <c r="AU1470" s="161"/>
      <c r="AV1470" s="156"/>
      <c r="AW1470" s="162"/>
      <c r="AX1470" s="163"/>
      <c r="AY1470" s="164">
        <v>3</v>
      </c>
      <c r="AZ1470" s="159">
        <v>0</v>
      </c>
      <c r="BA1470" s="161"/>
      <c r="BB1470" s="165"/>
      <c r="BE1470" s="154" t="s">
        <v>2010</v>
      </c>
      <c r="BF1470" s="155"/>
      <c r="BG1470" s="154" t="s">
        <v>5651</v>
      </c>
    </row>
    <row r="1471" spans="1:59" s="154" customFormat="1" ht="15" customHeight="1">
      <c r="A1471" s="153" t="s">
        <v>5461</v>
      </c>
      <c r="B1471" s="169" t="s">
        <v>5545</v>
      </c>
      <c r="C1471" s="154" t="s">
        <v>5491</v>
      </c>
      <c r="D1471" s="170">
        <v>34</v>
      </c>
      <c r="E1471" s="154">
        <v>1</v>
      </c>
      <c r="F1471" s="154" t="s">
        <v>5542</v>
      </c>
      <c r="G1471" s="154" t="s">
        <v>5546</v>
      </c>
      <c r="J1471" s="154" t="s">
        <v>31</v>
      </c>
      <c r="K1471" s="154" t="s">
        <v>2426</v>
      </c>
      <c r="N1471" s="155"/>
      <c r="O1471" s="156"/>
      <c r="P1471" s="157"/>
      <c r="Q1471" s="158"/>
      <c r="R1471" s="159"/>
      <c r="S1471" s="160"/>
      <c r="T1471" s="161"/>
      <c r="U1471" s="156"/>
      <c r="V1471" s="162"/>
      <c r="W1471" s="163"/>
      <c r="X1471" s="164"/>
      <c r="Y1471" s="159"/>
      <c r="Z1471" s="161"/>
      <c r="AA1471" s="165"/>
      <c r="AD1471" s="154" t="s">
        <v>2013</v>
      </c>
      <c r="AE1471" s="155"/>
      <c r="AI1471" s="154" t="s">
        <v>5546</v>
      </c>
      <c r="AL1471" s="154" t="s">
        <v>31</v>
      </c>
      <c r="AM1471" s="154" t="s">
        <v>2426</v>
      </c>
      <c r="AP1471" s="155"/>
      <c r="AQ1471" s="156"/>
      <c r="AR1471" s="157"/>
      <c r="AS1471" s="158"/>
      <c r="AT1471" s="159"/>
      <c r="AU1471" s="161"/>
      <c r="AV1471" s="156"/>
      <c r="AW1471" s="162"/>
      <c r="AX1471" s="163"/>
      <c r="AY1471" s="164">
        <v>3</v>
      </c>
      <c r="AZ1471" s="159">
        <v>2</v>
      </c>
      <c r="BA1471" s="161"/>
      <c r="BB1471" s="165"/>
      <c r="BE1471" s="154" t="s">
        <v>2013</v>
      </c>
      <c r="BF1471" s="155"/>
      <c r="BG1471" s="154" t="s">
        <v>5652</v>
      </c>
    </row>
    <row r="1472" spans="1:59" s="154" customFormat="1" ht="15" customHeight="1">
      <c r="A1472" s="153" t="s">
        <v>5461</v>
      </c>
      <c r="B1472" s="153" t="s">
        <v>5547</v>
      </c>
      <c r="C1472" s="154" t="s">
        <v>5491</v>
      </c>
      <c r="D1472" s="170">
        <v>35</v>
      </c>
      <c r="E1472" s="154">
        <v>1</v>
      </c>
      <c r="F1472" s="154" t="s">
        <v>5542</v>
      </c>
      <c r="G1472" s="154" t="s">
        <v>2014</v>
      </c>
      <c r="J1472" s="154" t="s">
        <v>31</v>
      </c>
      <c r="K1472" s="154" t="s">
        <v>2426</v>
      </c>
      <c r="N1472" s="155"/>
      <c r="O1472" s="156"/>
      <c r="P1472" s="157"/>
      <c r="Q1472" s="158"/>
      <c r="R1472" s="159"/>
      <c r="S1472" s="160"/>
      <c r="T1472" s="161"/>
      <c r="U1472" s="156"/>
      <c r="V1472" s="162"/>
      <c r="W1472" s="163"/>
      <c r="X1472" s="164"/>
      <c r="Y1472" s="159"/>
      <c r="Z1472" s="161"/>
      <c r="AA1472" s="165"/>
      <c r="AD1472" s="154" t="s">
        <v>2013</v>
      </c>
      <c r="AE1472" s="155"/>
      <c r="AI1472" s="154" t="s">
        <v>2014</v>
      </c>
      <c r="AL1472" s="154" t="s">
        <v>31</v>
      </c>
      <c r="AM1472" s="154" t="s">
        <v>2426</v>
      </c>
      <c r="AP1472" s="155"/>
      <c r="AQ1472" s="156"/>
      <c r="AR1472" s="157"/>
      <c r="AS1472" s="158"/>
      <c r="AT1472" s="159"/>
      <c r="AU1472" s="161"/>
      <c r="AV1472" s="156"/>
      <c r="AW1472" s="162"/>
      <c r="AX1472" s="163"/>
      <c r="AY1472" s="164">
        <v>2</v>
      </c>
      <c r="AZ1472" s="159">
        <v>3</v>
      </c>
      <c r="BA1472" s="161"/>
      <c r="BB1472" s="165"/>
      <c r="BE1472" s="154" t="s">
        <v>2013</v>
      </c>
      <c r="BF1472" s="155"/>
      <c r="BG1472" s="154" t="s">
        <v>5653</v>
      </c>
    </row>
    <row r="1473" spans="1:59" s="154" customFormat="1" ht="15" customHeight="1">
      <c r="A1473" s="153" t="s">
        <v>5461</v>
      </c>
      <c r="B1473" s="153" t="s">
        <v>5548</v>
      </c>
      <c r="C1473" s="154" t="s">
        <v>5491</v>
      </c>
      <c r="D1473" s="170">
        <v>36</v>
      </c>
      <c r="E1473" s="154">
        <v>1</v>
      </c>
      <c r="F1473" s="154" t="s">
        <v>5542</v>
      </c>
      <c r="G1473" s="154" t="s">
        <v>5549</v>
      </c>
      <c r="J1473" s="154" t="s">
        <v>31</v>
      </c>
      <c r="K1473" s="154" t="s">
        <v>2426</v>
      </c>
      <c r="N1473" s="155"/>
      <c r="O1473" s="156"/>
      <c r="P1473" s="157"/>
      <c r="Q1473" s="158"/>
      <c r="R1473" s="159"/>
      <c r="S1473" s="160"/>
      <c r="T1473" s="161"/>
      <c r="U1473" s="156"/>
      <c r="V1473" s="162"/>
      <c r="W1473" s="163"/>
      <c r="X1473" s="164"/>
      <c r="Y1473" s="159"/>
      <c r="Z1473" s="161"/>
      <c r="AA1473" s="165"/>
      <c r="AD1473" s="154" t="s">
        <v>2013</v>
      </c>
      <c r="AE1473" s="155"/>
      <c r="AI1473" s="153" t="s">
        <v>5549</v>
      </c>
      <c r="AL1473" s="154" t="s">
        <v>31</v>
      </c>
      <c r="AM1473" s="154" t="s">
        <v>2426</v>
      </c>
      <c r="AP1473" s="155"/>
      <c r="AQ1473" s="156"/>
      <c r="AR1473" s="157"/>
      <c r="AS1473" s="158"/>
      <c r="AT1473" s="159"/>
      <c r="AU1473" s="161"/>
      <c r="AV1473" s="156"/>
      <c r="AW1473" s="162"/>
      <c r="AX1473" s="163"/>
      <c r="AY1473" s="164">
        <v>3</v>
      </c>
      <c r="AZ1473" s="159" t="s">
        <v>1073</v>
      </c>
      <c r="BA1473" s="161"/>
      <c r="BB1473" s="165"/>
      <c r="BE1473" s="154" t="s">
        <v>2013</v>
      </c>
      <c r="BF1473" s="155"/>
      <c r="BG1473" s="154" t="s">
        <v>5654</v>
      </c>
    </row>
    <row r="1474" spans="1:59" s="154" customFormat="1" ht="15" customHeight="1">
      <c r="A1474" s="153" t="s">
        <v>5461</v>
      </c>
      <c r="B1474" s="169" t="s">
        <v>5550</v>
      </c>
      <c r="C1474" s="154" t="s">
        <v>5491</v>
      </c>
      <c r="D1474" s="170">
        <v>37</v>
      </c>
      <c r="E1474" s="154">
        <v>1</v>
      </c>
      <c r="F1474" s="154" t="s">
        <v>5542</v>
      </c>
      <c r="G1474" s="154" t="s">
        <v>2016</v>
      </c>
      <c r="J1474" s="154" t="s">
        <v>31</v>
      </c>
      <c r="K1474" s="154" t="s">
        <v>2426</v>
      </c>
      <c r="N1474" s="155"/>
      <c r="O1474" s="156"/>
      <c r="P1474" s="157"/>
      <c r="Q1474" s="158"/>
      <c r="R1474" s="159"/>
      <c r="S1474" s="160"/>
      <c r="T1474" s="161"/>
      <c r="U1474" s="156"/>
      <c r="V1474" s="162"/>
      <c r="W1474" s="163"/>
      <c r="X1474" s="164"/>
      <c r="Y1474" s="159"/>
      <c r="Z1474" s="161"/>
      <c r="AA1474" s="165"/>
      <c r="AD1474" s="154" t="s">
        <v>2013</v>
      </c>
      <c r="AE1474" s="155"/>
      <c r="AI1474" s="154" t="s">
        <v>2016</v>
      </c>
      <c r="AL1474" s="154" t="s">
        <v>31</v>
      </c>
      <c r="AM1474" s="154" t="s">
        <v>2426</v>
      </c>
      <c r="AP1474" s="155"/>
      <c r="AQ1474" s="156"/>
      <c r="AR1474" s="157"/>
      <c r="AS1474" s="158"/>
      <c r="AT1474" s="159"/>
      <c r="AU1474" s="161"/>
      <c r="AV1474" s="156"/>
      <c r="AW1474" s="162"/>
      <c r="AX1474" s="163"/>
      <c r="AY1474" s="164">
        <v>1</v>
      </c>
      <c r="AZ1474" s="159" t="s">
        <v>1073</v>
      </c>
      <c r="BA1474" s="161"/>
      <c r="BB1474" s="165"/>
      <c r="BE1474" s="154" t="s">
        <v>2013</v>
      </c>
      <c r="BF1474" s="155"/>
      <c r="BG1474" s="154" t="s">
        <v>5655</v>
      </c>
    </row>
    <row r="1475" spans="1:59" s="154" customFormat="1" ht="15" customHeight="1">
      <c r="A1475" s="153" t="s">
        <v>5461</v>
      </c>
      <c r="B1475" s="153" t="s">
        <v>5551</v>
      </c>
      <c r="C1475" s="154" t="s">
        <v>5491</v>
      </c>
      <c r="D1475" s="170">
        <v>38</v>
      </c>
      <c r="E1475" s="154">
        <v>1</v>
      </c>
      <c r="F1475" s="154" t="s">
        <v>5542</v>
      </c>
      <c r="G1475" s="154" t="s">
        <v>2017</v>
      </c>
      <c r="J1475" s="154" t="s">
        <v>31</v>
      </c>
      <c r="K1475" s="154" t="s">
        <v>2426</v>
      </c>
      <c r="N1475" s="155"/>
      <c r="O1475" s="156"/>
      <c r="P1475" s="157"/>
      <c r="Q1475" s="158"/>
      <c r="R1475" s="159"/>
      <c r="S1475" s="160"/>
      <c r="T1475" s="161"/>
      <c r="U1475" s="156"/>
      <c r="V1475" s="162"/>
      <c r="W1475" s="163"/>
      <c r="X1475" s="164"/>
      <c r="Y1475" s="159"/>
      <c r="Z1475" s="161"/>
      <c r="AA1475" s="165"/>
      <c r="AD1475" s="154" t="s">
        <v>2013</v>
      </c>
      <c r="AE1475" s="155"/>
      <c r="AI1475" s="154" t="s">
        <v>2017</v>
      </c>
      <c r="AL1475" s="154" t="s">
        <v>31</v>
      </c>
      <c r="AM1475" s="154" t="s">
        <v>2426</v>
      </c>
      <c r="AP1475" s="155"/>
      <c r="AQ1475" s="156"/>
      <c r="AR1475" s="157"/>
      <c r="AS1475" s="158"/>
      <c r="AT1475" s="159"/>
      <c r="AU1475" s="161"/>
      <c r="AV1475" s="156"/>
      <c r="AW1475" s="162"/>
      <c r="AX1475" s="163"/>
      <c r="AY1475" s="164">
        <v>2</v>
      </c>
      <c r="AZ1475" s="159" t="s">
        <v>1073</v>
      </c>
      <c r="BA1475" s="161"/>
      <c r="BB1475" s="165"/>
      <c r="BE1475" s="154" t="s">
        <v>2013</v>
      </c>
      <c r="BF1475" s="155"/>
      <c r="BG1475" s="154" t="s">
        <v>5656</v>
      </c>
    </row>
    <row r="1476" spans="1:59" s="154" customFormat="1" ht="15" customHeight="1">
      <c r="A1476" s="153" t="s">
        <v>5461</v>
      </c>
      <c r="B1476" s="153" t="s">
        <v>5552</v>
      </c>
      <c r="C1476" s="154" t="s">
        <v>5491</v>
      </c>
      <c r="D1476" s="170">
        <v>39</v>
      </c>
      <c r="E1476" s="154">
        <v>1</v>
      </c>
      <c r="F1476" s="154" t="s">
        <v>5542</v>
      </c>
      <c r="G1476" s="154" t="s">
        <v>2018</v>
      </c>
      <c r="J1476" s="154" t="s">
        <v>31</v>
      </c>
      <c r="K1476" s="154" t="s">
        <v>2426</v>
      </c>
      <c r="N1476" s="155"/>
      <c r="O1476" s="156"/>
      <c r="P1476" s="157"/>
      <c r="Q1476" s="158"/>
      <c r="R1476" s="159"/>
      <c r="S1476" s="160"/>
      <c r="T1476" s="161"/>
      <c r="U1476" s="156"/>
      <c r="V1476" s="162"/>
      <c r="W1476" s="163"/>
      <c r="X1476" s="164"/>
      <c r="Y1476" s="159"/>
      <c r="Z1476" s="161"/>
      <c r="AA1476" s="165"/>
      <c r="AD1476" s="154" t="s">
        <v>2013</v>
      </c>
      <c r="AE1476" s="155"/>
      <c r="AI1476" s="154" t="s">
        <v>2018</v>
      </c>
      <c r="AL1476" s="154" t="s">
        <v>31</v>
      </c>
      <c r="AM1476" s="154" t="s">
        <v>2426</v>
      </c>
      <c r="AP1476" s="155"/>
      <c r="AQ1476" s="156"/>
      <c r="AR1476" s="157"/>
      <c r="AS1476" s="158"/>
      <c r="AT1476" s="159"/>
      <c r="AU1476" s="161"/>
      <c r="AV1476" s="156"/>
      <c r="AW1476" s="162"/>
      <c r="AX1476" s="163"/>
      <c r="AY1476" s="164">
        <v>4</v>
      </c>
      <c r="AZ1476" s="159">
        <v>1</v>
      </c>
      <c r="BA1476" s="161"/>
      <c r="BB1476" s="165"/>
      <c r="BE1476" s="154" t="s">
        <v>2013</v>
      </c>
      <c r="BF1476" s="155"/>
      <c r="BG1476" s="154" t="s">
        <v>5657</v>
      </c>
    </row>
    <row r="1477" spans="1:59" s="154" customFormat="1" ht="15" customHeight="1">
      <c r="A1477" s="153" t="s">
        <v>5461</v>
      </c>
      <c r="B1477" s="153" t="s">
        <v>5553</v>
      </c>
      <c r="C1477" s="154" t="s">
        <v>5491</v>
      </c>
      <c r="D1477" s="170">
        <v>40</v>
      </c>
      <c r="E1477" s="154">
        <v>2</v>
      </c>
      <c r="F1477" s="154" t="s">
        <v>5542</v>
      </c>
      <c r="G1477" s="154" t="s">
        <v>5554</v>
      </c>
      <c r="J1477" s="154" t="s">
        <v>29</v>
      </c>
      <c r="K1477" s="154" t="s">
        <v>2426</v>
      </c>
      <c r="N1477" s="155"/>
      <c r="O1477" s="156"/>
      <c r="P1477" s="157"/>
      <c r="Q1477" s="158">
        <v>3</v>
      </c>
      <c r="R1477" s="159">
        <v>1</v>
      </c>
      <c r="S1477" s="160"/>
      <c r="T1477" s="161">
        <v>4</v>
      </c>
      <c r="U1477" s="156"/>
      <c r="V1477" s="162">
        <v>1</v>
      </c>
      <c r="W1477" s="163">
        <v>1</v>
      </c>
      <c r="X1477" s="164"/>
      <c r="Y1477" s="159"/>
      <c r="Z1477" s="161"/>
      <c r="AA1477" s="165"/>
      <c r="AD1477" s="154" t="s">
        <v>5555</v>
      </c>
      <c r="AF1477" s="154" t="s">
        <v>5658</v>
      </c>
      <c r="AP1477" s="155"/>
      <c r="AQ1477" s="156"/>
      <c r="AR1477" s="157"/>
      <c r="AS1477" s="158"/>
      <c r="AT1477" s="159"/>
      <c r="AU1477" s="161"/>
      <c r="AV1477" s="156"/>
      <c r="AW1477" s="162"/>
      <c r="AX1477" s="163"/>
      <c r="AY1477" s="164"/>
      <c r="AZ1477" s="159"/>
      <c r="BA1477" s="161"/>
      <c r="BB1477" s="165"/>
      <c r="BF1477" s="155"/>
    </row>
    <row r="1478" spans="1:59" s="154" customFormat="1" ht="15" customHeight="1">
      <c r="A1478" s="153" t="s">
        <v>5461</v>
      </c>
      <c r="B1478" s="169" t="s">
        <v>5556</v>
      </c>
      <c r="C1478" s="154" t="s">
        <v>5491</v>
      </c>
      <c r="D1478" s="170">
        <v>41</v>
      </c>
      <c r="E1478" s="154">
        <v>1</v>
      </c>
      <c r="F1478" s="154" t="s">
        <v>5557</v>
      </c>
      <c r="G1478" s="154" t="s">
        <v>5557</v>
      </c>
      <c r="J1478" s="154" t="s">
        <v>618</v>
      </c>
      <c r="K1478" s="154" t="s">
        <v>2426</v>
      </c>
      <c r="N1478" s="155"/>
      <c r="O1478" s="156"/>
      <c r="P1478" s="157"/>
      <c r="Q1478" s="158"/>
      <c r="R1478" s="159"/>
      <c r="S1478" s="160"/>
      <c r="T1478" s="161"/>
      <c r="U1478" s="156"/>
      <c r="V1478" s="162"/>
      <c r="W1478" s="163"/>
      <c r="X1478" s="164"/>
      <c r="Y1478" s="159"/>
      <c r="Z1478" s="161"/>
      <c r="AA1478" s="165"/>
      <c r="AE1478" s="155"/>
      <c r="AF1478" s="154" t="s">
        <v>5659</v>
      </c>
      <c r="AI1478" s="154" t="s">
        <v>5557</v>
      </c>
      <c r="AL1478" s="154" t="s">
        <v>618</v>
      </c>
      <c r="AM1478" s="154" t="s">
        <v>2426</v>
      </c>
      <c r="AP1478" s="155"/>
      <c r="AQ1478" s="156"/>
      <c r="AR1478" s="157"/>
      <c r="AS1478" s="158"/>
      <c r="AT1478" s="159"/>
      <c r="AU1478" s="161"/>
      <c r="AV1478" s="156"/>
      <c r="AW1478" s="162"/>
      <c r="AX1478" s="163"/>
      <c r="AY1478" s="164"/>
      <c r="AZ1478" s="159"/>
      <c r="BA1478" s="161"/>
      <c r="BB1478" s="165"/>
      <c r="BF1478" s="155"/>
      <c r="BG1478" s="154" t="s">
        <v>5660</v>
      </c>
    </row>
    <row r="1479" spans="1:59" s="154" customFormat="1" ht="15" customHeight="1">
      <c r="A1479" s="153" t="s">
        <v>5461</v>
      </c>
      <c r="B1479" s="153" t="s">
        <v>5558</v>
      </c>
      <c r="C1479" s="154" t="s">
        <v>5491</v>
      </c>
      <c r="D1479" s="170">
        <v>42</v>
      </c>
      <c r="E1479" s="154">
        <v>1</v>
      </c>
      <c r="F1479" s="154" t="s">
        <v>5557</v>
      </c>
      <c r="G1479" s="154" t="s">
        <v>2170</v>
      </c>
      <c r="H1479" s="154" t="s">
        <v>5559</v>
      </c>
      <c r="J1479" s="154" t="s">
        <v>29</v>
      </c>
      <c r="K1479" s="154" t="s">
        <v>2426</v>
      </c>
      <c r="N1479" s="155"/>
      <c r="O1479" s="156"/>
      <c r="P1479" s="157"/>
      <c r="Q1479" s="158">
        <v>5</v>
      </c>
      <c r="R1479" s="159">
        <v>4</v>
      </c>
      <c r="S1479" s="160"/>
      <c r="T1479" s="161">
        <v>1</v>
      </c>
      <c r="U1479" s="156"/>
      <c r="V1479" s="162">
        <v>2</v>
      </c>
      <c r="W1479" s="163">
        <v>1</v>
      </c>
      <c r="X1479" s="164"/>
      <c r="Y1479" s="159"/>
      <c r="Z1479" s="161"/>
      <c r="AA1479" s="165">
        <v>1</v>
      </c>
      <c r="AD1479" s="154" t="s">
        <v>1691</v>
      </c>
      <c r="AE1479" s="155"/>
      <c r="AF1479" s="154" t="s">
        <v>5661</v>
      </c>
      <c r="AP1479" s="155"/>
      <c r="AQ1479" s="156"/>
      <c r="AR1479" s="157"/>
      <c r="AS1479" s="158"/>
      <c r="AT1479" s="159"/>
      <c r="AU1479" s="161"/>
      <c r="AV1479" s="156"/>
      <c r="AW1479" s="162"/>
      <c r="AX1479" s="163"/>
      <c r="AY1479" s="164"/>
      <c r="AZ1479" s="159"/>
      <c r="BA1479" s="161"/>
      <c r="BB1479" s="165"/>
      <c r="BF1479" s="155"/>
    </row>
    <row r="1480" spans="1:59" s="154" customFormat="1" ht="15" customHeight="1">
      <c r="A1480" s="153" t="s">
        <v>5461</v>
      </c>
      <c r="B1480" s="169" t="s">
        <v>5560</v>
      </c>
      <c r="C1480" s="154" t="s">
        <v>5491</v>
      </c>
      <c r="D1480" s="170">
        <v>43</v>
      </c>
      <c r="E1480" s="154">
        <v>1</v>
      </c>
      <c r="F1480" s="154" t="s">
        <v>5557</v>
      </c>
      <c r="G1480" s="154" t="s">
        <v>2170</v>
      </c>
      <c r="H1480" s="154" t="s">
        <v>5561</v>
      </c>
      <c r="J1480" s="154" t="s">
        <v>29</v>
      </c>
      <c r="K1480" s="154" t="s">
        <v>2426</v>
      </c>
      <c r="N1480" s="155"/>
      <c r="O1480" s="156"/>
      <c r="P1480" s="157"/>
      <c r="Q1480" s="158">
        <v>6</v>
      </c>
      <c r="R1480" s="159">
        <v>2</v>
      </c>
      <c r="S1480" s="160"/>
      <c r="T1480" s="161">
        <v>2</v>
      </c>
      <c r="U1480" s="156"/>
      <c r="V1480" s="162">
        <v>1</v>
      </c>
      <c r="W1480" s="163">
        <v>2</v>
      </c>
      <c r="X1480" s="164"/>
      <c r="Y1480" s="159"/>
      <c r="Z1480" s="161"/>
      <c r="AA1480" s="165">
        <v>1</v>
      </c>
      <c r="AD1480" s="154" t="s">
        <v>1691</v>
      </c>
      <c r="AE1480" s="155"/>
      <c r="AF1480" s="154" t="s">
        <v>5662</v>
      </c>
      <c r="AP1480" s="155"/>
      <c r="AQ1480" s="156"/>
      <c r="AR1480" s="157"/>
      <c r="AS1480" s="158"/>
      <c r="AT1480" s="159"/>
      <c r="AU1480" s="161"/>
      <c r="AV1480" s="156"/>
      <c r="AW1480" s="162"/>
      <c r="AX1480" s="163"/>
      <c r="AY1480" s="164"/>
      <c r="AZ1480" s="159"/>
      <c r="BA1480" s="161"/>
      <c r="BB1480" s="165"/>
      <c r="BF1480" s="155"/>
    </row>
    <row r="1481" spans="1:59" s="154" customFormat="1" ht="15" customHeight="1">
      <c r="A1481" s="153" t="s">
        <v>5461</v>
      </c>
      <c r="B1481" s="153" t="s">
        <v>5562</v>
      </c>
      <c r="C1481" s="154" t="s">
        <v>5491</v>
      </c>
      <c r="D1481" s="170">
        <v>44</v>
      </c>
      <c r="E1481" s="154">
        <v>1</v>
      </c>
      <c r="F1481" s="154" t="s">
        <v>5557</v>
      </c>
      <c r="G1481" s="154" t="s">
        <v>2170</v>
      </c>
      <c r="H1481" s="154" t="s">
        <v>5563</v>
      </c>
      <c r="J1481" s="154" t="s">
        <v>29</v>
      </c>
      <c r="K1481" s="154" t="s">
        <v>2426</v>
      </c>
      <c r="N1481" s="155"/>
      <c r="O1481" s="156"/>
      <c r="P1481" s="157"/>
      <c r="Q1481" s="158">
        <v>7</v>
      </c>
      <c r="R1481" s="159">
        <v>3</v>
      </c>
      <c r="S1481" s="160"/>
      <c r="T1481" s="161">
        <v>1</v>
      </c>
      <c r="U1481" s="156"/>
      <c r="V1481" s="162">
        <v>2</v>
      </c>
      <c r="W1481" s="163">
        <v>1</v>
      </c>
      <c r="X1481" s="164"/>
      <c r="Y1481" s="159"/>
      <c r="Z1481" s="161"/>
      <c r="AA1481" s="165">
        <v>1</v>
      </c>
      <c r="AD1481" s="154" t="s">
        <v>1691</v>
      </c>
      <c r="AE1481" s="155"/>
      <c r="AF1481" s="154" t="s">
        <v>5663</v>
      </c>
      <c r="AP1481" s="155"/>
      <c r="AQ1481" s="156"/>
      <c r="AR1481" s="157"/>
      <c r="AS1481" s="158"/>
      <c r="AT1481" s="159"/>
      <c r="AU1481" s="161"/>
      <c r="AV1481" s="156"/>
      <c r="AW1481" s="162"/>
      <c r="AX1481" s="163"/>
      <c r="AY1481" s="164"/>
      <c r="AZ1481" s="159"/>
      <c r="BA1481" s="161"/>
      <c r="BB1481" s="165"/>
      <c r="BF1481" s="155"/>
    </row>
    <row r="1482" spans="1:59" s="154" customFormat="1" ht="15" customHeight="1">
      <c r="A1482" s="153" t="s">
        <v>5461</v>
      </c>
      <c r="B1482" s="153" t="s">
        <v>5564</v>
      </c>
      <c r="C1482" s="154" t="s">
        <v>5491</v>
      </c>
      <c r="D1482" s="170">
        <v>45</v>
      </c>
      <c r="E1482" s="154">
        <v>1</v>
      </c>
      <c r="F1482" s="154" t="s">
        <v>5557</v>
      </c>
      <c r="G1482" s="154" t="s">
        <v>2170</v>
      </c>
      <c r="H1482" s="154" t="s">
        <v>5565</v>
      </c>
      <c r="J1482" s="154" t="s">
        <v>29</v>
      </c>
      <c r="K1482" s="154" t="s">
        <v>2426</v>
      </c>
      <c r="N1482" s="155"/>
      <c r="O1482" s="156"/>
      <c r="P1482" s="157"/>
      <c r="Q1482" s="158">
        <v>6</v>
      </c>
      <c r="R1482" s="159">
        <v>3</v>
      </c>
      <c r="S1482" s="160"/>
      <c r="T1482" s="161">
        <v>1</v>
      </c>
      <c r="U1482" s="156"/>
      <c r="V1482" s="162">
        <v>1</v>
      </c>
      <c r="W1482" s="163">
        <v>2</v>
      </c>
      <c r="X1482" s="164"/>
      <c r="Y1482" s="159"/>
      <c r="Z1482" s="161"/>
      <c r="AA1482" s="165">
        <v>1</v>
      </c>
      <c r="AD1482" s="154" t="s">
        <v>1691</v>
      </c>
      <c r="AE1482" s="155"/>
      <c r="AF1482" s="154" t="s">
        <v>5664</v>
      </c>
      <c r="AP1482" s="155"/>
      <c r="AQ1482" s="156"/>
      <c r="AR1482" s="157"/>
      <c r="AS1482" s="158"/>
      <c r="AT1482" s="159"/>
      <c r="AU1482" s="161"/>
      <c r="AV1482" s="156"/>
      <c r="AW1482" s="162"/>
      <c r="AX1482" s="163"/>
      <c r="AY1482" s="164"/>
      <c r="AZ1482" s="159"/>
      <c r="BA1482" s="161"/>
      <c r="BB1482" s="165"/>
      <c r="BF1482" s="155"/>
    </row>
    <row r="1483" spans="1:59" s="154" customFormat="1" ht="15" customHeight="1">
      <c r="A1483" s="153" t="s">
        <v>5461</v>
      </c>
      <c r="B1483" s="153" t="s">
        <v>5566</v>
      </c>
      <c r="C1483" s="154" t="s">
        <v>5491</v>
      </c>
      <c r="D1483" s="170">
        <v>46</v>
      </c>
      <c r="E1483" s="154">
        <v>2</v>
      </c>
      <c r="F1483" s="154" t="s">
        <v>5557</v>
      </c>
      <c r="G1483" s="154" t="s">
        <v>5567</v>
      </c>
      <c r="J1483" s="154" t="s">
        <v>28</v>
      </c>
      <c r="K1483" s="154" t="s">
        <v>2426</v>
      </c>
      <c r="N1483" s="155"/>
      <c r="O1483" s="156"/>
      <c r="P1483" s="157"/>
      <c r="Q1483" s="158"/>
      <c r="R1483" s="159"/>
      <c r="S1483" s="160"/>
      <c r="T1483" s="161"/>
      <c r="U1483" s="156"/>
      <c r="V1483" s="162"/>
      <c r="W1483" s="163"/>
      <c r="X1483" s="164"/>
      <c r="Y1483" s="159"/>
      <c r="Z1483" s="161"/>
      <c r="AA1483" s="165"/>
      <c r="AD1483" s="154" t="s">
        <v>1663</v>
      </c>
      <c r="AE1483" s="155"/>
      <c r="AF1483" s="154" t="s">
        <v>5665</v>
      </c>
      <c r="AP1483" s="155"/>
      <c r="AQ1483" s="156"/>
      <c r="AR1483" s="157"/>
      <c r="AS1483" s="158"/>
      <c r="AT1483" s="159"/>
      <c r="AU1483" s="161"/>
      <c r="AV1483" s="156"/>
      <c r="AW1483" s="162"/>
      <c r="AX1483" s="163"/>
      <c r="AY1483" s="164"/>
      <c r="AZ1483" s="159"/>
      <c r="BA1483" s="161"/>
      <c r="BB1483" s="165"/>
      <c r="BF1483" s="155"/>
    </row>
    <row r="1484" spans="1:59" s="154" customFormat="1" ht="15" customHeight="1">
      <c r="A1484" s="153" t="s">
        <v>5461</v>
      </c>
      <c r="B1484" s="153" t="s">
        <v>5568</v>
      </c>
      <c r="C1484" s="154" t="s">
        <v>5491</v>
      </c>
      <c r="D1484" s="170">
        <v>47</v>
      </c>
      <c r="E1484" s="154">
        <v>1</v>
      </c>
      <c r="F1484" s="154" t="s">
        <v>5569</v>
      </c>
      <c r="G1484" s="154" t="s">
        <v>5569</v>
      </c>
      <c r="J1484" s="154" t="s">
        <v>618</v>
      </c>
      <c r="K1484" s="154" t="s">
        <v>2426</v>
      </c>
      <c r="N1484" s="155"/>
      <c r="O1484" s="156"/>
      <c r="P1484" s="157"/>
      <c r="Q1484" s="158"/>
      <c r="R1484" s="159"/>
      <c r="S1484" s="160"/>
      <c r="T1484" s="161"/>
      <c r="U1484" s="156"/>
      <c r="V1484" s="162"/>
      <c r="W1484" s="163"/>
      <c r="X1484" s="164"/>
      <c r="Y1484" s="159"/>
      <c r="Z1484" s="161"/>
      <c r="AA1484" s="165"/>
      <c r="AE1484" s="155"/>
      <c r="AF1484" s="154" t="s">
        <v>5666</v>
      </c>
      <c r="AI1484" s="154" t="s">
        <v>5569</v>
      </c>
      <c r="AL1484" s="154" t="s">
        <v>618</v>
      </c>
      <c r="AM1484" s="154" t="s">
        <v>2426</v>
      </c>
      <c r="AP1484" s="155"/>
      <c r="AQ1484" s="156"/>
      <c r="AR1484" s="157"/>
      <c r="AS1484" s="158"/>
      <c r="AT1484" s="159"/>
      <c r="AU1484" s="161"/>
      <c r="AV1484" s="156"/>
      <c r="AW1484" s="162"/>
      <c r="AX1484" s="163"/>
      <c r="AY1484" s="164"/>
      <c r="AZ1484" s="159"/>
      <c r="BA1484" s="161"/>
      <c r="BB1484" s="165"/>
      <c r="BF1484" s="155"/>
      <c r="BG1484" s="154" t="s">
        <v>5667</v>
      </c>
    </row>
    <row r="1485" spans="1:59" s="154" customFormat="1" ht="15" customHeight="1">
      <c r="A1485" s="153" t="s">
        <v>5461</v>
      </c>
      <c r="B1485" s="169" t="s">
        <v>5570</v>
      </c>
      <c r="C1485" s="154" t="s">
        <v>5491</v>
      </c>
      <c r="D1485" s="155">
        <v>48</v>
      </c>
      <c r="E1485" s="154">
        <v>1</v>
      </c>
      <c r="F1485" s="154" t="s">
        <v>5569</v>
      </c>
      <c r="G1485" s="154" t="s">
        <v>2274</v>
      </c>
      <c r="J1485" s="154" t="s">
        <v>31</v>
      </c>
      <c r="K1485" s="154" t="s">
        <v>2426</v>
      </c>
      <c r="N1485" s="155"/>
      <c r="O1485" s="156"/>
      <c r="P1485" s="157"/>
      <c r="Q1485" s="158"/>
      <c r="R1485" s="159"/>
      <c r="S1485" s="160"/>
      <c r="T1485" s="161"/>
      <c r="U1485" s="156"/>
      <c r="V1485" s="162"/>
      <c r="W1485" s="163"/>
      <c r="X1485" s="164"/>
      <c r="Y1485" s="159"/>
      <c r="Z1485" s="161"/>
      <c r="AA1485" s="165"/>
      <c r="AD1485" s="154" t="s">
        <v>2340</v>
      </c>
      <c r="AE1485" s="155"/>
      <c r="AI1485" s="154" t="s">
        <v>2274</v>
      </c>
      <c r="AJ1485" s="154" t="s">
        <v>5571</v>
      </c>
      <c r="AL1485" s="154" t="s">
        <v>31</v>
      </c>
      <c r="AM1485" s="154" t="s">
        <v>2426</v>
      </c>
      <c r="AP1485" s="155"/>
      <c r="AQ1485" s="156"/>
      <c r="AR1485" s="157"/>
      <c r="AS1485" s="158"/>
      <c r="AT1485" s="159"/>
      <c r="AU1485" s="161"/>
      <c r="AV1485" s="156"/>
      <c r="AW1485" s="162"/>
      <c r="AX1485" s="163"/>
      <c r="AY1485" s="164">
        <v>4</v>
      </c>
      <c r="AZ1485" s="159">
        <v>3</v>
      </c>
      <c r="BA1485" s="161"/>
      <c r="BB1485" s="165"/>
      <c r="BE1485" s="154" t="s">
        <v>2340</v>
      </c>
      <c r="BF1485" s="155"/>
      <c r="BG1485" s="154" t="s">
        <v>5668</v>
      </c>
    </row>
    <row r="1486" spans="1:59" s="154" customFormat="1" ht="15" customHeight="1">
      <c r="A1486" s="153" t="s">
        <v>5461</v>
      </c>
      <c r="B1486" s="153" t="s">
        <v>5572</v>
      </c>
      <c r="C1486" s="154" t="s">
        <v>5491</v>
      </c>
      <c r="D1486" s="155">
        <v>49</v>
      </c>
      <c r="E1486" s="154">
        <v>1</v>
      </c>
      <c r="F1486" s="154" t="s">
        <v>5569</v>
      </c>
      <c r="G1486" s="154" t="s">
        <v>2276</v>
      </c>
      <c r="J1486" s="154" t="s">
        <v>31</v>
      </c>
      <c r="K1486" s="154" t="s">
        <v>2426</v>
      </c>
      <c r="N1486" s="155"/>
      <c r="O1486" s="156"/>
      <c r="P1486" s="157"/>
      <c r="Q1486" s="158"/>
      <c r="R1486" s="159"/>
      <c r="S1486" s="160"/>
      <c r="T1486" s="161"/>
      <c r="U1486" s="156"/>
      <c r="V1486" s="162"/>
      <c r="W1486" s="163"/>
      <c r="X1486" s="164"/>
      <c r="Y1486" s="159"/>
      <c r="Z1486" s="161"/>
      <c r="AA1486" s="165"/>
      <c r="AD1486" s="154" t="s">
        <v>2340</v>
      </c>
      <c r="AE1486" s="155"/>
      <c r="AI1486" s="154" t="s">
        <v>2276</v>
      </c>
      <c r="AJ1486" s="154" t="s">
        <v>5571</v>
      </c>
      <c r="AL1486" s="154" t="s">
        <v>31</v>
      </c>
      <c r="AM1486" s="154" t="s">
        <v>2426</v>
      </c>
      <c r="AP1486" s="155"/>
      <c r="AQ1486" s="156"/>
      <c r="AR1486" s="157"/>
      <c r="AS1486" s="158"/>
      <c r="AT1486" s="159"/>
      <c r="AU1486" s="161"/>
      <c r="AV1486" s="156"/>
      <c r="AW1486" s="162"/>
      <c r="AX1486" s="163"/>
      <c r="AY1486" s="164">
        <v>4</v>
      </c>
      <c r="AZ1486" s="159">
        <v>3</v>
      </c>
      <c r="BA1486" s="161"/>
      <c r="BB1486" s="165"/>
      <c r="BE1486" s="154" t="s">
        <v>2340</v>
      </c>
      <c r="BF1486" s="155"/>
      <c r="BG1486" s="154" t="s">
        <v>5573</v>
      </c>
    </row>
    <row r="1487" spans="1:59" s="154" customFormat="1" ht="15" customHeight="1">
      <c r="A1487" s="153" t="s">
        <v>5461</v>
      </c>
      <c r="B1487" s="183" t="s">
        <v>5574</v>
      </c>
      <c r="C1487" s="154" t="s">
        <v>5491</v>
      </c>
      <c r="D1487" s="155">
        <v>50</v>
      </c>
      <c r="E1487" s="154">
        <v>1</v>
      </c>
      <c r="F1487" s="154" t="s">
        <v>5569</v>
      </c>
      <c r="G1487" s="154" t="s">
        <v>5575</v>
      </c>
      <c r="J1487" s="154" t="s">
        <v>31</v>
      </c>
      <c r="K1487" s="154" t="s">
        <v>2426</v>
      </c>
      <c r="N1487" s="155"/>
      <c r="O1487" s="156"/>
      <c r="P1487" s="157"/>
      <c r="Q1487" s="158"/>
      <c r="R1487" s="159"/>
      <c r="S1487" s="160"/>
      <c r="T1487" s="161"/>
      <c r="U1487" s="156"/>
      <c r="V1487" s="162"/>
      <c r="W1487" s="163"/>
      <c r="X1487" s="164"/>
      <c r="Y1487" s="159"/>
      <c r="Z1487" s="161"/>
      <c r="AA1487" s="165"/>
      <c r="AD1487" s="154" t="s">
        <v>2344</v>
      </c>
      <c r="AE1487" s="155"/>
      <c r="AI1487" s="154" t="s">
        <v>2307</v>
      </c>
      <c r="AL1487" s="154" t="s">
        <v>31</v>
      </c>
      <c r="AM1487" s="154" t="s">
        <v>2426</v>
      </c>
      <c r="AP1487" s="155"/>
      <c r="AQ1487" s="156"/>
      <c r="AR1487" s="157"/>
      <c r="AS1487" s="158"/>
      <c r="AT1487" s="159"/>
      <c r="AU1487" s="161"/>
      <c r="AV1487" s="156"/>
      <c r="AW1487" s="162"/>
      <c r="AX1487" s="163"/>
      <c r="AY1487" s="164">
        <v>2</v>
      </c>
      <c r="AZ1487" s="159" t="s">
        <v>1073</v>
      </c>
      <c r="BA1487" s="161"/>
      <c r="BB1487" s="165"/>
      <c r="BE1487" s="154" t="s">
        <v>2344</v>
      </c>
      <c r="BF1487" s="155"/>
      <c r="BG1487" s="154" t="s">
        <v>5669</v>
      </c>
    </row>
    <row r="1488" spans="1:59" s="154" customFormat="1" ht="15" customHeight="1">
      <c r="A1488" s="153" t="s">
        <v>5461</v>
      </c>
      <c r="B1488" s="154" t="s">
        <v>5576</v>
      </c>
      <c r="C1488" s="154" t="s">
        <v>5491</v>
      </c>
      <c r="D1488" s="155">
        <v>51</v>
      </c>
      <c r="E1488" s="154">
        <v>1</v>
      </c>
      <c r="F1488" s="154" t="s">
        <v>5569</v>
      </c>
      <c r="G1488" s="154" t="s">
        <v>5577</v>
      </c>
      <c r="J1488" s="154" t="s">
        <v>31</v>
      </c>
      <c r="K1488" s="154" t="s">
        <v>2426</v>
      </c>
      <c r="N1488" s="155"/>
      <c r="O1488" s="156"/>
      <c r="P1488" s="157"/>
      <c r="Q1488" s="158"/>
      <c r="R1488" s="159"/>
      <c r="S1488" s="160"/>
      <c r="T1488" s="161"/>
      <c r="U1488" s="156"/>
      <c r="V1488" s="162"/>
      <c r="W1488" s="163"/>
      <c r="X1488" s="164"/>
      <c r="Y1488" s="159"/>
      <c r="Z1488" s="161"/>
      <c r="AA1488" s="165"/>
      <c r="AD1488" s="154" t="s">
        <v>2348</v>
      </c>
      <c r="AE1488" s="155"/>
      <c r="AI1488" s="154" t="s">
        <v>2308</v>
      </c>
      <c r="AL1488" s="154" t="s">
        <v>31</v>
      </c>
      <c r="AM1488" s="154" t="s">
        <v>2426</v>
      </c>
      <c r="AP1488" s="155"/>
      <c r="AQ1488" s="156"/>
      <c r="AR1488" s="157"/>
      <c r="AS1488" s="158"/>
      <c r="AT1488" s="159"/>
      <c r="AU1488" s="161"/>
      <c r="AV1488" s="156"/>
      <c r="AW1488" s="162"/>
      <c r="AX1488" s="163"/>
      <c r="AY1488" s="164">
        <v>4</v>
      </c>
      <c r="AZ1488" s="159" t="s">
        <v>1073</v>
      </c>
      <c r="BA1488" s="161"/>
      <c r="BB1488" s="165"/>
      <c r="BE1488" s="154" t="s">
        <v>2348</v>
      </c>
      <c r="BF1488" s="155"/>
      <c r="BG1488" s="154" t="s">
        <v>5670</v>
      </c>
    </row>
    <row r="1489" spans="1:59" s="154" customFormat="1" ht="15" customHeight="1">
      <c r="A1489" s="153" t="s">
        <v>5461</v>
      </c>
      <c r="B1489" s="154" t="s">
        <v>5578</v>
      </c>
      <c r="C1489" s="154" t="s">
        <v>5491</v>
      </c>
      <c r="D1489" s="155">
        <v>52</v>
      </c>
      <c r="E1489" s="154">
        <v>1</v>
      </c>
      <c r="F1489" s="154" t="s">
        <v>5569</v>
      </c>
      <c r="G1489" s="154" t="s">
        <v>5579</v>
      </c>
      <c r="H1489" s="154" t="s">
        <v>5580</v>
      </c>
      <c r="I1489" s="154" t="s">
        <v>223</v>
      </c>
      <c r="J1489" s="154" t="s">
        <v>257</v>
      </c>
      <c r="K1489" s="154" t="s">
        <v>26</v>
      </c>
      <c r="N1489" s="155">
        <v>5</v>
      </c>
      <c r="O1489" s="156"/>
      <c r="P1489" s="157">
        <v>2</v>
      </c>
      <c r="Q1489" s="158">
        <v>2</v>
      </c>
      <c r="R1489" s="159"/>
      <c r="S1489" s="160"/>
      <c r="T1489" s="161">
        <v>3</v>
      </c>
      <c r="U1489" s="156">
        <v>3</v>
      </c>
      <c r="V1489" s="162"/>
      <c r="W1489" s="163"/>
      <c r="X1489" s="164"/>
      <c r="Y1489" s="159"/>
      <c r="Z1489" s="161"/>
      <c r="AA1489" s="165"/>
      <c r="AB1489" s="154" t="s">
        <v>5581</v>
      </c>
      <c r="AC1489" s="154" t="s">
        <v>25</v>
      </c>
      <c r="AD1489" s="154" t="s">
        <v>5582</v>
      </c>
      <c r="AE1489" s="155"/>
      <c r="AF1489" s="154" t="s">
        <v>5671</v>
      </c>
      <c r="AJ1489" s="171"/>
      <c r="AP1489" s="155"/>
      <c r="AQ1489" s="156"/>
      <c r="AR1489" s="157"/>
      <c r="AS1489" s="158"/>
      <c r="AT1489" s="159"/>
      <c r="AU1489" s="161"/>
      <c r="AV1489" s="156"/>
      <c r="AW1489" s="162"/>
      <c r="AX1489" s="163"/>
      <c r="AY1489" s="164"/>
      <c r="AZ1489" s="159"/>
      <c r="BA1489" s="161"/>
      <c r="BB1489" s="165"/>
      <c r="BF1489" s="155"/>
    </row>
    <row r="1490" spans="1:59" s="154" customFormat="1" ht="15" customHeight="1">
      <c r="A1490" s="153" t="s">
        <v>5461</v>
      </c>
      <c r="B1490" s="154" t="s">
        <v>5583</v>
      </c>
      <c r="C1490" s="154" t="s">
        <v>5491</v>
      </c>
      <c r="D1490" s="155">
        <v>53</v>
      </c>
      <c r="E1490" s="154">
        <v>1</v>
      </c>
      <c r="F1490" s="154" t="s">
        <v>5584</v>
      </c>
      <c r="G1490" s="154" t="s">
        <v>5584</v>
      </c>
      <c r="J1490" s="154" t="s">
        <v>618</v>
      </c>
      <c r="K1490" s="154" t="s">
        <v>2426</v>
      </c>
      <c r="N1490" s="155"/>
      <c r="O1490" s="156"/>
      <c r="P1490" s="157"/>
      <c r="Q1490" s="158"/>
      <c r="R1490" s="159"/>
      <c r="S1490" s="160"/>
      <c r="T1490" s="161"/>
      <c r="U1490" s="156"/>
      <c r="V1490" s="162"/>
      <c r="W1490" s="163"/>
      <c r="X1490" s="164"/>
      <c r="Y1490" s="159"/>
      <c r="Z1490" s="161"/>
      <c r="AA1490" s="165"/>
      <c r="AE1490" s="155"/>
      <c r="AF1490" s="154" t="s">
        <v>5672</v>
      </c>
      <c r="AI1490" s="154" t="s">
        <v>5584</v>
      </c>
      <c r="AL1490" s="154" t="s">
        <v>618</v>
      </c>
      <c r="AM1490" s="154" t="s">
        <v>2426</v>
      </c>
      <c r="AP1490" s="155"/>
      <c r="AQ1490" s="156"/>
      <c r="AR1490" s="157"/>
      <c r="AS1490" s="158"/>
      <c r="AT1490" s="159"/>
      <c r="AU1490" s="161"/>
      <c r="AV1490" s="156"/>
      <c r="AW1490" s="162"/>
      <c r="AX1490" s="163"/>
      <c r="AY1490" s="164"/>
      <c r="AZ1490" s="159"/>
      <c r="BA1490" s="161"/>
      <c r="BB1490" s="165"/>
      <c r="BF1490" s="155"/>
      <c r="BG1490" s="154" t="s">
        <v>5673</v>
      </c>
    </row>
    <row r="1491" spans="1:59" s="154" customFormat="1" ht="15" customHeight="1">
      <c r="A1491" s="153" t="s">
        <v>5461</v>
      </c>
      <c r="B1491" s="153" t="s">
        <v>5585</v>
      </c>
      <c r="C1491" s="154" t="s">
        <v>5491</v>
      </c>
      <c r="D1491" s="155">
        <v>54</v>
      </c>
      <c r="E1491" s="154">
        <v>1</v>
      </c>
      <c r="F1491" s="154" t="s">
        <v>5584</v>
      </c>
      <c r="G1491" s="154" t="s">
        <v>5586</v>
      </c>
      <c r="J1491" s="154" t="s">
        <v>619</v>
      </c>
      <c r="K1491" s="154" t="s">
        <v>2426</v>
      </c>
      <c r="L1491" s="154">
        <v>3</v>
      </c>
      <c r="N1491" s="155"/>
      <c r="O1491" s="156"/>
      <c r="P1491" s="157"/>
      <c r="Q1491" s="158"/>
      <c r="R1491" s="159"/>
      <c r="S1491" s="160"/>
      <c r="T1491" s="161"/>
      <c r="U1491" s="156"/>
      <c r="V1491" s="162"/>
      <c r="W1491" s="163"/>
      <c r="X1491" s="164"/>
      <c r="Y1491" s="159"/>
      <c r="Z1491" s="161">
        <v>6</v>
      </c>
      <c r="AA1491" s="165"/>
      <c r="AE1491" s="155"/>
      <c r="AF1491" s="154" t="s">
        <v>2430</v>
      </c>
      <c r="AI1491" s="154" t="s">
        <v>5587</v>
      </c>
      <c r="AL1491" s="154" t="s">
        <v>619</v>
      </c>
      <c r="AM1491" s="154" t="s">
        <v>2426</v>
      </c>
      <c r="AN1491" s="154">
        <v>3</v>
      </c>
      <c r="AP1491" s="155"/>
      <c r="AQ1491" s="156"/>
      <c r="AR1491" s="157"/>
      <c r="AS1491" s="158"/>
      <c r="AT1491" s="159"/>
      <c r="AU1491" s="161"/>
      <c r="AV1491" s="156"/>
      <c r="AW1491" s="162"/>
      <c r="AX1491" s="163"/>
      <c r="AY1491" s="164"/>
      <c r="AZ1491" s="159"/>
      <c r="BA1491" s="161"/>
      <c r="BB1491" s="165"/>
      <c r="BF1491" s="155"/>
      <c r="BG1491" s="154" t="s">
        <v>5674</v>
      </c>
    </row>
    <row r="1492" spans="1:59" s="154" customFormat="1" ht="15" customHeight="1">
      <c r="A1492" s="153" t="s">
        <v>5461</v>
      </c>
      <c r="B1492" s="153" t="s">
        <v>5588</v>
      </c>
      <c r="C1492" s="154" t="s">
        <v>5491</v>
      </c>
      <c r="D1492" s="155">
        <v>55</v>
      </c>
      <c r="E1492" s="154">
        <v>1</v>
      </c>
      <c r="F1492" s="154" t="s">
        <v>5584</v>
      </c>
      <c r="G1492" s="154" t="s">
        <v>5589</v>
      </c>
      <c r="J1492" s="154" t="s">
        <v>621</v>
      </c>
      <c r="K1492" s="154" t="s">
        <v>2426</v>
      </c>
      <c r="L1492" s="154">
        <v>2</v>
      </c>
      <c r="N1492" s="155"/>
      <c r="O1492" s="156"/>
      <c r="P1492" s="157"/>
      <c r="Q1492" s="158"/>
      <c r="R1492" s="159"/>
      <c r="S1492" s="160"/>
      <c r="T1492" s="161"/>
      <c r="U1492" s="156"/>
      <c r="V1492" s="162"/>
      <c r="W1492" s="163"/>
      <c r="X1492" s="164"/>
      <c r="Y1492" s="159" t="s">
        <v>38</v>
      </c>
      <c r="Z1492" s="161"/>
      <c r="AA1492" s="165"/>
      <c r="AE1492" s="155"/>
      <c r="AF1492" s="154" t="s">
        <v>2453</v>
      </c>
      <c r="AI1492" s="154" t="s">
        <v>5590</v>
      </c>
      <c r="AL1492" s="154" t="s">
        <v>621</v>
      </c>
      <c r="AM1492" s="154" t="s">
        <v>2426</v>
      </c>
      <c r="AN1492" s="154">
        <v>2</v>
      </c>
      <c r="AP1492" s="155"/>
      <c r="AQ1492" s="156"/>
      <c r="AR1492" s="157"/>
      <c r="AS1492" s="158"/>
      <c r="AT1492" s="159"/>
      <c r="AU1492" s="161"/>
      <c r="AV1492" s="156"/>
      <c r="AW1492" s="162"/>
      <c r="AX1492" s="163"/>
      <c r="AY1492" s="164"/>
      <c r="AZ1492" s="159"/>
      <c r="BA1492" s="161"/>
      <c r="BB1492" s="165"/>
      <c r="BF1492" s="155"/>
      <c r="BG1492" s="154" t="s">
        <v>5675</v>
      </c>
    </row>
    <row r="1493" spans="1:59" s="154" customFormat="1" ht="15" customHeight="1">
      <c r="A1493" s="153" t="s">
        <v>5461</v>
      </c>
      <c r="B1493" s="153" t="s">
        <v>5591</v>
      </c>
      <c r="C1493" s="154" t="s">
        <v>5491</v>
      </c>
      <c r="D1493" s="155">
        <v>56</v>
      </c>
      <c r="E1493" s="154">
        <v>1</v>
      </c>
      <c r="F1493" s="154" t="s">
        <v>5584</v>
      </c>
      <c r="G1493" s="154" t="s">
        <v>2296</v>
      </c>
      <c r="H1493" s="154" t="s">
        <v>5592</v>
      </c>
      <c r="I1493" s="154" t="s">
        <v>223</v>
      </c>
      <c r="J1493" s="154" t="s">
        <v>29</v>
      </c>
      <c r="K1493" s="154" t="s">
        <v>2426</v>
      </c>
      <c r="N1493" s="155"/>
      <c r="O1493" s="156"/>
      <c r="P1493" s="157"/>
      <c r="Q1493" s="158">
        <v>5</v>
      </c>
      <c r="R1493" s="159">
        <v>5</v>
      </c>
      <c r="S1493" s="160"/>
      <c r="T1493" s="161" t="s">
        <v>4883</v>
      </c>
      <c r="U1493" s="156"/>
      <c r="V1493" s="162">
        <v>1</v>
      </c>
      <c r="W1493" s="163">
        <v>1</v>
      </c>
      <c r="X1493" s="164"/>
      <c r="Y1493" s="159"/>
      <c r="Z1493" s="161"/>
      <c r="AA1493" s="165">
        <v>2</v>
      </c>
      <c r="AD1493" s="154" t="s">
        <v>5593</v>
      </c>
      <c r="AE1493" s="155"/>
      <c r="AF1493" s="154" t="s">
        <v>5676</v>
      </c>
      <c r="AP1493" s="155"/>
      <c r="AQ1493" s="156"/>
      <c r="AR1493" s="157"/>
      <c r="AS1493" s="158"/>
      <c r="AT1493" s="159"/>
      <c r="AU1493" s="161"/>
      <c r="AV1493" s="156"/>
      <c r="AW1493" s="162"/>
      <c r="AX1493" s="163"/>
      <c r="AY1493" s="164"/>
      <c r="AZ1493" s="159"/>
      <c r="BA1493" s="161"/>
      <c r="BB1493" s="165"/>
      <c r="BF1493" s="155"/>
    </row>
    <row r="1494" spans="1:59" s="154" customFormat="1" ht="15" customHeight="1">
      <c r="A1494" s="153" t="s">
        <v>5461</v>
      </c>
      <c r="B1494" s="23" t="s">
        <v>5594</v>
      </c>
      <c r="C1494" s="154" t="s">
        <v>5491</v>
      </c>
      <c r="D1494" s="155">
        <v>57</v>
      </c>
      <c r="E1494" s="154">
        <v>1</v>
      </c>
      <c r="F1494" s="154" t="s">
        <v>5584</v>
      </c>
      <c r="G1494" s="154" t="s">
        <v>5595</v>
      </c>
      <c r="H1494" s="154" t="s">
        <v>5596</v>
      </c>
      <c r="J1494" s="154" t="s">
        <v>31</v>
      </c>
      <c r="K1494" s="154" t="s">
        <v>2426</v>
      </c>
      <c r="N1494" s="155"/>
      <c r="O1494" s="156"/>
      <c r="P1494" s="157"/>
      <c r="Q1494" s="158"/>
      <c r="R1494" s="159"/>
      <c r="S1494" s="160"/>
      <c r="T1494" s="161"/>
      <c r="U1494" s="156"/>
      <c r="V1494" s="162"/>
      <c r="W1494" s="163"/>
      <c r="X1494" s="164">
        <v>9</v>
      </c>
      <c r="Y1494" s="159">
        <v>0</v>
      </c>
      <c r="Z1494" s="161"/>
      <c r="AA1494" s="165"/>
      <c r="AD1494" s="154" t="s">
        <v>2466</v>
      </c>
      <c r="AE1494" s="155"/>
      <c r="AF1494" s="154" t="s">
        <v>5677</v>
      </c>
      <c r="AP1494" s="155"/>
      <c r="AQ1494" s="156"/>
      <c r="AR1494" s="157"/>
      <c r="AS1494" s="158"/>
      <c r="AT1494" s="159"/>
      <c r="AU1494" s="161"/>
      <c r="AV1494" s="156"/>
      <c r="AW1494" s="162"/>
      <c r="AX1494" s="163"/>
      <c r="AY1494" s="164"/>
      <c r="AZ1494" s="159"/>
      <c r="BA1494" s="161"/>
      <c r="BB1494" s="165"/>
      <c r="BF1494" s="155"/>
    </row>
    <row r="1495" spans="1:59" s="154" customFormat="1" ht="15" customHeight="1">
      <c r="A1495" s="153" t="s">
        <v>5461</v>
      </c>
      <c r="B1495" s="23" t="s">
        <v>5597</v>
      </c>
      <c r="C1495" s="154" t="s">
        <v>5491</v>
      </c>
      <c r="D1495" s="155">
        <v>58</v>
      </c>
      <c r="E1495" s="154">
        <v>1</v>
      </c>
      <c r="F1495" s="154" t="s">
        <v>5584</v>
      </c>
      <c r="G1495" s="154" t="s">
        <v>5598</v>
      </c>
      <c r="J1495" s="154" t="s">
        <v>31</v>
      </c>
      <c r="K1495" s="154" t="s">
        <v>2426</v>
      </c>
      <c r="N1495" s="155"/>
      <c r="O1495" s="156"/>
      <c r="P1495" s="157"/>
      <c r="Q1495" s="158"/>
      <c r="R1495" s="159"/>
      <c r="S1495" s="160"/>
      <c r="T1495" s="161"/>
      <c r="U1495" s="156"/>
      <c r="V1495" s="162"/>
      <c r="W1495" s="163"/>
      <c r="X1495" s="164">
        <v>3</v>
      </c>
      <c r="Y1495" s="159">
        <v>1</v>
      </c>
      <c r="Z1495" s="161"/>
      <c r="AA1495" s="165"/>
      <c r="AD1495" s="154" t="s">
        <v>2482</v>
      </c>
      <c r="AE1495" s="155"/>
      <c r="AF1495" s="154" t="s">
        <v>5678</v>
      </c>
      <c r="AP1495" s="155"/>
      <c r="AQ1495" s="156"/>
      <c r="AR1495" s="157"/>
      <c r="AS1495" s="158"/>
      <c r="AT1495" s="159"/>
      <c r="AU1495" s="161"/>
      <c r="AV1495" s="156"/>
      <c r="AW1495" s="162"/>
      <c r="AX1495" s="163"/>
      <c r="AY1495" s="164"/>
      <c r="AZ1495" s="159"/>
      <c r="BA1495" s="161"/>
      <c r="BB1495" s="165"/>
      <c r="BF1495" s="155"/>
    </row>
    <row r="1496" spans="1:59" s="154" customFormat="1" ht="15" customHeight="1">
      <c r="A1496" s="153" t="s">
        <v>5461</v>
      </c>
      <c r="B1496" s="23" t="s">
        <v>5599</v>
      </c>
      <c r="C1496" s="154" t="s">
        <v>5491</v>
      </c>
      <c r="D1496" s="155">
        <v>59</v>
      </c>
      <c r="E1496" s="154">
        <v>1</v>
      </c>
      <c r="F1496" s="154" t="s">
        <v>5584</v>
      </c>
      <c r="G1496" s="154" t="s">
        <v>5600</v>
      </c>
      <c r="J1496" s="154" t="s">
        <v>31</v>
      </c>
      <c r="K1496" s="154" t="s">
        <v>2426</v>
      </c>
      <c r="N1496" s="155"/>
      <c r="O1496" s="156"/>
      <c r="P1496" s="157"/>
      <c r="Q1496" s="158"/>
      <c r="R1496" s="159"/>
      <c r="S1496" s="160"/>
      <c r="T1496" s="161"/>
      <c r="U1496" s="156"/>
      <c r="V1496" s="162"/>
      <c r="W1496" s="163"/>
      <c r="X1496" s="164">
        <v>3</v>
      </c>
      <c r="Y1496" s="159">
        <v>4</v>
      </c>
      <c r="Z1496" s="161"/>
      <c r="AA1496" s="165"/>
      <c r="AD1496" s="154" t="s">
        <v>2482</v>
      </c>
      <c r="AE1496" s="155"/>
      <c r="AF1496" s="154" t="s">
        <v>5679</v>
      </c>
      <c r="AP1496" s="155"/>
      <c r="AQ1496" s="156"/>
      <c r="AR1496" s="157"/>
      <c r="AS1496" s="158"/>
      <c r="AT1496" s="159"/>
      <c r="AU1496" s="161"/>
      <c r="AV1496" s="156"/>
      <c r="AW1496" s="162"/>
      <c r="AX1496" s="163"/>
      <c r="AY1496" s="164"/>
      <c r="AZ1496" s="159"/>
      <c r="BA1496" s="161"/>
      <c r="BB1496" s="165"/>
      <c r="BF1496" s="155"/>
    </row>
    <row r="1497" spans="1:59" s="154" customFormat="1" ht="15" customHeight="1">
      <c r="A1497" s="153" t="s">
        <v>5461</v>
      </c>
      <c r="B1497" s="23" t="s">
        <v>5601</v>
      </c>
      <c r="C1497" s="154" t="s">
        <v>5491</v>
      </c>
      <c r="D1497" s="155">
        <v>60</v>
      </c>
      <c r="E1497" s="154">
        <v>1</v>
      </c>
      <c r="F1497" s="154" t="s">
        <v>5584</v>
      </c>
      <c r="G1497" s="154" t="s">
        <v>5602</v>
      </c>
      <c r="J1497" s="154" t="s">
        <v>31</v>
      </c>
      <c r="K1497" s="154" t="s">
        <v>2426</v>
      </c>
      <c r="N1497" s="155"/>
      <c r="O1497" s="156"/>
      <c r="P1497" s="157"/>
      <c r="Q1497" s="158"/>
      <c r="R1497" s="159"/>
      <c r="S1497" s="160"/>
      <c r="T1497" s="161"/>
      <c r="U1497" s="156"/>
      <c r="V1497" s="162"/>
      <c r="W1497" s="163"/>
      <c r="X1497" s="164">
        <v>3</v>
      </c>
      <c r="Y1497" s="159" t="s">
        <v>1073</v>
      </c>
      <c r="Z1497" s="161"/>
      <c r="AA1497" s="165"/>
      <c r="AD1497" s="154" t="s">
        <v>2482</v>
      </c>
      <c r="AE1497" s="155"/>
      <c r="AF1497" s="154" t="s">
        <v>5680</v>
      </c>
      <c r="AP1497" s="155"/>
      <c r="AQ1497" s="156"/>
      <c r="AR1497" s="157"/>
      <c r="AS1497" s="158"/>
      <c r="AT1497" s="159"/>
      <c r="AU1497" s="161"/>
      <c r="AV1497" s="156"/>
      <c r="AW1497" s="162"/>
      <c r="AX1497" s="163"/>
      <c r="AY1497" s="164"/>
      <c r="AZ1497" s="159"/>
      <c r="BA1497" s="161"/>
      <c r="BB1497" s="165"/>
      <c r="BF1497" s="155"/>
    </row>
    <row r="1498" spans="1:59" s="154" customFormat="1" ht="15" customHeight="1">
      <c r="A1498" s="153" t="s">
        <v>5461</v>
      </c>
      <c r="B1498" s="23" t="s">
        <v>5603</v>
      </c>
      <c r="C1498" s="154" t="s">
        <v>5491</v>
      </c>
      <c r="D1498" s="155">
        <v>61</v>
      </c>
      <c r="E1498" s="154">
        <v>2</v>
      </c>
      <c r="F1498" s="154" t="s">
        <v>5604</v>
      </c>
      <c r="G1498" s="154" t="s">
        <v>5605</v>
      </c>
      <c r="J1498" s="154" t="s">
        <v>28</v>
      </c>
      <c r="K1498" s="154" t="s">
        <v>2426</v>
      </c>
      <c r="N1498" s="155"/>
      <c r="O1498" s="156"/>
      <c r="P1498" s="157"/>
      <c r="Q1498" s="158"/>
      <c r="R1498" s="159"/>
      <c r="S1498" s="160"/>
      <c r="T1498" s="161"/>
      <c r="U1498" s="156"/>
      <c r="V1498" s="162"/>
      <c r="W1498" s="163"/>
      <c r="X1498" s="164"/>
      <c r="Y1498" s="159"/>
      <c r="Z1498" s="161"/>
      <c r="AA1498" s="165"/>
      <c r="AD1498" s="154" t="s">
        <v>486</v>
      </c>
      <c r="AE1498" s="155"/>
      <c r="AF1498" s="154" t="s">
        <v>5681</v>
      </c>
      <c r="AP1498" s="155"/>
      <c r="AQ1498" s="156"/>
      <c r="AR1498" s="157"/>
      <c r="AS1498" s="158"/>
      <c r="AT1498" s="159"/>
      <c r="AU1498" s="161"/>
      <c r="AV1498" s="156"/>
      <c r="AW1498" s="162"/>
      <c r="AX1498" s="163"/>
      <c r="AY1498" s="164"/>
      <c r="AZ1498" s="159"/>
      <c r="BA1498" s="161"/>
      <c r="BB1498" s="165"/>
      <c r="BF1498" s="155"/>
    </row>
    <row r="1499" spans="1:59" s="154" customFormat="1" ht="15" customHeight="1">
      <c r="A1499" s="153" t="s">
        <v>5461</v>
      </c>
      <c r="B1499" s="23" t="s">
        <v>5606</v>
      </c>
      <c r="C1499" s="154" t="s">
        <v>5491</v>
      </c>
      <c r="D1499" s="155">
        <v>62</v>
      </c>
      <c r="E1499" s="154">
        <v>2</v>
      </c>
      <c r="F1499" s="154" t="s">
        <v>5604</v>
      </c>
      <c r="G1499" s="154" t="s">
        <v>5607</v>
      </c>
      <c r="J1499" s="154" t="s">
        <v>28</v>
      </c>
      <c r="K1499" s="154" t="s">
        <v>2426</v>
      </c>
      <c r="N1499" s="155"/>
      <c r="O1499" s="156"/>
      <c r="P1499" s="157"/>
      <c r="Q1499" s="158"/>
      <c r="R1499" s="159"/>
      <c r="S1499" s="160"/>
      <c r="T1499" s="161"/>
      <c r="U1499" s="156"/>
      <c r="V1499" s="162"/>
      <c r="W1499" s="163"/>
      <c r="X1499" s="164"/>
      <c r="Y1499" s="159"/>
      <c r="Z1499" s="161"/>
      <c r="AA1499" s="165"/>
      <c r="AD1499" s="154" t="s">
        <v>486</v>
      </c>
      <c r="AE1499" s="155"/>
      <c r="AF1499" s="154" t="s">
        <v>5682</v>
      </c>
      <c r="AP1499" s="155"/>
      <c r="AQ1499" s="156"/>
      <c r="AR1499" s="157"/>
      <c r="AS1499" s="158"/>
      <c r="AT1499" s="159"/>
      <c r="AU1499" s="161"/>
      <c r="AV1499" s="156"/>
      <c r="AW1499" s="162"/>
      <c r="AX1499" s="163"/>
      <c r="AY1499" s="164"/>
      <c r="AZ1499" s="159"/>
      <c r="BA1499" s="161"/>
      <c r="BB1499" s="165"/>
      <c r="BF1499" s="155"/>
    </row>
    <row r="1500" spans="1:59" s="154" customFormat="1" ht="15" customHeight="1">
      <c r="A1500" s="153" t="s">
        <v>5461</v>
      </c>
      <c r="B1500" s="23" t="s">
        <v>5608</v>
      </c>
      <c r="C1500" s="154" t="s">
        <v>5491</v>
      </c>
      <c r="D1500" s="155">
        <v>63</v>
      </c>
      <c r="E1500" s="154">
        <v>2</v>
      </c>
      <c r="F1500" s="154" t="s">
        <v>5604</v>
      </c>
      <c r="G1500" s="154" t="s">
        <v>5609</v>
      </c>
      <c r="J1500" s="154" t="s">
        <v>28</v>
      </c>
      <c r="K1500" s="154" t="s">
        <v>2426</v>
      </c>
      <c r="N1500" s="155"/>
      <c r="O1500" s="156"/>
      <c r="P1500" s="157"/>
      <c r="Q1500" s="158"/>
      <c r="R1500" s="159"/>
      <c r="S1500" s="160"/>
      <c r="T1500" s="161"/>
      <c r="U1500" s="156"/>
      <c r="V1500" s="162"/>
      <c r="W1500" s="163"/>
      <c r="X1500" s="164"/>
      <c r="Y1500" s="159"/>
      <c r="Z1500" s="161"/>
      <c r="AA1500" s="165"/>
      <c r="AD1500" s="154" t="s">
        <v>486</v>
      </c>
      <c r="AE1500" s="155"/>
      <c r="AF1500" s="154" t="s">
        <v>5683</v>
      </c>
      <c r="AP1500" s="155"/>
      <c r="AQ1500" s="156"/>
      <c r="AR1500" s="157"/>
      <c r="AS1500" s="158"/>
      <c r="AT1500" s="159"/>
      <c r="AU1500" s="161"/>
      <c r="AV1500" s="156"/>
      <c r="AW1500" s="162"/>
      <c r="AX1500" s="163"/>
      <c r="AY1500" s="164"/>
      <c r="AZ1500" s="159"/>
      <c r="BA1500" s="161"/>
      <c r="BB1500" s="165"/>
      <c r="BF1500" s="155"/>
    </row>
    <row r="1501" spans="1:59" s="154" customFormat="1" ht="15" customHeight="1">
      <c r="A1501" s="153" t="s">
        <v>5461</v>
      </c>
      <c r="B1501" s="23" t="s">
        <v>5610</v>
      </c>
      <c r="C1501" s="154" t="s">
        <v>5491</v>
      </c>
      <c r="D1501" s="155">
        <v>64</v>
      </c>
      <c r="E1501" s="154">
        <v>3</v>
      </c>
      <c r="F1501" s="154" t="s">
        <v>5611</v>
      </c>
      <c r="G1501" s="154" t="s">
        <v>5611</v>
      </c>
      <c r="J1501" s="154" t="s">
        <v>28</v>
      </c>
      <c r="K1501" s="154" t="s">
        <v>2426</v>
      </c>
      <c r="N1501" s="155"/>
      <c r="O1501" s="156"/>
      <c r="P1501" s="157"/>
      <c r="Q1501" s="158"/>
      <c r="R1501" s="159"/>
      <c r="S1501" s="160"/>
      <c r="T1501" s="161"/>
      <c r="U1501" s="156"/>
      <c r="V1501" s="162"/>
      <c r="W1501" s="163"/>
      <c r="X1501" s="164"/>
      <c r="Y1501" s="159"/>
      <c r="Z1501" s="161"/>
      <c r="AA1501" s="165"/>
      <c r="AD1501" s="154" t="s">
        <v>492</v>
      </c>
      <c r="AE1501" s="155"/>
      <c r="AF1501" s="154" t="s">
        <v>5684</v>
      </c>
      <c r="AP1501" s="155"/>
      <c r="AQ1501" s="156"/>
      <c r="AR1501" s="157"/>
      <c r="AS1501" s="158"/>
      <c r="AT1501" s="159"/>
      <c r="AU1501" s="161"/>
      <c r="AV1501" s="156"/>
      <c r="AW1501" s="162"/>
      <c r="AX1501" s="163"/>
      <c r="AY1501" s="164"/>
      <c r="AZ1501" s="159"/>
      <c r="BA1501" s="161"/>
      <c r="BB1501" s="165"/>
      <c r="BF1501" s="155"/>
    </row>
    <row r="1502" spans="1:59" s="154" customFormat="1" ht="15" customHeight="1">
      <c r="A1502" s="153" t="s">
        <v>5461</v>
      </c>
      <c r="B1502" s="23" t="s">
        <v>5612</v>
      </c>
      <c r="C1502" s="154" t="s">
        <v>5491</v>
      </c>
      <c r="D1502" s="155">
        <v>65</v>
      </c>
      <c r="E1502" s="154">
        <v>2</v>
      </c>
      <c r="F1502" s="154" t="s">
        <v>5613</v>
      </c>
      <c r="G1502" s="154" t="s">
        <v>5614</v>
      </c>
      <c r="J1502" s="154" t="s">
        <v>28</v>
      </c>
      <c r="K1502" s="154" t="s">
        <v>2426</v>
      </c>
      <c r="N1502" s="155"/>
      <c r="O1502" s="156"/>
      <c r="P1502" s="157"/>
      <c r="Q1502" s="158"/>
      <c r="R1502" s="159"/>
      <c r="S1502" s="160"/>
      <c r="T1502" s="161"/>
      <c r="U1502" s="156"/>
      <c r="V1502" s="162"/>
      <c r="W1502" s="163"/>
      <c r="X1502" s="164"/>
      <c r="Y1502" s="159"/>
      <c r="Z1502" s="161"/>
      <c r="AA1502" s="165"/>
      <c r="AD1502" s="154" t="s">
        <v>834</v>
      </c>
      <c r="AE1502" s="155"/>
      <c r="AF1502" s="154" t="s">
        <v>5685</v>
      </c>
      <c r="AP1502" s="155"/>
      <c r="AQ1502" s="156"/>
      <c r="AR1502" s="157"/>
      <c r="AS1502" s="158"/>
      <c r="AT1502" s="159"/>
      <c r="AU1502" s="161"/>
      <c r="AV1502" s="156"/>
      <c r="AW1502" s="162"/>
      <c r="AX1502" s="163"/>
      <c r="AY1502" s="164"/>
      <c r="AZ1502" s="159"/>
      <c r="BA1502" s="161"/>
      <c r="BB1502" s="165"/>
      <c r="BF1502" s="155"/>
    </row>
    <row r="1503" spans="1:59" s="154" customFormat="1" ht="15" customHeight="1">
      <c r="A1503" s="153" t="s">
        <v>5461</v>
      </c>
      <c r="B1503" s="23" t="s">
        <v>5615</v>
      </c>
      <c r="C1503" s="154" t="s">
        <v>5491</v>
      </c>
      <c r="D1503" s="155">
        <v>66</v>
      </c>
      <c r="E1503" s="154">
        <v>2</v>
      </c>
      <c r="F1503" s="154" t="s">
        <v>5616</v>
      </c>
      <c r="G1503" s="154" t="s">
        <v>5617</v>
      </c>
      <c r="J1503" s="154" t="s">
        <v>28</v>
      </c>
      <c r="K1503" s="154" t="s">
        <v>2426</v>
      </c>
      <c r="N1503" s="155"/>
      <c r="O1503" s="156"/>
      <c r="P1503" s="157"/>
      <c r="Q1503" s="158"/>
      <c r="R1503" s="159"/>
      <c r="S1503" s="160"/>
      <c r="T1503" s="161"/>
      <c r="U1503" s="156"/>
      <c r="V1503" s="162"/>
      <c r="W1503" s="163"/>
      <c r="X1503" s="164"/>
      <c r="Y1503" s="159"/>
      <c r="Z1503" s="161"/>
      <c r="AA1503" s="165"/>
      <c r="AD1503" s="154" t="s">
        <v>479</v>
      </c>
      <c r="AE1503" s="155"/>
      <c r="AF1503" s="154" t="s">
        <v>5686</v>
      </c>
      <c r="AP1503" s="155"/>
      <c r="AQ1503" s="156"/>
      <c r="AR1503" s="157"/>
      <c r="AS1503" s="158"/>
      <c r="AT1503" s="159"/>
      <c r="AU1503" s="161"/>
      <c r="AV1503" s="156"/>
      <c r="AW1503" s="162"/>
      <c r="AX1503" s="163"/>
      <c r="AY1503" s="164"/>
      <c r="AZ1503" s="159"/>
      <c r="BA1503" s="161"/>
      <c r="BB1503" s="165"/>
      <c r="BF1503" s="155"/>
    </row>
    <row r="1504" spans="1:59" s="154" customFormat="1" ht="15" customHeight="1">
      <c r="A1504" s="153" t="s">
        <v>5461</v>
      </c>
      <c r="B1504" s="23" t="s">
        <v>5618</v>
      </c>
      <c r="C1504" s="154" t="s">
        <v>5491</v>
      </c>
      <c r="D1504" s="155">
        <v>67</v>
      </c>
      <c r="E1504" s="154">
        <v>2</v>
      </c>
      <c r="F1504" s="154" t="s">
        <v>5616</v>
      </c>
      <c r="G1504" s="154" t="s">
        <v>5619</v>
      </c>
      <c r="J1504" s="154" t="s">
        <v>28</v>
      </c>
      <c r="K1504" s="154" t="s">
        <v>2426</v>
      </c>
      <c r="N1504" s="155"/>
      <c r="O1504" s="156"/>
      <c r="P1504" s="157"/>
      <c r="Q1504" s="158"/>
      <c r="R1504" s="159"/>
      <c r="S1504" s="160"/>
      <c r="T1504" s="161"/>
      <c r="U1504" s="156"/>
      <c r="V1504" s="162"/>
      <c r="W1504" s="163"/>
      <c r="X1504" s="164"/>
      <c r="Y1504" s="159"/>
      <c r="Z1504" s="161"/>
      <c r="AA1504" s="165"/>
      <c r="AD1504" s="154" t="s">
        <v>479</v>
      </c>
      <c r="AE1504" s="155"/>
      <c r="AF1504" s="154" t="s">
        <v>5687</v>
      </c>
      <c r="AP1504" s="155"/>
      <c r="AQ1504" s="156"/>
      <c r="AR1504" s="157"/>
      <c r="AS1504" s="158"/>
      <c r="AT1504" s="159"/>
      <c r="AU1504" s="161"/>
      <c r="AV1504" s="156"/>
      <c r="AW1504" s="162"/>
      <c r="AX1504" s="163"/>
      <c r="AY1504" s="164"/>
      <c r="AZ1504" s="159"/>
      <c r="BA1504" s="161"/>
      <c r="BB1504" s="165"/>
      <c r="BF1504" s="155"/>
    </row>
    <row r="1505" spans="1:59" s="154" customFormat="1" ht="15" customHeight="1">
      <c r="A1505" s="153" t="s">
        <v>5461</v>
      </c>
      <c r="B1505" s="23" t="s">
        <v>5620</v>
      </c>
      <c r="C1505" s="154" t="s">
        <v>5491</v>
      </c>
      <c r="D1505" s="155">
        <v>68</v>
      </c>
      <c r="E1505" s="154">
        <v>2</v>
      </c>
      <c r="F1505" s="154" t="s">
        <v>5621</v>
      </c>
      <c r="G1505" s="154" t="s">
        <v>5622</v>
      </c>
      <c r="J1505" s="154" t="s">
        <v>28</v>
      </c>
      <c r="K1505" s="154" t="s">
        <v>2426</v>
      </c>
      <c r="N1505" s="155"/>
      <c r="O1505" s="156"/>
      <c r="P1505" s="157"/>
      <c r="Q1505" s="158"/>
      <c r="R1505" s="159"/>
      <c r="S1505" s="160"/>
      <c r="T1505" s="161"/>
      <c r="U1505" s="156"/>
      <c r="V1505" s="162"/>
      <c r="W1505" s="163"/>
      <c r="X1505" s="164"/>
      <c r="Y1505" s="159"/>
      <c r="Z1505" s="161"/>
      <c r="AA1505" s="165"/>
      <c r="AD1505" s="154" t="s">
        <v>481</v>
      </c>
      <c r="AE1505" s="155"/>
      <c r="AF1505" s="154" t="s">
        <v>5688</v>
      </c>
      <c r="AP1505" s="155"/>
      <c r="AQ1505" s="156"/>
      <c r="AR1505" s="157"/>
      <c r="AS1505" s="158"/>
      <c r="AT1505" s="159"/>
      <c r="AU1505" s="161"/>
      <c r="AV1505" s="156"/>
      <c r="AW1505" s="162"/>
      <c r="AX1505" s="163"/>
      <c r="AY1505" s="164"/>
      <c r="AZ1505" s="159"/>
      <c r="BA1505" s="161"/>
      <c r="BB1505" s="165"/>
      <c r="BF1505" s="155"/>
    </row>
    <row r="1506" spans="1:59" s="154" customFormat="1" ht="15" customHeight="1">
      <c r="A1506" s="153" t="s">
        <v>5461</v>
      </c>
      <c r="B1506" s="23" t="s">
        <v>5623</v>
      </c>
      <c r="C1506" s="154" t="s">
        <v>5491</v>
      </c>
      <c r="D1506" s="155">
        <v>69</v>
      </c>
      <c r="E1506" s="154">
        <v>2</v>
      </c>
      <c r="F1506" s="154" t="s">
        <v>5621</v>
      </c>
      <c r="G1506" s="154" t="s">
        <v>5624</v>
      </c>
      <c r="J1506" s="154" t="s">
        <v>28</v>
      </c>
      <c r="K1506" s="154" t="s">
        <v>2426</v>
      </c>
      <c r="N1506" s="155"/>
      <c r="O1506" s="156"/>
      <c r="P1506" s="157"/>
      <c r="Q1506" s="158"/>
      <c r="R1506" s="159"/>
      <c r="S1506" s="160"/>
      <c r="T1506" s="161"/>
      <c r="U1506" s="156"/>
      <c r="V1506" s="162"/>
      <c r="W1506" s="163"/>
      <c r="X1506" s="164"/>
      <c r="Y1506" s="159"/>
      <c r="Z1506" s="161"/>
      <c r="AA1506" s="165"/>
      <c r="AD1506" s="154" t="s">
        <v>481</v>
      </c>
      <c r="AE1506" s="155"/>
      <c r="AF1506" s="154" t="s">
        <v>5689</v>
      </c>
      <c r="AP1506" s="155"/>
      <c r="AQ1506" s="156"/>
      <c r="AR1506" s="157"/>
      <c r="AS1506" s="158"/>
      <c r="AT1506" s="159"/>
      <c r="AU1506" s="161"/>
      <c r="AV1506" s="156"/>
      <c r="AW1506" s="162"/>
      <c r="AX1506" s="163"/>
      <c r="AY1506" s="164"/>
      <c r="AZ1506" s="159"/>
      <c r="BA1506" s="161"/>
      <c r="BB1506" s="165"/>
      <c r="BF1506" s="155"/>
    </row>
    <row r="1507" spans="1:59" s="154" customFormat="1" ht="15" customHeight="1">
      <c r="A1507" s="153" t="s">
        <v>5461</v>
      </c>
      <c r="B1507" s="23" t="s">
        <v>5625</v>
      </c>
      <c r="C1507" s="154" t="s">
        <v>5491</v>
      </c>
      <c r="D1507" s="155">
        <v>70</v>
      </c>
      <c r="E1507" s="154">
        <v>3</v>
      </c>
      <c r="F1507" s="154" t="s">
        <v>5621</v>
      </c>
      <c r="G1507" s="154" t="s">
        <v>5626</v>
      </c>
      <c r="J1507" s="154" t="s">
        <v>28</v>
      </c>
      <c r="K1507" s="154" t="s">
        <v>2426</v>
      </c>
      <c r="N1507" s="155"/>
      <c r="O1507" s="156"/>
      <c r="P1507" s="157"/>
      <c r="Q1507" s="158"/>
      <c r="R1507" s="159"/>
      <c r="S1507" s="160"/>
      <c r="T1507" s="161"/>
      <c r="U1507" s="156"/>
      <c r="V1507" s="162"/>
      <c r="W1507" s="163"/>
      <c r="X1507" s="164"/>
      <c r="Y1507" s="159"/>
      <c r="Z1507" s="161"/>
      <c r="AA1507" s="165"/>
      <c r="AD1507" s="154" t="s">
        <v>481</v>
      </c>
      <c r="AE1507" s="155"/>
      <c r="AF1507" s="154" t="s">
        <v>5690</v>
      </c>
      <c r="AP1507" s="155"/>
      <c r="AQ1507" s="156"/>
      <c r="AR1507" s="157"/>
      <c r="AS1507" s="158"/>
      <c r="AT1507" s="159"/>
      <c r="AU1507" s="161"/>
      <c r="AV1507" s="156"/>
      <c r="AW1507" s="162"/>
      <c r="AX1507" s="163"/>
      <c r="AY1507" s="164"/>
      <c r="AZ1507" s="159"/>
      <c r="BA1507" s="161"/>
      <c r="BB1507" s="165"/>
      <c r="BF1507" s="155"/>
    </row>
    <row r="1508" spans="1:59" s="154" customFormat="1" ht="15" customHeight="1">
      <c r="A1508" s="153" t="s">
        <v>5461</v>
      </c>
      <c r="B1508" s="23" t="s">
        <v>5627</v>
      </c>
      <c r="C1508" s="154" t="s">
        <v>5491</v>
      </c>
      <c r="D1508" s="155">
        <v>71</v>
      </c>
      <c r="E1508" s="154">
        <v>2</v>
      </c>
      <c r="F1508" s="154" t="s">
        <v>5628</v>
      </c>
      <c r="G1508" s="154" t="s">
        <v>5629</v>
      </c>
      <c r="J1508" s="154" t="s">
        <v>29</v>
      </c>
      <c r="K1508" s="154" t="s">
        <v>2426</v>
      </c>
      <c r="N1508" s="155"/>
      <c r="O1508" s="156"/>
      <c r="P1508" s="157"/>
      <c r="Q1508" s="158">
        <v>3</v>
      </c>
      <c r="R1508" s="159">
        <v>2</v>
      </c>
      <c r="S1508" s="160"/>
      <c r="T1508" s="161">
        <v>4</v>
      </c>
      <c r="U1508" s="156"/>
      <c r="V1508" s="162">
        <v>1</v>
      </c>
      <c r="W1508" s="163">
        <v>1</v>
      </c>
      <c r="X1508" s="164"/>
      <c r="Y1508" s="159"/>
      <c r="Z1508" s="161"/>
      <c r="AA1508" s="165">
        <v>1</v>
      </c>
      <c r="AD1508" s="154" t="s">
        <v>1691</v>
      </c>
      <c r="AE1508" s="155"/>
      <c r="AF1508" s="154" t="s">
        <v>5691</v>
      </c>
      <c r="AP1508" s="155"/>
      <c r="AQ1508" s="156"/>
      <c r="AR1508" s="157"/>
      <c r="AS1508" s="158"/>
      <c r="AT1508" s="159"/>
      <c r="AU1508" s="161"/>
      <c r="AV1508" s="156"/>
      <c r="AW1508" s="162"/>
      <c r="AX1508" s="163"/>
      <c r="AY1508" s="164"/>
      <c r="AZ1508" s="159"/>
      <c r="BA1508" s="161"/>
      <c r="BB1508" s="165"/>
      <c r="BF1508" s="155"/>
    </row>
    <row r="1509" spans="1:59" s="154" customFormat="1" ht="15" customHeight="1">
      <c r="A1509" s="153" t="s">
        <v>5461</v>
      </c>
      <c r="B1509" s="23" t="s">
        <v>5630</v>
      </c>
      <c r="C1509" s="154" t="s">
        <v>5491</v>
      </c>
      <c r="D1509" s="155">
        <v>72</v>
      </c>
      <c r="E1509" s="154">
        <v>2</v>
      </c>
      <c r="F1509" s="154" t="s">
        <v>5628</v>
      </c>
      <c r="G1509" s="154" t="s">
        <v>5631</v>
      </c>
      <c r="J1509" s="154" t="s">
        <v>28</v>
      </c>
      <c r="K1509" s="154" t="s">
        <v>2426</v>
      </c>
      <c r="N1509" s="155"/>
      <c r="O1509" s="156"/>
      <c r="P1509" s="157"/>
      <c r="Q1509" s="158"/>
      <c r="R1509" s="159"/>
      <c r="S1509" s="160"/>
      <c r="T1509" s="161"/>
      <c r="U1509" s="156"/>
      <c r="V1509" s="162"/>
      <c r="W1509" s="163"/>
      <c r="X1509" s="164"/>
      <c r="Y1509" s="159"/>
      <c r="Z1509" s="161"/>
      <c r="AA1509" s="165"/>
      <c r="AD1509" s="154" t="s">
        <v>845</v>
      </c>
      <c r="AE1509" s="155"/>
      <c r="AF1509" s="154" t="s">
        <v>5692</v>
      </c>
      <c r="AP1509" s="155"/>
      <c r="AQ1509" s="156"/>
      <c r="AR1509" s="157"/>
      <c r="AS1509" s="158"/>
      <c r="AT1509" s="159"/>
      <c r="AU1509" s="161"/>
      <c r="AV1509" s="156"/>
      <c r="AW1509" s="162"/>
      <c r="AX1509" s="163"/>
      <c r="AY1509" s="164"/>
      <c r="AZ1509" s="159"/>
      <c r="BA1509" s="161"/>
      <c r="BB1509" s="165"/>
      <c r="BF1509" s="155"/>
    </row>
    <row r="1510" spans="1:59" s="171" customFormat="1" ht="15" customHeight="1">
      <c r="A1510" s="153" t="s">
        <v>5693</v>
      </c>
      <c r="B1510" s="154" t="s">
        <v>5694</v>
      </c>
      <c r="C1510" s="154" t="s">
        <v>5695</v>
      </c>
      <c r="D1510" s="170">
        <v>1</v>
      </c>
      <c r="E1510" s="171">
        <v>1</v>
      </c>
      <c r="G1510" s="171" t="s">
        <v>5696</v>
      </c>
      <c r="H1510" s="171" t="s">
        <v>5697</v>
      </c>
      <c r="I1510" s="171" t="s">
        <v>223</v>
      </c>
      <c r="J1510" s="171" t="s">
        <v>203</v>
      </c>
      <c r="K1510" s="171" t="s">
        <v>198</v>
      </c>
      <c r="N1510" s="170"/>
      <c r="O1510" s="156">
        <v>3</v>
      </c>
      <c r="P1510" s="157">
        <v>4</v>
      </c>
      <c r="Q1510" s="158">
        <v>2</v>
      </c>
      <c r="R1510" s="159">
        <v>2</v>
      </c>
      <c r="S1510" s="160"/>
      <c r="T1510" s="161">
        <v>6</v>
      </c>
      <c r="U1510" s="156">
        <v>9</v>
      </c>
      <c r="V1510" s="162"/>
      <c r="W1510" s="163"/>
      <c r="X1510" s="164"/>
      <c r="Y1510" s="159"/>
      <c r="Z1510" s="161"/>
      <c r="AA1510" s="165"/>
      <c r="AD1510" s="171" t="s">
        <v>5698</v>
      </c>
      <c r="AE1510" s="170"/>
      <c r="AF1510" s="171" t="s">
        <v>5699</v>
      </c>
      <c r="AI1510" s="171" t="s">
        <v>5696</v>
      </c>
      <c r="AJ1510" s="171" t="s">
        <v>5697</v>
      </c>
      <c r="AK1510" s="171" t="s">
        <v>223</v>
      </c>
      <c r="AL1510" s="171" t="s">
        <v>203</v>
      </c>
      <c r="AM1510" s="171" t="s">
        <v>198</v>
      </c>
      <c r="AQ1510" s="156"/>
      <c r="AR1510" s="157"/>
      <c r="AS1510" s="158"/>
      <c r="AT1510" s="159"/>
      <c r="AU1510" s="161"/>
      <c r="AV1510" s="156"/>
      <c r="AW1510" s="162"/>
      <c r="AX1510" s="163"/>
      <c r="AY1510" s="164"/>
      <c r="AZ1510" s="159"/>
      <c r="BA1510" s="161"/>
      <c r="BB1510" s="165"/>
      <c r="BE1510" s="171" t="s">
        <v>5698</v>
      </c>
      <c r="BF1510" s="170"/>
      <c r="BG1510" s="171" t="s">
        <v>5700</v>
      </c>
    </row>
    <row r="1511" spans="1:59" s="154" customFormat="1" ht="15" customHeight="1">
      <c r="A1511" s="153" t="s">
        <v>5693</v>
      </c>
      <c r="B1511" s="154" t="s">
        <v>5701</v>
      </c>
      <c r="C1511" s="154" t="s">
        <v>5695</v>
      </c>
      <c r="D1511" s="170">
        <v>2</v>
      </c>
      <c r="E1511" s="154">
        <v>1</v>
      </c>
      <c r="F1511" s="171"/>
      <c r="G1511" s="154" t="s">
        <v>5702</v>
      </c>
      <c r="H1511" s="154" t="s">
        <v>5703</v>
      </c>
      <c r="I1511" s="154" t="s">
        <v>223</v>
      </c>
      <c r="J1511" s="171" t="s">
        <v>203</v>
      </c>
      <c r="K1511" s="154" t="s">
        <v>199</v>
      </c>
      <c r="N1511" s="155"/>
      <c r="O1511" s="156">
        <v>2</v>
      </c>
      <c r="P1511" s="157">
        <v>4</v>
      </c>
      <c r="Q1511" s="158">
        <v>4</v>
      </c>
      <c r="R1511" s="159">
        <v>2</v>
      </c>
      <c r="S1511" s="160"/>
      <c r="T1511" s="161">
        <v>8</v>
      </c>
      <c r="U1511" s="156">
        <v>6</v>
      </c>
      <c r="V1511" s="162"/>
      <c r="W1511" s="163"/>
      <c r="X1511" s="164"/>
      <c r="Y1511" s="159"/>
      <c r="Z1511" s="161"/>
      <c r="AA1511" s="165"/>
      <c r="AD1511" s="154" t="s">
        <v>5704</v>
      </c>
      <c r="AE1511" s="155"/>
      <c r="AF1511" s="154" t="s">
        <v>5705</v>
      </c>
      <c r="AI1511" s="154" t="s">
        <v>5702</v>
      </c>
      <c r="AJ1511" s="154" t="s">
        <v>5703</v>
      </c>
      <c r="AK1511" s="154" t="s">
        <v>223</v>
      </c>
      <c r="AL1511" s="171" t="s">
        <v>203</v>
      </c>
      <c r="AM1511" s="154" t="s">
        <v>199</v>
      </c>
      <c r="AO1511" s="155"/>
      <c r="AP1511" s="155"/>
      <c r="AQ1511" s="156"/>
      <c r="AR1511" s="157"/>
      <c r="AS1511" s="158"/>
      <c r="AT1511" s="159"/>
      <c r="AU1511" s="161"/>
      <c r="AV1511" s="156"/>
      <c r="AW1511" s="162"/>
      <c r="AX1511" s="163"/>
      <c r="AY1511" s="164"/>
      <c r="AZ1511" s="159"/>
      <c r="BA1511" s="161"/>
      <c r="BB1511" s="165"/>
      <c r="BE1511" s="155" t="s">
        <v>5704</v>
      </c>
      <c r="BG1511" s="154" t="s">
        <v>5706</v>
      </c>
    </row>
    <row r="1512" spans="1:59" s="154" customFormat="1" ht="15" customHeight="1">
      <c r="A1512" s="153" t="s">
        <v>5693</v>
      </c>
      <c r="B1512" s="153" t="s">
        <v>5707</v>
      </c>
      <c r="C1512" s="154" t="s">
        <v>5695</v>
      </c>
      <c r="D1512" s="170">
        <v>3</v>
      </c>
      <c r="E1512" s="154">
        <v>1</v>
      </c>
      <c r="F1512" s="171"/>
      <c r="G1512" s="154" t="s">
        <v>5708</v>
      </c>
      <c r="H1512" s="154" t="s">
        <v>5709</v>
      </c>
      <c r="I1512" s="154" t="s">
        <v>223</v>
      </c>
      <c r="J1512" s="171" t="s">
        <v>203</v>
      </c>
      <c r="K1512" s="154" t="s">
        <v>201</v>
      </c>
      <c r="N1512" s="155"/>
      <c r="O1512" s="156">
        <v>1</v>
      </c>
      <c r="P1512" s="157">
        <v>1</v>
      </c>
      <c r="Q1512" s="158">
        <v>1</v>
      </c>
      <c r="R1512" s="159">
        <v>1</v>
      </c>
      <c r="S1512" s="160"/>
      <c r="T1512" s="161">
        <v>7</v>
      </c>
      <c r="U1512" s="156">
        <v>7</v>
      </c>
      <c r="V1512" s="162"/>
      <c r="W1512" s="163"/>
      <c r="X1512" s="164"/>
      <c r="Y1512" s="159"/>
      <c r="Z1512" s="161"/>
      <c r="AA1512" s="165"/>
      <c r="AD1512" s="154" t="s">
        <v>5710</v>
      </c>
      <c r="AE1512" s="155"/>
      <c r="AF1512" s="154" t="s">
        <v>5711</v>
      </c>
      <c r="AI1512" s="154" t="s">
        <v>5708</v>
      </c>
      <c r="AJ1512" s="154" t="s">
        <v>5709</v>
      </c>
      <c r="AK1512" s="154" t="s">
        <v>223</v>
      </c>
      <c r="AL1512" s="171" t="s">
        <v>203</v>
      </c>
      <c r="AM1512" s="154" t="s">
        <v>201</v>
      </c>
      <c r="AO1512" s="155"/>
      <c r="AP1512" s="155"/>
      <c r="AQ1512" s="156"/>
      <c r="AR1512" s="157"/>
      <c r="AS1512" s="158"/>
      <c r="AT1512" s="159"/>
      <c r="AU1512" s="161"/>
      <c r="AV1512" s="156"/>
      <c r="AW1512" s="162"/>
      <c r="AX1512" s="163"/>
      <c r="AY1512" s="164"/>
      <c r="AZ1512" s="159"/>
      <c r="BA1512" s="161"/>
      <c r="BB1512" s="165"/>
      <c r="BE1512" s="155" t="s">
        <v>5710</v>
      </c>
      <c r="BG1512" s="154" t="s">
        <v>5712</v>
      </c>
    </row>
    <row r="1513" spans="1:59" s="154" customFormat="1" ht="15" customHeight="1">
      <c r="A1513" s="153" t="s">
        <v>5693</v>
      </c>
      <c r="B1513" s="153" t="s">
        <v>5713</v>
      </c>
      <c r="C1513" s="154" t="s">
        <v>5695</v>
      </c>
      <c r="D1513" s="170">
        <v>4</v>
      </c>
      <c r="E1513" s="154">
        <v>1</v>
      </c>
      <c r="G1513" s="154" t="s">
        <v>5714</v>
      </c>
      <c r="H1513" s="154" t="s">
        <v>5715</v>
      </c>
      <c r="I1513" s="154" t="s">
        <v>223</v>
      </c>
      <c r="J1513" s="171" t="s">
        <v>203</v>
      </c>
      <c r="K1513" s="154" t="s">
        <v>200</v>
      </c>
      <c r="N1513" s="155"/>
      <c r="O1513" s="156">
        <v>1</v>
      </c>
      <c r="P1513" s="157">
        <v>3</v>
      </c>
      <c r="Q1513" s="158">
        <v>3</v>
      </c>
      <c r="R1513" s="159">
        <v>3</v>
      </c>
      <c r="S1513" s="160"/>
      <c r="T1513" s="161">
        <v>7</v>
      </c>
      <c r="U1513" s="156">
        <v>7</v>
      </c>
      <c r="V1513" s="162"/>
      <c r="W1513" s="163"/>
      <c r="X1513" s="164"/>
      <c r="Y1513" s="159"/>
      <c r="Z1513" s="161"/>
      <c r="AA1513" s="165"/>
      <c r="AD1513" s="154" t="s">
        <v>5716</v>
      </c>
      <c r="AE1513" s="155"/>
      <c r="AF1513" s="154" t="s">
        <v>5717</v>
      </c>
      <c r="AI1513" s="154" t="s">
        <v>5714</v>
      </c>
      <c r="AJ1513" s="154" t="s">
        <v>5715</v>
      </c>
      <c r="AK1513" s="154" t="s">
        <v>223</v>
      </c>
      <c r="AL1513" s="171" t="s">
        <v>203</v>
      </c>
      <c r="AM1513" s="154" t="s">
        <v>200</v>
      </c>
      <c r="AO1513" s="155"/>
      <c r="AP1513" s="155"/>
      <c r="AQ1513" s="156"/>
      <c r="AR1513" s="157"/>
      <c r="AS1513" s="158"/>
      <c r="AT1513" s="159"/>
      <c r="AU1513" s="161"/>
      <c r="AV1513" s="156"/>
      <c r="AW1513" s="162"/>
      <c r="AX1513" s="163"/>
      <c r="AY1513" s="164"/>
      <c r="AZ1513" s="159"/>
      <c r="BA1513" s="161"/>
      <c r="BB1513" s="165"/>
      <c r="BE1513" s="155" t="s">
        <v>5716</v>
      </c>
      <c r="BG1513" s="154" t="s">
        <v>5718</v>
      </c>
    </row>
    <row r="1514" spans="1:59" s="154" customFormat="1" ht="15" customHeight="1">
      <c r="A1514" s="153" t="s">
        <v>5693</v>
      </c>
      <c r="B1514" s="153" t="s">
        <v>5719</v>
      </c>
      <c r="C1514" s="154" t="s">
        <v>5695</v>
      </c>
      <c r="D1514" s="170">
        <v>5</v>
      </c>
      <c r="E1514" s="154">
        <v>1</v>
      </c>
      <c r="G1514" s="154" t="s">
        <v>5720</v>
      </c>
      <c r="H1514" s="154" t="s">
        <v>5721</v>
      </c>
      <c r="I1514" s="154" t="s">
        <v>223</v>
      </c>
      <c r="J1514" s="154" t="s">
        <v>203</v>
      </c>
      <c r="K1514" s="154" t="s">
        <v>202</v>
      </c>
      <c r="O1514" s="156">
        <v>3</v>
      </c>
      <c r="P1514" s="157">
        <v>2</v>
      </c>
      <c r="Q1514" s="158">
        <v>3</v>
      </c>
      <c r="R1514" s="159">
        <v>5</v>
      </c>
      <c r="S1514" s="160"/>
      <c r="T1514" s="161">
        <v>9</v>
      </c>
      <c r="U1514" s="156">
        <v>5</v>
      </c>
      <c r="V1514" s="162"/>
      <c r="W1514" s="163"/>
      <c r="X1514" s="164"/>
      <c r="Y1514" s="159"/>
      <c r="Z1514" s="161"/>
      <c r="AA1514" s="165"/>
      <c r="AD1514" s="154" t="s">
        <v>242</v>
      </c>
      <c r="AF1514" s="154" t="s">
        <v>5722</v>
      </c>
      <c r="AI1514" s="154" t="s">
        <v>5720</v>
      </c>
      <c r="AJ1514" s="154" t="s">
        <v>5721</v>
      </c>
      <c r="AK1514" s="154" t="s">
        <v>223</v>
      </c>
      <c r="AL1514" s="154" t="s">
        <v>203</v>
      </c>
      <c r="AM1514" s="154" t="s">
        <v>202</v>
      </c>
      <c r="AO1514" s="155"/>
      <c r="AQ1514" s="156"/>
      <c r="AR1514" s="157"/>
      <c r="AS1514" s="158"/>
      <c r="AT1514" s="159"/>
      <c r="AU1514" s="161"/>
      <c r="AV1514" s="156"/>
      <c r="AW1514" s="162"/>
      <c r="AX1514" s="163"/>
      <c r="AY1514" s="164"/>
      <c r="AZ1514" s="159"/>
      <c r="BA1514" s="161"/>
      <c r="BB1514" s="165"/>
      <c r="BE1514" s="155" t="s">
        <v>242</v>
      </c>
      <c r="BG1514" s="154" t="s">
        <v>5723</v>
      </c>
    </row>
    <row r="1515" spans="1:59" s="154" customFormat="1" ht="15" customHeight="1">
      <c r="A1515" s="153" t="s">
        <v>5693</v>
      </c>
      <c r="B1515" s="169" t="s">
        <v>5724</v>
      </c>
      <c r="C1515" s="154" t="s">
        <v>5695</v>
      </c>
      <c r="D1515" s="170">
        <v>6</v>
      </c>
      <c r="E1515" s="154">
        <v>1</v>
      </c>
      <c r="G1515" s="154" t="s">
        <v>1114</v>
      </c>
      <c r="H1515" s="154" t="s">
        <v>1115</v>
      </c>
      <c r="I1515" s="154" t="s">
        <v>223</v>
      </c>
      <c r="J1515" s="154" t="s">
        <v>203</v>
      </c>
      <c r="K1515" s="154" t="s">
        <v>200</v>
      </c>
      <c r="O1515" s="156">
        <v>4</v>
      </c>
      <c r="P1515" s="157">
        <v>4</v>
      </c>
      <c r="Q1515" s="158">
        <v>1</v>
      </c>
      <c r="R1515" s="159">
        <v>3</v>
      </c>
      <c r="S1515" s="160"/>
      <c r="T1515" s="161">
        <v>6</v>
      </c>
      <c r="U1515" s="156">
        <v>8</v>
      </c>
      <c r="V1515" s="162"/>
      <c r="W1515" s="163"/>
      <c r="X1515" s="164"/>
      <c r="Y1515" s="159"/>
      <c r="Z1515" s="161"/>
      <c r="AA1515" s="165"/>
      <c r="AD1515" s="154" t="s">
        <v>1116</v>
      </c>
      <c r="AF1515" s="154" t="s">
        <v>5725</v>
      </c>
      <c r="AI1515" s="154" t="s">
        <v>1114</v>
      </c>
      <c r="AJ1515" s="154" t="s">
        <v>1115</v>
      </c>
      <c r="AK1515" s="154" t="s">
        <v>223</v>
      </c>
      <c r="AL1515" s="154" t="s">
        <v>203</v>
      </c>
      <c r="AM1515" s="154" t="s">
        <v>200</v>
      </c>
      <c r="AO1515" s="155"/>
      <c r="AQ1515" s="156"/>
      <c r="AR1515" s="157"/>
      <c r="AS1515" s="158"/>
      <c r="AT1515" s="159"/>
      <c r="AU1515" s="161"/>
      <c r="AV1515" s="156"/>
      <c r="AW1515" s="162"/>
      <c r="AX1515" s="163"/>
      <c r="AY1515" s="164"/>
      <c r="AZ1515" s="159"/>
      <c r="BA1515" s="161"/>
      <c r="BB1515" s="165"/>
      <c r="BE1515" s="155" t="s">
        <v>1116</v>
      </c>
      <c r="BG1515" s="154" t="s">
        <v>5726</v>
      </c>
    </row>
    <row r="1516" spans="1:59" s="154" customFormat="1" ht="15" customHeight="1">
      <c r="A1516" s="153" t="s">
        <v>5693</v>
      </c>
      <c r="B1516" s="169" t="s">
        <v>5727</v>
      </c>
      <c r="C1516" s="154" t="s">
        <v>5695</v>
      </c>
      <c r="D1516" s="170">
        <v>7</v>
      </c>
      <c r="E1516" s="154">
        <v>1</v>
      </c>
      <c r="G1516" s="154" t="s">
        <v>5728</v>
      </c>
      <c r="J1516" s="154" t="s">
        <v>257</v>
      </c>
      <c r="K1516" s="154" t="s">
        <v>26</v>
      </c>
      <c r="N1516" s="154">
        <v>2</v>
      </c>
      <c r="O1516" s="156">
        <v>1</v>
      </c>
      <c r="P1516" s="157">
        <v>1</v>
      </c>
      <c r="Q1516" s="158"/>
      <c r="R1516" s="159"/>
      <c r="S1516" s="160">
        <v>1</v>
      </c>
      <c r="T1516" s="161"/>
      <c r="U1516" s="156"/>
      <c r="V1516" s="162"/>
      <c r="W1516" s="163"/>
      <c r="X1516" s="164"/>
      <c r="Y1516" s="159"/>
      <c r="Z1516" s="161"/>
      <c r="AA1516" s="165"/>
      <c r="AB1516" s="154" t="s">
        <v>1079</v>
      </c>
      <c r="AD1516" s="154" t="s">
        <v>289</v>
      </c>
      <c r="AF1516" s="154" t="s">
        <v>5729</v>
      </c>
      <c r="AO1516" s="155"/>
      <c r="AQ1516" s="156"/>
      <c r="AR1516" s="157"/>
      <c r="AS1516" s="158"/>
      <c r="AT1516" s="159"/>
      <c r="AU1516" s="161"/>
      <c r="AV1516" s="156"/>
      <c r="AW1516" s="162"/>
      <c r="AX1516" s="163"/>
      <c r="AY1516" s="164"/>
      <c r="AZ1516" s="159"/>
      <c r="BA1516" s="161"/>
      <c r="BB1516" s="165"/>
      <c r="BE1516" s="155"/>
    </row>
    <row r="1517" spans="1:59" s="154" customFormat="1" ht="15" customHeight="1">
      <c r="A1517" s="153" t="s">
        <v>5693</v>
      </c>
      <c r="B1517" s="153" t="s">
        <v>5730</v>
      </c>
      <c r="C1517" s="154" t="s">
        <v>5695</v>
      </c>
      <c r="D1517" s="170">
        <v>8</v>
      </c>
      <c r="E1517" s="154">
        <v>1</v>
      </c>
      <c r="G1517" s="154" t="s">
        <v>5731</v>
      </c>
      <c r="J1517" s="154" t="s">
        <v>28</v>
      </c>
      <c r="K1517" s="154" t="s">
        <v>26</v>
      </c>
      <c r="M1517" s="154" t="s">
        <v>648</v>
      </c>
      <c r="O1517" s="156"/>
      <c r="P1517" s="157"/>
      <c r="Q1517" s="158"/>
      <c r="R1517" s="159"/>
      <c r="S1517" s="160"/>
      <c r="T1517" s="161"/>
      <c r="U1517" s="156"/>
      <c r="V1517" s="162"/>
      <c r="W1517" s="163"/>
      <c r="X1517" s="164"/>
      <c r="Y1517" s="159"/>
      <c r="Z1517" s="161"/>
      <c r="AA1517" s="165"/>
      <c r="AD1517" s="154" t="s">
        <v>1449</v>
      </c>
      <c r="AF1517" s="154" t="s">
        <v>5732</v>
      </c>
      <c r="AO1517" s="155"/>
      <c r="AQ1517" s="156"/>
      <c r="AR1517" s="157"/>
      <c r="AS1517" s="158"/>
      <c r="AT1517" s="159"/>
      <c r="AU1517" s="161"/>
      <c r="AV1517" s="156"/>
      <c r="AW1517" s="162"/>
      <c r="AX1517" s="163"/>
      <c r="AY1517" s="164"/>
      <c r="AZ1517" s="159"/>
      <c r="BA1517" s="161"/>
      <c r="BB1517" s="165"/>
      <c r="BE1517" s="155"/>
    </row>
    <row r="1518" spans="1:59" s="154" customFormat="1" ht="15" customHeight="1">
      <c r="A1518" s="153" t="s">
        <v>5693</v>
      </c>
      <c r="B1518" s="153" t="s">
        <v>5733</v>
      </c>
      <c r="C1518" s="154" t="s">
        <v>5695</v>
      </c>
      <c r="D1518" s="170">
        <v>9</v>
      </c>
      <c r="E1518" s="154">
        <v>1</v>
      </c>
      <c r="G1518" s="154" t="s">
        <v>5734</v>
      </c>
      <c r="J1518" s="154" t="s">
        <v>257</v>
      </c>
      <c r="K1518" s="154" t="s">
        <v>26</v>
      </c>
      <c r="N1518" s="172">
        <v>4</v>
      </c>
      <c r="O1518" s="156"/>
      <c r="P1518" s="157">
        <v>1</v>
      </c>
      <c r="Q1518" s="158">
        <v>1</v>
      </c>
      <c r="R1518" s="159"/>
      <c r="S1518" s="160">
        <v>1</v>
      </c>
      <c r="T1518" s="161"/>
      <c r="U1518" s="156"/>
      <c r="V1518" s="162"/>
      <c r="W1518" s="163"/>
      <c r="X1518" s="164"/>
      <c r="Y1518" s="159"/>
      <c r="Z1518" s="161"/>
      <c r="AA1518" s="165"/>
      <c r="AB1518" s="154" t="s">
        <v>4712</v>
      </c>
      <c r="AC1518" s="154" t="s">
        <v>322</v>
      </c>
      <c r="AD1518" s="154" t="s">
        <v>259</v>
      </c>
      <c r="AF1518" s="154" t="s">
        <v>5735</v>
      </c>
      <c r="AO1518" s="155"/>
      <c r="AQ1518" s="156"/>
      <c r="AR1518" s="157"/>
      <c r="AS1518" s="158"/>
      <c r="AT1518" s="159"/>
      <c r="AU1518" s="161"/>
      <c r="AV1518" s="156"/>
      <c r="AW1518" s="162"/>
      <c r="AX1518" s="163"/>
      <c r="AY1518" s="164"/>
      <c r="AZ1518" s="159"/>
      <c r="BA1518" s="161"/>
      <c r="BB1518" s="165"/>
      <c r="BE1518" s="155"/>
    </row>
    <row r="1519" spans="1:59" s="154" customFormat="1" ht="15" customHeight="1">
      <c r="A1519" s="153" t="s">
        <v>5693</v>
      </c>
      <c r="B1519" s="153" t="s">
        <v>5736</v>
      </c>
      <c r="C1519" s="154" t="s">
        <v>5695</v>
      </c>
      <c r="D1519" s="170">
        <v>10</v>
      </c>
      <c r="E1519" s="154">
        <v>1</v>
      </c>
      <c r="G1519" s="154" t="s">
        <v>5737</v>
      </c>
      <c r="J1519" s="154" t="s">
        <v>27</v>
      </c>
      <c r="K1519" s="154" t="s">
        <v>26</v>
      </c>
      <c r="M1519" s="154" t="s">
        <v>648</v>
      </c>
      <c r="N1519" s="154">
        <v>4</v>
      </c>
      <c r="O1519" s="156"/>
      <c r="P1519" s="157"/>
      <c r="Q1519" s="158"/>
      <c r="R1519" s="159"/>
      <c r="S1519" s="160"/>
      <c r="T1519" s="161"/>
      <c r="U1519" s="156"/>
      <c r="V1519" s="162"/>
      <c r="W1519" s="163"/>
      <c r="X1519" s="164"/>
      <c r="Y1519" s="159"/>
      <c r="Z1519" s="161"/>
      <c r="AA1519" s="165"/>
      <c r="AD1519" s="154" t="s">
        <v>5738</v>
      </c>
      <c r="AF1519" s="154" t="s">
        <v>5739</v>
      </c>
      <c r="AO1519" s="155"/>
      <c r="AQ1519" s="156"/>
      <c r="AR1519" s="157"/>
      <c r="AS1519" s="158"/>
      <c r="AT1519" s="159"/>
      <c r="AU1519" s="161"/>
      <c r="AV1519" s="156"/>
      <c r="AW1519" s="162"/>
      <c r="AX1519" s="163"/>
      <c r="AY1519" s="164"/>
      <c r="AZ1519" s="159"/>
      <c r="BA1519" s="161"/>
      <c r="BB1519" s="165"/>
      <c r="BE1519" s="155"/>
    </row>
    <row r="1520" spans="1:59" s="154" customFormat="1" ht="15" customHeight="1">
      <c r="A1520" s="153" t="s">
        <v>5693</v>
      </c>
      <c r="B1520" s="153" t="s">
        <v>5740</v>
      </c>
      <c r="C1520" s="154" t="s">
        <v>5695</v>
      </c>
      <c r="D1520" s="170">
        <v>11</v>
      </c>
      <c r="E1520" s="154">
        <v>1</v>
      </c>
      <c r="G1520" s="154" t="s">
        <v>5741</v>
      </c>
      <c r="H1520" s="154" t="s">
        <v>5742</v>
      </c>
      <c r="I1520" s="154" t="s">
        <v>223</v>
      </c>
      <c r="J1520" s="154" t="s">
        <v>257</v>
      </c>
      <c r="K1520" s="154" t="s">
        <v>26</v>
      </c>
      <c r="O1520" s="156"/>
      <c r="P1520" s="157"/>
      <c r="Q1520" s="158"/>
      <c r="R1520" s="159"/>
      <c r="S1520" s="160"/>
      <c r="T1520" s="161"/>
      <c r="U1520" s="156"/>
      <c r="V1520" s="162"/>
      <c r="W1520" s="163"/>
      <c r="X1520" s="164"/>
      <c r="Y1520" s="159"/>
      <c r="Z1520" s="161"/>
      <c r="AA1520" s="165"/>
      <c r="AD1520" s="154" t="s">
        <v>5743</v>
      </c>
      <c r="AF1520" s="154" t="s">
        <v>5744</v>
      </c>
      <c r="AO1520" s="155"/>
      <c r="AQ1520" s="156"/>
      <c r="AR1520" s="157"/>
      <c r="AS1520" s="158"/>
      <c r="AT1520" s="159"/>
      <c r="AU1520" s="161"/>
      <c r="AV1520" s="156"/>
      <c r="AW1520" s="162"/>
      <c r="AX1520" s="163"/>
      <c r="AY1520" s="164"/>
      <c r="AZ1520" s="159"/>
      <c r="BA1520" s="161"/>
      <c r="BB1520" s="165"/>
      <c r="BE1520" s="155"/>
    </row>
    <row r="1521" spans="1:58" s="154" customFormat="1" ht="15" customHeight="1">
      <c r="A1521" s="153" t="s">
        <v>5693</v>
      </c>
      <c r="B1521" s="153" t="s">
        <v>5745</v>
      </c>
      <c r="C1521" s="154" t="s">
        <v>5695</v>
      </c>
      <c r="D1521" s="170">
        <v>12</v>
      </c>
      <c r="E1521" s="154">
        <v>1</v>
      </c>
      <c r="G1521" s="154" t="s">
        <v>5746</v>
      </c>
      <c r="J1521" s="154" t="s">
        <v>27</v>
      </c>
      <c r="K1521" s="154" t="s">
        <v>26</v>
      </c>
      <c r="M1521" s="154" t="s">
        <v>648</v>
      </c>
      <c r="N1521" s="154">
        <v>10</v>
      </c>
      <c r="O1521" s="156"/>
      <c r="P1521" s="157"/>
      <c r="Q1521" s="158"/>
      <c r="R1521" s="159"/>
      <c r="S1521" s="160"/>
      <c r="T1521" s="161"/>
      <c r="U1521" s="156"/>
      <c r="V1521" s="162"/>
      <c r="W1521" s="163"/>
      <c r="X1521" s="164"/>
      <c r="Y1521" s="159"/>
      <c r="Z1521" s="161"/>
      <c r="AA1521" s="165"/>
      <c r="AD1521" s="154" t="s">
        <v>845</v>
      </c>
      <c r="AF1521" s="154" t="s">
        <v>5747</v>
      </c>
      <c r="AO1521" s="155"/>
      <c r="AQ1521" s="156"/>
      <c r="AR1521" s="157"/>
      <c r="AS1521" s="158"/>
      <c r="AT1521" s="159"/>
      <c r="AU1521" s="161"/>
      <c r="AV1521" s="156"/>
      <c r="AW1521" s="162"/>
      <c r="AX1521" s="163"/>
      <c r="AY1521" s="164"/>
      <c r="AZ1521" s="159"/>
      <c r="BA1521" s="161"/>
      <c r="BB1521" s="165"/>
      <c r="BE1521" s="155"/>
    </row>
    <row r="1522" spans="1:58" s="154" customFormat="1" ht="15" customHeight="1">
      <c r="A1522" s="153" t="s">
        <v>5693</v>
      </c>
      <c r="B1522" s="153" t="s">
        <v>5748</v>
      </c>
      <c r="C1522" s="154" t="s">
        <v>5695</v>
      </c>
      <c r="D1522" s="170">
        <v>13</v>
      </c>
      <c r="E1522" s="154">
        <v>1</v>
      </c>
      <c r="G1522" s="154" t="s">
        <v>5749</v>
      </c>
      <c r="H1522" s="154" t="s">
        <v>5750</v>
      </c>
      <c r="I1522" s="154" t="s">
        <v>223</v>
      </c>
      <c r="J1522" s="154" t="s">
        <v>257</v>
      </c>
      <c r="K1522" s="154" t="s">
        <v>26</v>
      </c>
      <c r="N1522" s="154">
        <v>3</v>
      </c>
      <c r="O1522" s="156">
        <v>1</v>
      </c>
      <c r="P1522" s="157"/>
      <c r="Q1522" s="158">
        <v>1</v>
      </c>
      <c r="R1522" s="159"/>
      <c r="S1522" s="160">
        <v>1</v>
      </c>
      <c r="T1522" s="161"/>
      <c r="U1522" s="156"/>
      <c r="V1522" s="162"/>
      <c r="W1522" s="163"/>
      <c r="X1522" s="164"/>
      <c r="Y1522" s="159"/>
      <c r="Z1522" s="161"/>
      <c r="AA1522" s="165"/>
      <c r="AB1522" s="154" t="s">
        <v>1081</v>
      </c>
      <c r="AC1522" s="154" t="s">
        <v>258</v>
      </c>
      <c r="AD1522" s="154" t="s">
        <v>5751</v>
      </c>
      <c r="AF1522" s="154" t="s">
        <v>5752</v>
      </c>
      <c r="AO1522" s="155"/>
      <c r="AQ1522" s="156"/>
      <c r="AR1522" s="157"/>
      <c r="AS1522" s="158"/>
      <c r="AT1522" s="159"/>
      <c r="AU1522" s="161"/>
      <c r="AV1522" s="156"/>
      <c r="AW1522" s="162"/>
      <c r="AX1522" s="163"/>
      <c r="AY1522" s="164"/>
      <c r="AZ1522" s="159"/>
      <c r="BA1522" s="161"/>
      <c r="BB1522" s="165"/>
      <c r="BE1522" s="155"/>
    </row>
    <row r="1523" spans="1:58" s="154" customFormat="1" ht="15" customHeight="1">
      <c r="A1523" s="153" t="s">
        <v>5693</v>
      </c>
      <c r="B1523" s="153" t="s">
        <v>5753</v>
      </c>
      <c r="C1523" s="154" t="s">
        <v>5695</v>
      </c>
      <c r="D1523" s="170">
        <v>14</v>
      </c>
      <c r="E1523" s="154">
        <v>1</v>
      </c>
      <c r="G1523" s="154" t="s">
        <v>5754</v>
      </c>
      <c r="J1523" s="154" t="s">
        <v>27</v>
      </c>
      <c r="K1523" s="154" t="s">
        <v>26</v>
      </c>
      <c r="N1523" s="154">
        <v>2</v>
      </c>
      <c r="O1523" s="156"/>
      <c r="P1523" s="157"/>
      <c r="Q1523" s="158"/>
      <c r="R1523" s="159"/>
      <c r="S1523" s="160"/>
      <c r="T1523" s="161"/>
      <c r="U1523" s="156"/>
      <c r="V1523" s="162"/>
      <c r="W1523" s="163"/>
      <c r="X1523" s="164"/>
      <c r="Y1523" s="159"/>
      <c r="Z1523" s="161"/>
      <c r="AA1523" s="165"/>
      <c r="AD1523" s="154" t="s">
        <v>340</v>
      </c>
      <c r="AF1523" s="154" t="s">
        <v>5755</v>
      </c>
      <c r="AO1523" s="155"/>
      <c r="AQ1523" s="156"/>
      <c r="AR1523" s="157"/>
      <c r="AS1523" s="158"/>
      <c r="AT1523" s="159"/>
      <c r="AU1523" s="161"/>
      <c r="AV1523" s="156"/>
      <c r="AW1523" s="162"/>
      <c r="AX1523" s="163"/>
      <c r="AY1523" s="164"/>
      <c r="AZ1523" s="159"/>
      <c r="BA1523" s="161"/>
      <c r="BB1523" s="165"/>
      <c r="BE1523" s="155"/>
    </row>
    <row r="1524" spans="1:58" s="154" customFormat="1" ht="15" customHeight="1">
      <c r="A1524" s="153" t="s">
        <v>5693</v>
      </c>
      <c r="B1524" s="153" t="s">
        <v>5756</v>
      </c>
      <c r="C1524" s="154" t="s">
        <v>5695</v>
      </c>
      <c r="D1524" s="170">
        <v>15</v>
      </c>
      <c r="E1524" s="154">
        <v>1</v>
      </c>
      <c r="G1524" s="154" t="s">
        <v>5757</v>
      </c>
      <c r="J1524" s="154" t="s">
        <v>28</v>
      </c>
      <c r="K1524" s="154" t="s">
        <v>26</v>
      </c>
      <c r="M1524" s="154" t="s">
        <v>648</v>
      </c>
      <c r="O1524" s="156"/>
      <c r="P1524" s="157"/>
      <c r="Q1524" s="158"/>
      <c r="R1524" s="159"/>
      <c r="S1524" s="160"/>
      <c r="T1524" s="161"/>
      <c r="U1524" s="156"/>
      <c r="V1524" s="162"/>
      <c r="W1524" s="163"/>
      <c r="X1524" s="164"/>
      <c r="Y1524" s="159"/>
      <c r="Z1524" s="161"/>
      <c r="AA1524" s="165"/>
      <c r="AD1524" s="154" t="s">
        <v>284</v>
      </c>
      <c r="AF1524" s="154" t="s">
        <v>5758</v>
      </c>
      <c r="AO1524" s="155"/>
      <c r="AQ1524" s="156"/>
      <c r="AR1524" s="157"/>
      <c r="AS1524" s="158"/>
      <c r="AT1524" s="159"/>
      <c r="AU1524" s="161"/>
      <c r="AV1524" s="156"/>
      <c r="AW1524" s="162"/>
      <c r="AX1524" s="163"/>
      <c r="AY1524" s="164"/>
      <c r="AZ1524" s="159"/>
      <c r="BA1524" s="161"/>
      <c r="BB1524" s="165"/>
    </row>
    <row r="1525" spans="1:58" s="154" customFormat="1" ht="15" customHeight="1">
      <c r="A1525" s="153" t="s">
        <v>5693</v>
      </c>
      <c r="B1525" s="153" t="s">
        <v>5759</v>
      </c>
      <c r="C1525" s="154" t="s">
        <v>5695</v>
      </c>
      <c r="D1525" s="170">
        <v>16</v>
      </c>
      <c r="E1525" s="154">
        <v>1</v>
      </c>
      <c r="G1525" s="154" t="s">
        <v>5760</v>
      </c>
      <c r="J1525" s="154" t="s">
        <v>27</v>
      </c>
      <c r="K1525" s="171" t="s">
        <v>26</v>
      </c>
      <c r="N1525" s="154">
        <v>0</v>
      </c>
      <c r="O1525" s="156"/>
      <c r="P1525" s="157"/>
      <c r="Q1525" s="158">
        <v>1</v>
      </c>
      <c r="R1525" s="159">
        <v>1</v>
      </c>
      <c r="S1525" s="160">
        <v>1</v>
      </c>
      <c r="T1525" s="161"/>
      <c r="U1525" s="156"/>
      <c r="V1525" s="162"/>
      <c r="W1525" s="163"/>
      <c r="X1525" s="164"/>
      <c r="Y1525" s="159"/>
      <c r="Z1525" s="161"/>
      <c r="AA1525" s="165"/>
      <c r="AB1525" s="154" t="s">
        <v>1078</v>
      </c>
      <c r="AD1525" s="154" t="s">
        <v>1805</v>
      </c>
      <c r="AF1525" s="154" t="s">
        <v>5761</v>
      </c>
      <c r="AM1525" s="171"/>
      <c r="AO1525" s="155"/>
      <c r="AQ1525" s="156"/>
      <c r="AR1525" s="157"/>
      <c r="AS1525" s="158"/>
      <c r="AT1525" s="159"/>
      <c r="AU1525" s="161"/>
      <c r="AV1525" s="156"/>
      <c r="AW1525" s="162"/>
      <c r="AX1525" s="163"/>
      <c r="AY1525" s="164"/>
      <c r="AZ1525" s="159"/>
      <c r="BA1525" s="161"/>
      <c r="BB1525" s="165"/>
    </row>
    <row r="1526" spans="1:58" s="154" customFormat="1" ht="15" customHeight="1">
      <c r="A1526" s="153" t="s">
        <v>5693</v>
      </c>
      <c r="B1526" s="153" t="s">
        <v>5762</v>
      </c>
      <c r="C1526" s="154" t="s">
        <v>5695</v>
      </c>
      <c r="D1526" s="170">
        <v>17</v>
      </c>
      <c r="E1526" s="154">
        <v>1</v>
      </c>
      <c r="G1526" s="154" t="s">
        <v>5763</v>
      </c>
      <c r="J1526" s="154" t="s">
        <v>29</v>
      </c>
      <c r="K1526" s="171" t="s">
        <v>26</v>
      </c>
      <c r="M1526" s="154" t="s">
        <v>648</v>
      </c>
      <c r="O1526" s="156"/>
      <c r="P1526" s="157"/>
      <c r="Q1526" s="158">
        <v>3</v>
      </c>
      <c r="R1526" s="159">
        <v>3</v>
      </c>
      <c r="S1526" s="160"/>
      <c r="T1526" s="161">
        <v>3</v>
      </c>
      <c r="U1526" s="156"/>
      <c r="V1526" s="162">
        <v>1</v>
      </c>
      <c r="W1526" s="163">
        <v>1</v>
      </c>
      <c r="X1526" s="164"/>
      <c r="Y1526" s="159"/>
      <c r="Z1526" s="161"/>
      <c r="AA1526" s="165"/>
      <c r="AD1526" s="154" t="s">
        <v>467</v>
      </c>
      <c r="AF1526" s="154" t="s">
        <v>5764</v>
      </c>
      <c r="AO1526" s="155"/>
      <c r="AQ1526" s="156"/>
      <c r="AR1526" s="157"/>
      <c r="AS1526" s="158"/>
      <c r="AT1526" s="159"/>
      <c r="AU1526" s="161"/>
      <c r="AV1526" s="156"/>
      <c r="AW1526" s="162"/>
      <c r="AX1526" s="163"/>
      <c r="AY1526" s="164"/>
      <c r="AZ1526" s="159"/>
      <c r="BA1526" s="161"/>
      <c r="BB1526" s="165"/>
      <c r="BE1526" s="155"/>
    </row>
    <row r="1527" spans="1:58" s="154" customFormat="1" ht="15" customHeight="1">
      <c r="A1527" s="153" t="s">
        <v>5693</v>
      </c>
      <c r="B1527" s="169" t="s">
        <v>5765</v>
      </c>
      <c r="C1527" s="154" t="s">
        <v>5695</v>
      </c>
      <c r="D1527" s="170">
        <v>18</v>
      </c>
      <c r="E1527" s="154">
        <v>1</v>
      </c>
      <c r="G1527" s="154" t="s">
        <v>1118</v>
      </c>
      <c r="J1527" s="154" t="s">
        <v>27</v>
      </c>
      <c r="K1527" s="171" t="s">
        <v>26</v>
      </c>
      <c r="N1527" s="154">
        <v>3</v>
      </c>
      <c r="O1527" s="156"/>
      <c r="P1527" s="157"/>
      <c r="Q1527" s="158"/>
      <c r="R1527" s="159"/>
      <c r="S1527" s="160">
        <v>2</v>
      </c>
      <c r="T1527" s="161"/>
      <c r="U1527" s="156"/>
      <c r="V1527" s="162"/>
      <c r="W1527" s="163"/>
      <c r="X1527" s="164"/>
      <c r="Y1527" s="159"/>
      <c r="Z1527" s="161"/>
      <c r="AA1527" s="165"/>
      <c r="AB1527" s="154" t="s">
        <v>1082</v>
      </c>
      <c r="AD1527" s="154" t="s">
        <v>1119</v>
      </c>
      <c r="AF1527" s="154" t="s">
        <v>1120</v>
      </c>
      <c r="AO1527" s="155"/>
      <c r="AQ1527" s="156"/>
      <c r="AR1527" s="157"/>
      <c r="AS1527" s="158"/>
      <c r="AT1527" s="159"/>
      <c r="AU1527" s="161"/>
      <c r="AV1527" s="156"/>
      <c r="AW1527" s="162"/>
      <c r="AX1527" s="163"/>
      <c r="AY1527" s="164"/>
      <c r="AZ1527" s="159"/>
      <c r="BA1527" s="161"/>
      <c r="BB1527" s="165"/>
      <c r="BE1527" s="155"/>
    </row>
    <row r="1528" spans="1:58" s="154" customFormat="1" ht="15" customHeight="1">
      <c r="A1528" s="153" t="s">
        <v>5693</v>
      </c>
      <c r="B1528" s="153" t="s">
        <v>5766</v>
      </c>
      <c r="C1528" s="154" t="s">
        <v>5695</v>
      </c>
      <c r="D1528" s="170">
        <v>19</v>
      </c>
      <c r="E1528" s="154">
        <v>1</v>
      </c>
      <c r="G1528" s="154" t="s">
        <v>1121</v>
      </c>
      <c r="H1528" s="154" t="s">
        <v>1122</v>
      </c>
      <c r="I1528" s="154" t="s">
        <v>223</v>
      </c>
      <c r="J1528" s="154" t="s">
        <v>257</v>
      </c>
      <c r="K1528" s="154" t="s">
        <v>26</v>
      </c>
      <c r="M1528" s="154" t="s">
        <v>648</v>
      </c>
      <c r="O1528" s="156"/>
      <c r="P1528" s="157"/>
      <c r="Q1528" s="158"/>
      <c r="R1528" s="159"/>
      <c r="S1528" s="160"/>
      <c r="T1528" s="161"/>
      <c r="U1528" s="156"/>
      <c r="V1528" s="162"/>
      <c r="W1528" s="163"/>
      <c r="X1528" s="164"/>
      <c r="Y1528" s="159"/>
      <c r="Z1528" s="161"/>
      <c r="AA1528" s="165"/>
      <c r="AC1528" s="154" t="s">
        <v>25</v>
      </c>
      <c r="AD1528" s="154" t="s">
        <v>1123</v>
      </c>
      <c r="AF1528" s="154" t="s">
        <v>5767</v>
      </c>
      <c r="AO1528" s="155"/>
      <c r="AQ1528" s="156"/>
      <c r="AR1528" s="157"/>
      <c r="AS1528" s="158"/>
      <c r="AT1528" s="159"/>
      <c r="AU1528" s="161"/>
      <c r="AV1528" s="156"/>
      <c r="AW1528" s="162"/>
      <c r="AX1528" s="163"/>
      <c r="AY1528" s="164"/>
      <c r="AZ1528" s="159"/>
      <c r="BA1528" s="161"/>
      <c r="BB1528" s="165"/>
      <c r="BE1528" s="155"/>
    </row>
    <row r="1529" spans="1:58" s="154" customFormat="1" ht="15" customHeight="1">
      <c r="A1529" s="153" t="s">
        <v>5693</v>
      </c>
      <c r="B1529" s="153" t="s">
        <v>5768</v>
      </c>
      <c r="C1529" s="154" t="s">
        <v>5695</v>
      </c>
      <c r="D1529" s="170">
        <v>20</v>
      </c>
      <c r="E1529" s="154">
        <v>2</v>
      </c>
      <c r="G1529" s="154" t="s">
        <v>5769</v>
      </c>
      <c r="J1529" s="154" t="s">
        <v>27</v>
      </c>
      <c r="K1529" s="154" t="s">
        <v>198</v>
      </c>
      <c r="L1529" s="154">
        <v>0</v>
      </c>
      <c r="N1529" s="154">
        <v>2</v>
      </c>
      <c r="O1529" s="156"/>
      <c r="P1529" s="157">
        <v>1</v>
      </c>
      <c r="Q1529" s="158">
        <v>1</v>
      </c>
      <c r="R1529" s="159"/>
      <c r="S1529" s="160"/>
      <c r="T1529" s="161"/>
      <c r="U1529" s="156"/>
      <c r="V1529" s="162"/>
      <c r="W1529" s="163"/>
      <c r="X1529" s="164"/>
      <c r="Y1529" s="159"/>
      <c r="Z1529" s="161"/>
      <c r="AA1529" s="165"/>
      <c r="AB1529" s="154" t="s">
        <v>1091</v>
      </c>
      <c r="AD1529" s="154" t="s">
        <v>5770</v>
      </c>
      <c r="AF1529" s="154" t="s">
        <v>5771</v>
      </c>
      <c r="AP1529" s="155"/>
      <c r="AQ1529" s="156"/>
      <c r="AR1529" s="157"/>
      <c r="AS1529" s="158"/>
      <c r="AT1529" s="159"/>
      <c r="AU1529" s="161"/>
      <c r="AV1529" s="156"/>
      <c r="AW1529" s="162"/>
      <c r="AX1529" s="163"/>
      <c r="AY1529" s="164"/>
      <c r="AZ1529" s="159"/>
      <c r="BA1529" s="161"/>
      <c r="BB1529" s="165"/>
      <c r="BF1529" s="155"/>
    </row>
    <row r="1530" spans="1:58" s="154" customFormat="1" ht="15" customHeight="1">
      <c r="A1530" s="153" t="s">
        <v>5693</v>
      </c>
      <c r="B1530" s="153" t="s">
        <v>5772</v>
      </c>
      <c r="C1530" s="154" t="s">
        <v>5695</v>
      </c>
      <c r="D1530" s="170">
        <v>21</v>
      </c>
      <c r="E1530" s="154">
        <v>2</v>
      </c>
      <c r="G1530" s="154" t="s">
        <v>5773</v>
      </c>
      <c r="J1530" s="154" t="s">
        <v>27</v>
      </c>
      <c r="K1530" s="154" t="s">
        <v>198</v>
      </c>
      <c r="L1530" s="154">
        <v>0</v>
      </c>
      <c r="N1530" s="155">
        <v>2</v>
      </c>
      <c r="O1530" s="156"/>
      <c r="P1530" s="157"/>
      <c r="Q1530" s="158">
        <v>1</v>
      </c>
      <c r="R1530" s="159">
        <v>1</v>
      </c>
      <c r="S1530" s="160"/>
      <c r="T1530" s="161"/>
      <c r="U1530" s="156"/>
      <c r="V1530" s="162"/>
      <c r="W1530" s="163"/>
      <c r="X1530" s="164"/>
      <c r="Y1530" s="159"/>
      <c r="Z1530" s="161"/>
      <c r="AA1530" s="165"/>
      <c r="AB1530" s="154" t="s">
        <v>1087</v>
      </c>
      <c r="AD1530" s="154" t="s">
        <v>5774</v>
      </c>
      <c r="AE1530" s="155"/>
      <c r="AF1530" s="154" t="s">
        <v>5775</v>
      </c>
      <c r="AP1530" s="155"/>
      <c r="AQ1530" s="156"/>
      <c r="AR1530" s="157"/>
      <c r="AS1530" s="158"/>
      <c r="AT1530" s="159"/>
      <c r="AU1530" s="161"/>
      <c r="AV1530" s="156"/>
      <c r="AW1530" s="162"/>
      <c r="AX1530" s="163"/>
      <c r="AY1530" s="164"/>
      <c r="AZ1530" s="159"/>
      <c r="BA1530" s="161"/>
      <c r="BB1530" s="165"/>
      <c r="BF1530" s="155"/>
    </row>
    <row r="1531" spans="1:58" s="154" customFormat="1" ht="15" customHeight="1">
      <c r="A1531" s="153" t="s">
        <v>5693</v>
      </c>
      <c r="B1531" s="153" t="s">
        <v>5776</v>
      </c>
      <c r="C1531" s="154" t="s">
        <v>5695</v>
      </c>
      <c r="D1531" s="170">
        <v>22</v>
      </c>
      <c r="E1531" s="154">
        <v>2</v>
      </c>
      <c r="G1531" s="154" t="s">
        <v>5777</v>
      </c>
      <c r="J1531" s="154" t="s">
        <v>312</v>
      </c>
      <c r="K1531" s="154" t="s">
        <v>198</v>
      </c>
      <c r="L1531" s="154">
        <v>0</v>
      </c>
      <c r="N1531" s="155"/>
      <c r="O1531" s="156">
        <v>1</v>
      </c>
      <c r="P1531" s="157"/>
      <c r="Q1531" s="158">
        <v>1</v>
      </c>
      <c r="R1531" s="159"/>
      <c r="S1531" s="160"/>
      <c r="T1531" s="161"/>
      <c r="U1531" s="156"/>
      <c r="V1531" s="162"/>
      <c r="W1531" s="163"/>
      <c r="X1531" s="164"/>
      <c r="Y1531" s="159"/>
      <c r="Z1531" s="161"/>
      <c r="AA1531" s="165"/>
      <c r="AB1531" s="154" t="s">
        <v>1083</v>
      </c>
      <c r="AD1531" s="154" t="s">
        <v>412</v>
      </c>
      <c r="AE1531" s="155"/>
      <c r="AF1531" s="154" t="s">
        <v>5778</v>
      </c>
      <c r="AP1531" s="155"/>
      <c r="AQ1531" s="156"/>
      <c r="AR1531" s="157"/>
      <c r="AS1531" s="158"/>
      <c r="AT1531" s="159"/>
      <c r="AU1531" s="161"/>
      <c r="AV1531" s="156"/>
      <c r="AW1531" s="162"/>
      <c r="AX1531" s="163"/>
      <c r="AY1531" s="164"/>
      <c r="AZ1531" s="159"/>
      <c r="BA1531" s="161"/>
      <c r="BB1531" s="165"/>
      <c r="BF1531" s="155"/>
    </row>
    <row r="1532" spans="1:58" s="154" customFormat="1" ht="15" customHeight="1">
      <c r="A1532" s="153" t="s">
        <v>5693</v>
      </c>
      <c r="B1532" s="153" t="s">
        <v>5779</v>
      </c>
      <c r="C1532" s="154" t="s">
        <v>5695</v>
      </c>
      <c r="D1532" s="170">
        <v>23</v>
      </c>
      <c r="E1532" s="154">
        <v>2</v>
      </c>
      <c r="G1532" s="154" t="s">
        <v>5780</v>
      </c>
      <c r="H1532" s="154" t="s">
        <v>5781</v>
      </c>
      <c r="J1532" s="154" t="s">
        <v>257</v>
      </c>
      <c r="K1532" s="154" t="s">
        <v>198</v>
      </c>
      <c r="L1532" s="154">
        <v>1</v>
      </c>
      <c r="N1532" s="155">
        <v>3</v>
      </c>
      <c r="O1532" s="156"/>
      <c r="P1532" s="157"/>
      <c r="Q1532" s="158"/>
      <c r="R1532" s="159"/>
      <c r="S1532" s="160"/>
      <c r="T1532" s="161"/>
      <c r="U1532" s="156"/>
      <c r="V1532" s="162"/>
      <c r="W1532" s="163"/>
      <c r="X1532" s="164"/>
      <c r="Y1532" s="159"/>
      <c r="Z1532" s="161"/>
      <c r="AA1532" s="165"/>
      <c r="AC1532" s="154" t="s">
        <v>5782</v>
      </c>
      <c r="AD1532" s="154" t="s">
        <v>5783</v>
      </c>
      <c r="AE1532" s="155"/>
      <c r="AF1532" s="154" t="s">
        <v>5784</v>
      </c>
      <c r="AP1532" s="155"/>
      <c r="AQ1532" s="156"/>
      <c r="AR1532" s="157"/>
      <c r="AS1532" s="158"/>
      <c r="AT1532" s="159"/>
      <c r="AU1532" s="161"/>
      <c r="AV1532" s="156"/>
      <c r="AW1532" s="162"/>
      <c r="AX1532" s="163"/>
      <c r="AY1532" s="164"/>
      <c r="AZ1532" s="159"/>
      <c r="BA1532" s="161"/>
      <c r="BB1532" s="165"/>
      <c r="BF1532" s="155"/>
    </row>
    <row r="1533" spans="1:58" s="154" customFormat="1" ht="15" customHeight="1">
      <c r="A1533" s="153" t="s">
        <v>5693</v>
      </c>
      <c r="B1533" s="169" t="s">
        <v>5785</v>
      </c>
      <c r="C1533" s="154" t="s">
        <v>5695</v>
      </c>
      <c r="D1533" s="170">
        <v>24</v>
      </c>
      <c r="E1533" s="154">
        <v>2</v>
      </c>
      <c r="G1533" s="154" t="s">
        <v>5786</v>
      </c>
      <c r="J1533" s="154" t="s">
        <v>257</v>
      </c>
      <c r="K1533" s="154" t="s">
        <v>199</v>
      </c>
      <c r="L1533" s="154">
        <v>0</v>
      </c>
      <c r="N1533" s="155">
        <v>4</v>
      </c>
      <c r="O1533" s="156"/>
      <c r="P1533" s="157">
        <v>1</v>
      </c>
      <c r="Q1533" s="158"/>
      <c r="R1533" s="159"/>
      <c r="S1533" s="160"/>
      <c r="T1533" s="161"/>
      <c r="U1533" s="156"/>
      <c r="V1533" s="162"/>
      <c r="W1533" s="163"/>
      <c r="X1533" s="164"/>
      <c r="Y1533" s="159"/>
      <c r="Z1533" s="161"/>
      <c r="AA1533" s="165"/>
      <c r="AB1533" s="154" t="s">
        <v>205</v>
      </c>
      <c r="AC1533" s="154" t="s">
        <v>258</v>
      </c>
      <c r="AD1533" s="154" t="s">
        <v>5787</v>
      </c>
      <c r="AE1533" s="155"/>
      <c r="AF1533" s="154" t="s">
        <v>5788</v>
      </c>
      <c r="AP1533" s="155"/>
      <c r="AQ1533" s="156"/>
      <c r="AR1533" s="157"/>
      <c r="AS1533" s="158"/>
      <c r="AT1533" s="159"/>
      <c r="AU1533" s="161"/>
      <c r="AV1533" s="156"/>
      <c r="AW1533" s="162"/>
      <c r="AX1533" s="163"/>
      <c r="AY1533" s="164"/>
      <c r="AZ1533" s="159"/>
      <c r="BA1533" s="161"/>
      <c r="BB1533" s="165"/>
      <c r="BF1533" s="155"/>
    </row>
    <row r="1534" spans="1:58" s="154" customFormat="1" ht="15" customHeight="1">
      <c r="A1534" s="153" t="s">
        <v>5693</v>
      </c>
      <c r="B1534" s="153" t="s">
        <v>5789</v>
      </c>
      <c r="C1534" s="154" t="s">
        <v>5695</v>
      </c>
      <c r="D1534" s="170">
        <v>25</v>
      </c>
      <c r="E1534" s="154">
        <v>2</v>
      </c>
      <c r="G1534" s="154" t="s">
        <v>5790</v>
      </c>
      <c r="J1534" s="154" t="s">
        <v>27</v>
      </c>
      <c r="K1534" s="154" t="s">
        <v>199</v>
      </c>
      <c r="L1534" s="154">
        <v>0</v>
      </c>
      <c r="N1534" s="155">
        <v>4</v>
      </c>
      <c r="O1534" s="156"/>
      <c r="P1534" s="157">
        <v>2</v>
      </c>
      <c r="Q1534" s="158"/>
      <c r="R1534" s="159"/>
      <c r="S1534" s="160"/>
      <c r="T1534" s="161"/>
      <c r="U1534" s="156"/>
      <c r="V1534" s="162"/>
      <c r="W1534" s="163"/>
      <c r="X1534" s="164"/>
      <c r="Y1534" s="159"/>
      <c r="Z1534" s="161"/>
      <c r="AA1534" s="165"/>
      <c r="AB1534" s="154" t="s">
        <v>1084</v>
      </c>
      <c r="AD1534" s="154" t="s">
        <v>340</v>
      </c>
      <c r="AE1534" s="155"/>
      <c r="AF1534" s="154" t="s">
        <v>5791</v>
      </c>
      <c r="AP1534" s="155"/>
      <c r="AQ1534" s="156"/>
      <c r="AR1534" s="157"/>
      <c r="AS1534" s="158"/>
      <c r="AT1534" s="159"/>
      <c r="AU1534" s="161"/>
      <c r="AV1534" s="156"/>
      <c r="AW1534" s="162"/>
      <c r="AX1534" s="163"/>
      <c r="AY1534" s="164"/>
      <c r="AZ1534" s="159"/>
      <c r="BA1534" s="161"/>
      <c r="BB1534" s="165"/>
      <c r="BF1534" s="155"/>
    </row>
    <row r="1535" spans="1:58" s="154" customFormat="1" ht="15" customHeight="1">
      <c r="A1535" s="153" t="s">
        <v>5693</v>
      </c>
      <c r="B1535" s="153" t="s">
        <v>5792</v>
      </c>
      <c r="C1535" s="154" t="s">
        <v>5695</v>
      </c>
      <c r="D1535" s="170">
        <v>26</v>
      </c>
      <c r="E1535" s="154">
        <v>2</v>
      </c>
      <c r="G1535" s="154" t="s">
        <v>5793</v>
      </c>
      <c r="J1535" s="154" t="s">
        <v>312</v>
      </c>
      <c r="K1535" s="154" t="s">
        <v>199</v>
      </c>
      <c r="L1535" s="154">
        <v>0</v>
      </c>
      <c r="N1535" s="155"/>
      <c r="O1535" s="156">
        <v>1</v>
      </c>
      <c r="P1535" s="157">
        <v>1</v>
      </c>
      <c r="Q1535" s="158"/>
      <c r="R1535" s="159"/>
      <c r="S1535" s="160"/>
      <c r="T1535" s="161"/>
      <c r="U1535" s="156"/>
      <c r="V1535" s="162"/>
      <c r="W1535" s="163"/>
      <c r="X1535" s="164"/>
      <c r="Y1535" s="159"/>
      <c r="Z1535" s="161"/>
      <c r="AA1535" s="165"/>
      <c r="AB1535" s="154" t="s">
        <v>1092</v>
      </c>
      <c r="AD1535" s="154" t="s">
        <v>412</v>
      </c>
      <c r="AE1535" s="155"/>
      <c r="AF1535" s="154" t="s">
        <v>5794</v>
      </c>
      <c r="AI1535" s="153"/>
      <c r="AP1535" s="155"/>
      <c r="AQ1535" s="156"/>
      <c r="AR1535" s="157"/>
      <c r="AS1535" s="158"/>
      <c r="AT1535" s="159"/>
      <c r="AU1535" s="161"/>
      <c r="AV1535" s="156"/>
      <c r="AW1535" s="162"/>
      <c r="AX1535" s="163"/>
      <c r="AY1535" s="164"/>
      <c r="AZ1535" s="159"/>
      <c r="BA1535" s="161"/>
      <c r="BB1535" s="165"/>
      <c r="BF1535" s="155"/>
    </row>
    <row r="1536" spans="1:58" s="154" customFormat="1" ht="15" customHeight="1">
      <c r="A1536" s="153" t="s">
        <v>5693</v>
      </c>
      <c r="B1536" s="169" t="s">
        <v>5795</v>
      </c>
      <c r="C1536" s="154" t="s">
        <v>5695</v>
      </c>
      <c r="D1536" s="170">
        <v>27</v>
      </c>
      <c r="E1536" s="154">
        <v>2</v>
      </c>
      <c r="G1536" s="154" t="s">
        <v>5796</v>
      </c>
      <c r="H1536" s="154" t="s">
        <v>5797</v>
      </c>
      <c r="J1536" s="154" t="s">
        <v>257</v>
      </c>
      <c r="K1536" s="154" t="s">
        <v>199</v>
      </c>
      <c r="L1536" s="154">
        <v>1</v>
      </c>
      <c r="N1536" s="155">
        <v>3</v>
      </c>
      <c r="O1536" s="156"/>
      <c r="P1536" s="157"/>
      <c r="Q1536" s="158"/>
      <c r="R1536" s="159"/>
      <c r="S1536" s="160"/>
      <c r="T1536" s="161"/>
      <c r="U1536" s="156"/>
      <c r="V1536" s="162"/>
      <c r="W1536" s="163"/>
      <c r="X1536" s="164"/>
      <c r="Y1536" s="159"/>
      <c r="Z1536" s="161"/>
      <c r="AA1536" s="165"/>
      <c r="AC1536" s="154" t="s">
        <v>5782</v>
      </c>
      <c r="AD1536" s="154" t="s">
        <v>5783</v>
      </c>
      <c r="AE1536" s="155"/>
      <c r="AF1536" s="154" t="s">
        <v>5798</v>
      </c>
      <c r="AP1536" s="155"/>
      <c r="AQ1536" s="156"/>
      <c r="AR1536" s="157"/>
      <c r="AS1536" s="158"/>
      <c r="AT1536" s="159"/>
      <c r="AU1536" s="161"/>
      <c r="AV1536" s="156"/>
      <c r="AW1536" s="162"/>
      <c r="AX1536" s="163"/>
      <c r="AY1536" s="164"/>
      <c r="AZ1536" s="159"/>
      <c r="BA1536" s="161"/>
      <c r="BB1536" s="165"/>
      <c r="BF1536" s="155"/>
    </row>
    <row r="1537" spans="1:58" s="154" customFormat="1" ht="15" customHeight="1">
      <c r="A1537" s="153" t="s">
        <v>5693</v>
      </c>
      <c r="B1537" s="153" t="s">
        <v>5799</v>
      </c>
      <c r="C1537" s="154" t="s">
        <v>5695</v>
      </c>
      <c r="D1537" s="170">
        <v>28</v>
      </c>
      <c r="E1537" s="154">
        <v>2</v>
      </c>
      <c r="G1537" s="154" t="s">
        <v>5800</v>
      </c>
      <c r="J1537" s="154" t="s">
        <v>257</v>
      </c>
      <c r="K1537" s="154" t="s">
        <v>201</v>
      </c>
      <c r="L1537" s="154">
        <v>0</v>
      </c>
      <c r="N1537" s="155">
        <v>2</v>
      </c>
      <c r="O1537" s="156"/>
      <c r="P1537" s="157"/>
      <c r="Q1537" s="158"/>
      <c r="R1537" s="159"/>
      <c r="S1537" s="160"/>
      <c r="T1537" s="161"/>
      <c r="U1537" s="156"/>
      <c r="V1537" s="162"/>
      <c r="W1537" s="163"/>
      <c r="X1537" s="164"/>
      <c r="Y1537" s="159"/>
      <c r="Z1537" s="161"/>
      <c r="AA1537" s="165"/>
      <c r="AD1537" s="154" t="s">
        <v>2195</v>
      </c>
      <c r="AE1537" s="155"/>
      <c r="AF1537" s="154" t="s">
        <v>5801</v>
      </c>
      <c r="AP1537" s="155"/>
      <c r="AQ1537" s="156"/>
      <c r="AR1537" s="157"/>
      <c r="AS1537" s="158"/>
      <c r="AT1537" s="159"/>
      <c r="AU1537" s="161"/>
      <c r="AV1537" s="156"/>
      <c r="AW1537" s="162"/>
      <c r="AX1537" s="163"/>
      <c r="AY1537" s="164"/>
      <c r="AZ1537" s="159"/>
      <c r="BA1537" s="161"/>
      <c r="BB1537" s="165"/>
      <c r="BF1537" s="155"/>
    </row>
    <row r="1538" spans="1:58" s="154" customFormat="1" ht="15" customHeight="1">
      <c r="A1538" s="153" t="s">
        <v>5693</v>
      </c>
      <c r="B1538" s="153" t="s">
        <v>5802</v>
      </c>
      <c r="C1538" s="154" t="s">
        <v>5695</v>
      </c>
      <c r="D1538" s="170">
        <v>29</v>
      </c>
      <c r="E1538" s="154">
        <v>2</v>
      </c>
      <c r="G1538" s="154" t="s">
        <v>5803</v>
      </c>
      <c r="J1538" s="154" t="s">
        <v>27</v>
      </c>
      <c r="K1538" s="154" t="s">
        <v>201</v>
      </c>
      <c r="L1538" s="154">
        <v>0</v>
      </c>
      <c r="N1538" s="155">
        <v>0</v>
      </c>
      <c r="O1538" s="156"/>
      <c r="P1538" s="157"/>
      <c r="Q1538" s="158"/>
      <c r="R1538" s="159"/>
      <c r="S1538" s="160"/>
      <c r="T1538" s="161"/>
      <c r="U1538" s="156"/>
      <c r="V1538" s="162"/>
      <c r="W1538" s="163"/>
      <c r="X1538" s="164"/>
      <c r="Y1538" s="159"/>
      <c r="Z1538" s="161"/>
      <c r="AA1538" s="165"/>
      <c r="AD1538" s="154" t="s">
        <v>5804</v>
      </c>
      <c r="AE1538" s="155"/>
      <c r="AF1538" s="154" t="s">
        <v>5805</v>
      </c>
      <c r="AP1538" s="155"/>
      <c r="AQ1538" s="156"/>
      <c r="AR1538" s="157"/>
      <c r="AS1538" s="158"/>
      <c r="AT1538" s="159"/>
      <c r="AU1538" s="161"/>
      <c r="AV1538" s="156"/>
      <c r="AW1538" s="162"/>
      <c r="AX1538" s="163"/>
      <c r="AY1538" s="164"/>
      <c r="AZ1538" s="159"/>
      <c r="BA1538" s="161"/>
      <c r="BB1538" s="165"/>
      <c r="BF1538" s="155"/>
    </row>
    <row r="1539" spans="1:58" s="154" customFormat="1" ht="15" customHeight="1">
      <c r="A1539" s="153" t="s">
        <v>5693</v>
      </c>
      <c r="B1539" s="153" t="s">
        <v>5806</v>
      </c>
      <c r="C1539" s="154" t="s">
        <v>5695</v>
      </c>
      <c r="D1539" s="170">
        <v>30</v>
      </c>
      <c r="E1539" s="154">
        <v>2</v>
      </c>
      <c r="G1539" s="154" t="s">
        <v>5807</v>
      </c>
      <c r="J1539" s="154" t="s">
        <v>27</v>
      </c>
      <c r="K1539" s="154" t="s">
        <v>201</v>
      </c>
      <c r="L1539" s="154">
        <v>0</v>
      </c>
      <c r="N1539" s="155"/>
      <c r="O1539" s="156"/>
      <c r="P1539" s="157">
        <v>1</v>
      </c>
      <c r="Q1539" s="158"/>
      <c r="R1539" s="159">
        <v>1</v>
      </c>
      <c r="S1539" s="160"/>
      <c r="T1539" s="161"/>
      <c r="U1539" s="156"/>
      <c r="V1539" s="162"/>
      <c r="W1539" s="163"/>
      <c r="X1539" s="164"/>
      <c r="Y1539" s="159"/>
      <c r="Z1539" s="161"/>
      <c r="AA1539" s="165"/>
      <c r="AB1539" s="154" t="s">
        <v>1089</v>
      </c>
      <c r="AD1539" s="154" t="s">
        <v>412</v>
      </c>
      <c r="AF1539" s="154" t="s">
        <v>5808</v>
      </c>
      <c r="AP1539" s="155"/>
      <c r="AQ1539" s="156"/>
      <c r="AR1539" s="157"/>
      <c r="AS1539" s="158"/>
      <c r="AT1539" s="159"/>
      <c r="AU1539" s="161"/>
      <c r="AV1539" s="156"/>
      <c r="AW1539" s="162"/>
      <c r="AX1539" s="163"/>
      <c r="AY1539" s="164"/>
      <c r="AZ1539" s="159"/>
      <c r="BA1539" s="161"/>
      <c r="BB1539" s="165"/>
      <c r="BF1539" s="155"/>
    </row>
    <row r="1540" spans="1:58" s="154" customFormat="1" ht="15" customHeight="1">
      <c r="A1540" s="153" t="s">
        <v>5693</v>
      </c>
      <c r="B1540" s="169" t="s">
        <v>5809</v>
      </c>
      <c r="C1540" s="154" t="s">
        <v>5695</v>
      </c>
      <c r="D1540" s="170">
        <v>31</v>
      </c>
      <c r="E1540" s="154">
        <v>2</v>
      </c>
      <c r="G1540" s="154" t="s">
        <v>5810</v>
      </c>
      <c r="H1540" s="154" t="s">
        <v>5811</v>
      </c>
      <c r="J1540" s="154" t="s">
        <v>257</v>
      </c>
      <c r="K1540" s="154" t="s">
        <v>201</v>
      </c>
      <c r="L1540" s="154">
        <v>1</v>
      </c>
      <c r="N1540" s="155">
        <v>3</v>
      </c>
      <c r="O1540" s="156"/>
      <c r="P1540" s="157"/>
      <c r="Q1540" s="158"/>
      <c r="R1540" s="159"/>
      <c r="S1540" s="160"/>
      <c r="T1540" s="161"/>
      <c r="U1540" s="156"/>
      <c r="V1540" s="162"/>
      <c r="W1540" s="163"/>
      <c r="X1540" s="164"/>
      <c r="Y1540" s="159"/>
      <c r="Z1540" s="161"/>
      <c r="AA1540" s="165"/>
      <c r="AC1540" s="154" t="s">
        <v>5782</v>
      </c>
      <c r="AD1540" s="154" t="s">
        <v>5783</v>
      </c>
      <c r="AE1540" s="155"/>
      <c r="AF1540" s="154" t="s">
        <v>5812</v>
      </c>
      <c r="AP1540" s="155"/>
      <c r="AQ1540" s="156"/>
      <c r="AR1540" s="157"/>
      <c r="AS1540" s="158"/>
      <c r="AT1540" s="159"/>
      <c r="AU1540" s="161"/>
      <c r="AV1540" s="156"/>
      <c r="AW1540" s="162"/>
      <c r="AX1540" s="163"/>
      <c r="AY1540" s="164"/>
      <c r="AZ1540" s="159"/>
      <c r="BA1540" s="161"/>
      <c r="BB1540" s="165"/>
      <c r="BF1540" s="155"/>
    </row>
    <row r="1541" spans="1:58" s="154" customFormat="1" ht="15" customHeight="1">
      <c r="A1541" s="153" t="s">
        <v>5693</v>
      </c>
      <c r="B1541" s="153" t="s">
        <v>5813</v>
      </c>
      <c r="C1541" s="154" t="s">
        <v>5695</v>
      </c>
      <c r="D1541" s="170">
        <v>32</v>
      </c>
      <c r="E1541" s="154">
        <v>2</v>
      </c>
      <c r="G1541" s="154" t="s">
        <v>5814</v>
      </c>
      <c r="J1541" s="154" t="s">
        <v>27</v>
      </c>
      <c r="K1541" s="154" t="s">
        <v>200</v>
      </c>
      <c r="L1541" s="154">
        <v>0</v>
      </c>
      <c r="N1541" s="155">
        <v>0</v>
      </c>
      <c r="O1541" s="156"/>
      <c r="P1541" s="157"/>
      <c r="Q1541" s="158"/>
      <c r="R1541" s="159"/>
      <c r="S1541" s="160">
        <v>1</v>
      </c>
      <c r="T1541" s="161"/>
      <c r="U1541" s="156"/>
      <c r="V1541" s="162"/>
      <c r="W1541" s="163"/>
      <c r="X1541" s="164"/>
      <c r="Y1541" s="159"/>
      <c r="Z1541" s="161"/>
      <c r="AA1541" s="165"/>
      <c r="AB1541" s="154" t="s">
        <v>208</v>
      </c>
      <c r="AD1541" s="154" t="s">
        <v>3665</v>
      </c>
      <c r="AE1541" s="155"/>
      <c r="AF1541" s="154" t="s">
        <v>5815</v>
      </c>
      <c r="AP1541" s="155"/>
      <c r="AQ1541" s="156"/>
      <c r="AR1541" s="157"/>
      <c r="AS1541" s="158"/>
      <c r="AT1541" s="159"/>
      <c r="AU1541" s="161"/>
      <c r="AV1541" s="156"/>
      <c r="AW1541" s="162"/>
      <c r="AX1541" s="163"/>
      <c r="AY1541" s="164"/>
      <c r="AZ1541" s="159"/>
      <c r="BA1541" s="161"/>
      <c r="BB1541" s="165"/>
      <c r="BF1541" s="155"/>
    </row>
    <row r="1542" spans="1:58" s="154" customFormat="1" ht="15" customHeight="1">
      <c r="A1542" s="153" t="s">
        <v>5693</v>
      </c>
      <c r="B1542" s="169" t="s">
        <v>5816</v>
      </c>
      <c r="C1542" s="154" t="s">
        <v>5695</v>
      </c>
      <c r="D1542" s="170">
        <v>33</v>
      </c>
      <c r="E1542" s="154">
        <v>2</v>
      </c>
      <c r="G1542" s="154" t="s">
        <v>5817</v>
      </c>
      <c r="J1542" s="154" t="s">
        <v>27</v>
      </c>
      <c r="K1542" s="154" t="s">
        <v>200</v>
      </c>
      <c r="L1542" s="154">
        <v>0</v>
      </c>
      <c r="N1542" s="155">
        <v>0</v>
      </c>
      <c r="O1542" s="156">
        <v>1</v>
      </c>
      <c r="P1542" s="157">
        <v>1</v>
      </c>
      <c r="Q1542" s="158"/>
      <c r="R1542" s="159"/>
      <c r="S1542" s="160"/>
      <c r="T1542" s="161"/>
      <c r="U1542" s="156"/>
      <c r="V1542" s="162"/>
      <c r="W1542" s="163"/>
      <c r="X1542" s="164"/>
      <c r="Y1542" s="159"/>
      <c r="Z1542" s="161"/>
      <c r="AA1542" s="165"/>
      <c r="AB1542" s="154" t="s">
        <v>1092</v>
      </c>
      <c r="AD1542" s="154" t="s">
        <v>674</v>
      </c>
      <c r="AE1542" s="155"/>
      <c r="AF1542" s="154" t="s">
        <v>5818</v>
      </c>
      <c r="AP1542" s="155"/>
      <c r="AQ1542" s="156"/>
      <c r="AR1542" s="157"/>
      <c r="AS1542" s="158"/>
      <c r="AT1542" s="159"/>
      <c r="AU1542" s="161"/>
      <c r="AV1542" s="156"/>
      <c r="AW1542" s="162"/>
      <c r="AX1542" s="163"/>
      <c r="AY1542" s="164"/>
      <c r="AZ1542" s="159"/>
      <c r="BA1542" s="161"/>
      <c r="BB1542" s="165"/>
      <c r="BF1542" s="155"/>
    </row>
    <row r="1543" spans="1:58" s="154" customFormat="1" ht="15" customHeight="1">
      <c r="A1543" s="153" t="s">
        <v>5693</v>
      </c>
      <c r="B1543" s="153" t="s">
        <v>5819</v>
      </c>
      <c r="C1543" s="154" t="s">
        <v>5695</v>
      </c>
      <c r="D1543" s="170">
        <v>34</v>
      </c>
      <c r="E1543" s="154">
        <v>2</v>
      </c>
      <c r="G1543" s="154" t="s">
        <v>5820</v>
      </c>
      <c r="J1543" s="154" t="s">
        <v>312</v>
      </c>
      <c r="K1543" s="154" t="s">
        <v>200</v>
      </c>
      <c r="L1543" s="154">
        <v>0</v>
      </c>
      <c r="N1543" s="155"/>
      <c r="O1543" s="156"/>
      <c r="P1543" s="157"/>
      <c r="Q1543" s="158"/>
      <c r="R1543" s="159"/>
      <c r="S1543" s="160">
        <v>1</v>
      </c>
      <c r="T1543" s="161"/>
      <c r="U1543" s="156"/>
      <c r="V1543" s="162"/>
      <c r="W1543" s="163"/>
      <c r="X1543" s="164"/>
      <c r="Y1543" s="159"/>
      <c r="Z1543" s="161"/>
      <c r="AA1543" s="165"/>
      <c r="AB1543" s="154" t="s">
        <v>208</v>
      </c>
      <c r="AD1543" s="154" t="s">
        <v>313</v>
      </c>
      <c r="AE1543" s="155"/>
      <c r="AF1543" s="154" t="s">
        <v>5821</v>
      </c>
      <c r="AP1543" s="155"/>
      <c r="AQ1543" s="156"/>
      <c r="AR1543" s="157"/>
      <c r="AS1543" s="158"/>
      <c r="AT1543" s="159"/>
      <c r="AU1543" s="161"/>
      <c r="AV1543" s="156"/>
      <c r="AW1543" s="162"/>
      <c r="AX1543" s="163"/>
      <c r="AY1543" s="164"/>
      <c r="AZ1543" s="159"/>
      <c r="BA1543" s="161"/>
      <c r="BB1543" s="165"/>
      <c r="BF1543" s="155"/>
    </row>
    <row r="1544" spans="1:58" s="154" customFormat="1" ht="15" customHeight="1">
      <c r="A1544" s="153" t="s">
        <v>5693</v>
      </c>
      <c r="B1544" s="153" t="s">
        <v>5822</v>
      </c>
      <c r="C1544" s="154" t="s">
        <v>5695</v>
      </c>
      <c r="D1544" s="170">
        <v>35</v>
      </c>
      <c r="E1544" s="154">
        <v>2</v>
      </c>
      <c r="G1544" s="154" t="s">
        <v>5823</v>
      </c>
      <c r="H1544" s="154" t="s">
        <v>5824</v>
      </c>
      <c r="J1544" s="154" t="s">
        <v>257</v>
      </c>
      <c r="K1544" s="154" t="s">
        <v>200</v>
      </c>
      <c r="L1544" s="154">
        <v>1</v>
      </c>
      <c r="N1544" s="155">
        <v>3</v>
      </c>
      <c r="O1544" s="156"/>
      <c r="P1544" s="157"/>
      <c r="Q1544" s="158"/>
      <c r="R1544" s="159"/>
      <c r="S1544" s="160"/>
      <c r="T1544" s="161"/>
      <c r="U1544" s="156"/>
      <c r="V1544" s="162"/>
      <c r="W1544" s="163"/>
      <c r="X1544" s="164"/>
      <c r="Y1544" s="159"/>
      <c r="Z1544" s="161"/>
      <c r="AA1544" s="165"/>
      <c r="AC1544" s="154" t="s">
        <v>5782</v>
      </c>
      <c r="AD1544" s="154" t="s">
        <v>5783</v>
      </c>
      <c r="AE1544" s="155"/>
      <c r="AF1544" s="154" t="s">
        <v>5825</v>
      </c>
      <c r="AP1544" s="155"/>
      <c r="AQ1544" s="156"/>
      <c r="AR1544" s="157"/>
      <c r="AS1544" s="158"/>
      <c r="AT1544" s="159"/>
      <c r="AU1544" s="161"/>
      <c r="AV1544" s="156"/>
      <c r="AW1544" s="162"/>
      <c r="AX1544" s="163"/>
      <c r="AY1544" s="164"/>
      <c r="AZ1544" s="159"/>
      <c r="BA1544" s="161"/>
      <c r="BB1544" s="165"/>
      <c r="BF1544" s="155"/>
    </row>
    <row r="1545" spans="1:58" s="154" customFormat="1" ht="15" customHeight="1">
      <c r="A1545" s="153" t="s">
        <v>5693</v>
      </c>
      <c r="B1545" s="153" t="s">
        <v>5826</v>
      </c>
      <c r="C1545" s="154" t="s">
        <v>5695</v>
      </c>
      <c r="D1545" s="170">
        <v>36</v>
      </c>
      <c r="E1545" s="154">
        <v>2</v>
      </c>
      <c r="G1545" s="154" t="s">
        <v>5827</v>
      </c>
      <c r="J1545" s="154" t="s">
        <v>257</v>
      </c>
      <c r="K1545" s="154" t="s">
        <v>202</v>
      </c>
      <c r="L1545" s="154">
        <v>0</v>
      </c>
      <c r="N1545" s="155">
        <v>3</v>
      </c>
      <c r="O1545" s="156"/>
      <c r="P1545" s="157"/>
      <c r="Q1545" s="158"/>
      <c r="R1545" s="159">
        <v>1</v>
      </c>
      <c r="S1545" s="160"/>
      <c r="T1545" s="161"/>
      <c r="U1545" s="156"/>
      <c r="V1545" s="162"/>
      <c r="W1545" s="163"/>
      <c r="X1545" s="164"/>
      <c r="Y1545" s="159"/>
      <c r="Z1545" s="161"/>
      <c r="AA1545" s="165"/>
      <c r="AB1545" s="154" t="s">
        <v>207</v>
      </c>
      <c r="AD1545" s="154" t="s">
        <v>5828</v>
      </c>
      <c r="AE1545" s="155"/>
      <c r="AF1545" s="154" t="s">
        <v>5829</v>
      </c>
      <c r="AP1545" s="155"/>
      <c r="AQ1545" s="156"/>
      <c r="AR1545" s="157"/>
      <c r="AS1545" s="158"/>
      <c r="AT1545" s="159"/>
      <c r="AU1545" s="161"/>
      <c r="AV1545" s="156"/>
      <c r="AW1545" s="162"/>
      <c r="AX1545" s="163"/>
      <c r="AY1545" s="164"/>
      <c r="AZ1545" s="159"/>
      <c r="BA1545" s="161"/>
      <c r="BB1545" s="165"/>
      <c r="BF1545" s="155"/>
    </row>
    <row r="1546" spans="1:58" s="154" customFormat="1" ht="15" customHeight="1">
      <c r="A1546" s="153" t="s">
        <v>5693</v>
      </c>
      <c r="B1546" s="153" t="s">
        <v>5830</v>
      </c>
      <c r="C1546" s="154" t="s">
        <v>5695</v>
      </c>
      <c r="D1546" s="170">
        <v>37</v>
      </c>
      <c r="E1546" s="154">
        <v>2</v>
      </c>
      <c r="G1546" s="154" t="s">
        <v>5831</v>
      </c>
      <c r="J1546" s="154" t="s">
        <v>27</v>
      </c>
      <c r="K1546" s="154" t="s">
        <v>202</v>
      </c>
      <c r="L1546" s="154">
        <v>0</v>
      </c>
      <c r="N1546" s="155">
        <v>0</v>
      </c>
      <c r="O1546" s="156"/>
      <c r="P1546" s="157"/>
      <c r="Q1546" s="158">
        <v>2</v>
      </c>
      <c r="R1546" s="159"/>
      <c r="S1546" s="160"/>
      <c r="T1546" s="161"/>
      <c r="U1546" s="156"/>
      <c r="V1546" s="162"/>
      <c r="W1546" s="163"/>
      <c r="X1546" s="164"/>
      <c r="Y1546" s="159"/>
      <c r="Z1546" s="161"/>
      <c r="AA1546" s="165"/>
      <c r="AB1546" s="154" t="s">
        <v>1088</v>
      </c>
      <c r="AD1546" s="154" t="s">
        <v>5832</v>
      </c>
      <c r="AE1546" s="155"/>
      <c r="AF1546" s="154" t="s">
        <v>5833</v>
      </c>
      <c r="AP1546" s="155"/>
      <c r="AQ1546" s="156"/>
      <c r="AR1546" s="157"/>
      <c r="AS1546" s="158"/>
      <c r="AT1546" s="159"/>
      <c r="AU1546" s="161"/>
      <c r="AV1546" s="156"/>
      <c r="AW1546" s="162"/>
      <c r="AX1546" s="163"/>
      <c r="AY1546" s="164"/>
      <c r="AZ1546" s="159"/>
      <c r="BA1546" s="161"/>
      <c r="BB1546" s="165"/>
      <c r="BF1546" s="155"/>
    </row>
    <row r="1547" spans="1:58" s="154" customFormat="1" ht="15" customHeight="1">
      <c r="A1547" s="153" t="s">
        <v>5693</v>
      </c>
      <c r="B1547" s="169" t="s">
        <v>5834</v>
      </c>
      <c r="C1547" s="154" t="s">
        <v>5695</v>
      </c>
      <c r="D1547" s="155">
        <v>38</v>
      </c>
      <c r="E1547" s="154">
        <v>2</v>
      </c>
      <c r="G1547" s="154" t="s">
        <v>5835</v>
      </c>
      <c r="J1547" s="154" t="s">
        <v>312</v>
      </c>
      <c r="K1547" s="154" t="s">
        <v>202</v>
      </c>
      <c r="L1547" s="154">
        <v>0</v>
      </c>
      <c r="N1547" s="155"/>
      <c r="O1547" s="156"/>
      <c r="P1547" s="157"/>
      <c r="Q1547" s="158">
        <v>1</v>
      </c>
      <c r="R1547" s="159">
        <v>1</v>
      </c>
      <c r="S1547" s="160"/>
      <c r="T1547" s="161"/>
      <c r="U1547" s="156"/>
      <c r="V1547" s="162"/>
      <c r="W1547" s="163"/>
      <c r="X1547" s="164"/>
      <c r="Y1547" s="159"/>
      <c r="Z1547" s="161"/>
      <c r="AA1547" s="165"/>
      <c r="AB1547" s="154" t="s">
        <v>1087</v>
      </c>
      <c r="AD1547" s="154" t="s">
        <v>412</v>
      </c>
      <c r="AE1547" s="155"/>
      <c r="AF1547" s="154" t="s">
        <v>5836</v>
      </c>
      <c r="AP1547" s="155"/>
      <c r="AQ1547" s="156"/>
      <c r="AR1547" s="157"/>
      <c r="AS1547" s="158"/>
      <c r="AT1547" s="159"/>
      <c r="AU1547" s="161"/>
      <c r="AV1547" s="156"/>
      <c r="AW1547" s="162"/>
      <c r="AX1547" s="163"/>
      <c r="AY1547" s="164"/>
      <c r="AZ1547" s="159"/>
      <c r="BA1547" s="161"/>
      <c r="BB1547" s="165"/>
      <c r="BF1547" s="155"/>
    </row>
    <row r="1548" spans="1:58" s="154" customFormat="1" ht="15" customHeight="1">
      <c r="A1548" s="153" t="s">
        <v>5693</v>
      </c>
      <c r="B1548" s="153" t="s">
        <v>5837</v>
      </c>
      <c r="C1548" s="154" t="s">
        <v>5695</v>
      </c>
      <c r="D1548" s="155">
        <v>39</v>
      </c>
      <c r="E1548" s="154">
        <v>2</v>
      </c>
      <c r="G1548" s="154" t="s">
        <v>5838</v>
      </c>
      <c r="H1548" s="154" t="s">
        <v>5839</v>
      </c>
      <c r="J1548" s="154" t="s">
        <v>257</v>
      </c>
      <c r="K1548" s="154" t="s">
        <v>202</v>
      </c>
      <c r="L1548" s="154">
        <v>1</v>
      </c>
      <c r="N1548" s="155">
        <v>3</v>
      </c>
      <c r="O1548" s="156"/>
      <c r="P1548" s="157"/>
      <c r="Q1548" s="158"/>
      <c r="R1548" s="159"/>
      <c r="S1548" s="160"/>
      <c r="T1548" s="161"/>
      <c r="U1548" s="156"/>
      <c r="V1548" s="162"/>
      <c r="W1548" s="163"/>
      <c r="X1548" s="164"/>
      <c r="Y1548" s="159"/>
      <c r="Z1548" s="161"/>
      <c r="AA1548" s="165"/>
      <c r="AC1548" s="154" t="s">
        <v>5782</v>
      </c>
      <c r="AD1548" s="154" t="s">
        <v>5783</v>
      </c>
      <c r="AE1548" s="155"/>
      <c r="AF1548" s="154" t="s">
        <v>5840</v>
      </c>
      <c r="AP1548" s="155"/>
      <c r="AQ1548" s="156"/>
      <c r="AR1548" s="157"/>
      <c r="AS1548" s="158"/>
      <c r="AT1548" s="159"/>
      <c r="AU1548" s="161"/>
      <c r="AV1548" s="156"/>
      <c r="AW1548" s="162"/>
      <c r="AX1548" s="163"/>
      <c r="AY1548" s="164"/>
      <c r="AZ1548" s="159"/>
      <c r="BA1548" s="161"/>
      <c r="BB1548" s="165"/>
      <c r="BF1548" s="155"/>
    </row>
    <row r="1549" spans="1:58" s="154" customFormat="1" ht="15" customHeight="1">
      <c r="A1549" s="153" t="s">
        <v>5693</v>
      </c>
      <c r="B1549" s="183" t="s">
        <v>5841</v>
      </c>
      <c r="C1549" s="154" t="s">
        <v>5695</v>
      </c>
      <c r="D1549" s="155">
        <v>40</v>
      </c>
      <c r="E1549" s="154">
        <v>2</v>
      </c>
      <c r="G1549" s="154" t="s">
        <v>5842</v>
      </c>
      <c r="H1549" s="154" t="s">
        <v>5843</v>
      </c>
      <c r="J1549" s="154" t="s">
        <v>257</v>
      </c>
      <c r="K1549" s="154" t="s">
        <v>26</v>
      </c>
      <c r="L1549" s="154">
        <v>1</v>
      </c>
      <c r="N1549" s="155">
        <v>3</v>
      </c>
      <c r="O1549" s="156"/>
      <c r="P1549" s="157"/>
      <c r="Q1549" s="158"/>
      <c r="R1549" s="159"/>
      <c r="S1549" s="160"/>
      <c r="T1549" s="161"/>
      <c r="U1549" s="156"/>
      <c r="V1549" s="162"/>
      <c r="W1549" s="163"/>
      <c r="X1549" s="164"/>
      <c r="Y1549" s="159"/>
      <c r="Z1549" s="161"/>
      <c r="AA1549" s="165"/>
      <c r="AC1549" s="154" t="s">
        <v>5782</v>
      </c>
      <c r="AD1549" s="154" t="s">
        <v>5783</v>
      </c>
      <c r="AE1549" s="155"/>
      <c r="AF1549" s="154" t="s">
        <v>5844</v>
      </c>
      <c r="AP1549" s="155"/>
      <c r="AQ1549" s="156"/>
      <c r="AR1549" s="157"/>
      <c r="AS1549" s="158"/>
      <c r="AT1549" s="159"/>
      <c r="AU1549" s="161"/>
      <c r="AV1549" s="156"/>
      <c r="AW1549" s="162"/>
      <c r="AX1549" s="163"/>
      <c r="AY1549" s="164"/>
      <c r="AZ1549" s="159"/>
      <c r="BA1549" s="161"/>
      <c r="BB1549" s="165"/>
      <c r="BF1549" s="155"/>
    </row>
    <row r="1550" spans="1:58" s="154" customFormat="1" ht="15" customHeight="1">
      <c r="A1550" s="153" t="s">
        <v>5693</v>
      </c>
      <c r="B1550" s="154" t="s">
        <v>5845</v>
      </c>
      <c r="C1550" s="154" t="s">
        <v>5695</v>
      </c>
      <c r="D1550" s="155">
        <v>41</v>
      </c>
      <c r="E1550" s="154">
        <v>2</v>
      </c>
      <c r="G1550" s="154" t="s">
        <v>5846</v>
      </c>
      <c r="J1550" s="154" t="s">
        <v>28</v>
      </c>
      <c r="K1550" s="154" t="s">
        <v>2426</v>
      </c>
      <c r="M1550" s="154" t="s">
        <v>691</v>
      </c>
      <c r="N1550" s="155"/>
      <c r="O1550" s="156"/>
      <c r="P1550" s="157"/>
      <c r="Q1550" s="158"/>
      <c r="R1550" s="159"/>
      <c r="S1550" s="160"/>
      <c r="T1550" s="161"/>
      <c r="U1550" s="156"/>
      <c r="V1550" s="162"/>
      <c r="W1550" s="163"/>
      <c r="X1550" s="164"/>
      <c r="Y1550" s="159"/>
      <c r="Z1550" s="161"/>
      <c r="AA1550" s="165"/>
      <c r="AD1550" s="154" t="s">
        <v>492</v>
      </c>
      <c r="AE1550" s="155"/>
      <c r="AF1550" s="154" t="s">
        <v>5847</v>
      </c>
      <c r="AP1550" s="155"/>
      <c r="AQ1550" s="156"/>
      <c r="AR1550" s="157"/>
      <c r="AS1550" s="158"/>
      <c r="AT1550" s="159"/>
      <c r="AU1550" s="161"/>
      <c r="AV1550" s="156"/>
      <c r="AW1550" s="162"/>
      <c r="AX1550" s="163"/>
      <c r="AY1550" s="164"/>
      <c r="AZ1550" s="159"/>
      <c r="BA1550" s="161"/>
      <c r="BB1550" s="165"/>
      <c r="BF1550" s="155"/>
    </row>
    <row r="1551" spans="1:58" s="154" customFormat="1" ht="15" customHeight="1">
      <c r="A1551" s="153" t="s">
        <v>5693</v>
      </c>
      <c r="B1551" s="154" t="s">
        <v>5848</v>
      </c>
      <c r="C1551" s="154" t="s">
        <v>5695</v>
      </c>
      <c r="D1551" s="155">
        <v>42</v>
      </c>
      <c r="E1551" s="154">
        <v>2</v>
      </c>
      <c r="G1551" s="154" t="s">
        <v>5849</v>
      </c>
      <c r="H1551" s="154" t="s">
        <v>5850</v>
      </c>
      <c r="J1551" s="154" t="s">
        <v>257</v>
      </c>
      <c r="K1551" s="154" t="s">
        <v>26</v>
      </c>
      <c r="M1551" s="154" t="s">
        <v>691</v>
      </c>
      <c r="N1551" s="155">
        <v>4</v>
      </c>
      <c r="O1551" s="156"/>
      <c r="P1551" s="157"/>
      <c r="Q1551" s="158"/>
      <c r="R1551" s="159"/>
      <c r="S1551" s="160"/>
      <c r="T1551" s="161"/>
      <c r="U1551" s="156"/>
      <c r="V1551" s="162"/>
      <c r="W1551" s="163"/>
      <c r="X1551" s="164"/>
      <c r="Y1551" s="159"/>
      <c r="Z1551" s="161"/>
      <c r="AA1551" s="165"/>
      <c r="AC1551" s="154" t="s">
        <v>5782</v>
      </c>
      <c r="AD1551" s="154" t="s">
        <v>5851</v>
      </c>
      <c r="AE1551" s="155"/>
      <c r="AF1551" s="154" t="s">
        <v>5852</v>
      </c>
      <c r="AJ1551" s="171"/>
      <c r="AP1551" s="155"/>
      <c r="AQ1551" s="156"/>
      <c r="AR1551" s="157"/>
      <c r="AS1551" s="158"/>
      <c r="AT1551" s="159"/>
      <c r="AU1551" s="161"/>
      <c r="AV1551" s="156"/>
      <c r="AW1551" s="162"/>
      <c r="AX1551" s="163"/>
      <c r="AY1551" s="164"/>
      <c r="AZ1551" s="159"/>
      <c r="BA1551" s="161"/>
      <c r="BB1551" s="165"/>
      <c r="BF1551" s="155"/>
    </row>
    <row r="1552" spans="1:58" ht="15" customHeight="1">
      <c r="A1552" s="153" t="s">
        <v>5693</v>
      </c>
      <c r="B1552" s="23" t="s">
        <v>5855</v>
      </c>
      <c r="C1552" s="154" t="s">
        <v>5695</v>
      </c>
      <c r="D1552" s="24">
        <v>994</v>
      </c>
      <c r="E1552" s="23">
        <v>1</v>
      </c>
      <c r="G1552" s="171" t="s">
        <v>5696</v>
      </c>
      <c r="J1552" s="23" t="s">
        <v>861</v>
      </c>
      <c r="K1552" s="28" t="s">
        <v>198</v>
      </c>
      <c r="N1552" s="147"/>
      <c r="O1552" s="118"/>
      <c r="P1552" s="119"/>
      <c r="Q1552" s="120"/>
      <c r="R1552" s="29"/>
      <c r="S1552" s="135"/>
      <c r="T1552" s="122"/>
      <c r="U1552" s="118"/>
      <c r="V1552" s="123"/>
      <c r="W1552" s="124"/>
      <c r="X1552" s="125"/>
      <c r="Y1552" s="29"/>
      <c r="Z1552" s="122"/>
      <c r="AA1552" s="126"/>
      <c r="AB1552" s="148"/>
      <c r="AI1552" s="171" t="s">
        <v>5696</v>
      </c>
      <c r="AL1552" s="23" t="s">
        <v>861</v>
      </c>
      <c r="AM1552" s="28" t="s">
        <v>198</v>
      </c>
      <c r="AP1552" s="24"/>
      <c r="AQ1552" s="118"/>
      <c r="AR1552" s="119"/>
      <c r="AS1552" s="120"/>
      <c r="AT1552" s="29"/>
      <c r="AU1552" s="122"/>
      <c r="AV1552" s="118"/>
      <c r="AW1552" s="123"/>
      <c r="AX1552" s="124"/>
      <c r="AY1552" s="125"/>
      <c r="AZ1552" s="29"/>
      <c r="BA1552" s="122"/>
      <c r="BB1552" s="126"/>
    </row>
    <row r="1553" spans="1:54" ht="15" customHeight="1">
      <c r="A1553" s="153" t="s">
        <v>5693</v>
      </c>
      <c r="B1553" s="23" t="s">
        <v>5856</v>
      </c>
      <c r="C1553" s="154" t="s">
        <v>5695</v>
      </c>
      <c r="D1553" s="24">
        <v>995</v>
      </c>
      <c r="E1553" s="23">
        <v>1</v>
      </c>
      <c r="G1553" s="154" t="s">
        <v>5702</v>
      </c>
      <c r="J1553" s="23" t="s">
        <v>861</v>
      </c>
      <c r="K1553" s="23" t="s">
        <v>199</v>
      </c>
      <c r="N1553" s="147"/>
      <c r="O1553" s="118"/>
      <c r="P1553" s="119"/>
      <c r="Q1553" s="120"/>
      <c r="R1553" s="29"/>
      <c r="S1553" s="135"/>
      <c r="T1553" s="122"/>
      <c r="U1553" s="118"/>
      <c r="V1553" s="123"/>
      <c r="W1553" s="124"/>
      <c r="X1553" s="125"/>
      <c r="Y1553" s="29"/>
      <c r="Z1553" s="122"/>
      <c r="AA1553" s="126"/>
      <c r="AB1553" s="148"/>
      <c r="AI1553" s="154" t="s">
        <v>5702</v>
      </c>
      <c r="AL1553" s="23" t="s">
        <v>861</v>
      </c>
      <c r="AM1553" s="23" t="s">
        <v>199</v>
      </c>
      <c r="AP1553" s="24"/>
      <c r="AQ1553" s="118"/>
      <c r="AR1553" s="119"/>
      <c r="AS1553" s="120"/>
      <c r="AT1553" s="29"/>
      <c r="AU1553" s="122"/>
      <c r="AV1553" s="118"/>
      <c r="AW1553" s="123"/>
      <c r="AX1553" s="124"/>
      <c r="AY1553" s="125"/>
      <c r="AZ1553" s="29"/>
      <c r="BA1553" s="122"/>
      <c r="BB1553" s="126"/>
    </row>
    <row r="1554" spans="1:54" ht="15" customHeight="1">
      <c r="A1554" s="153" t="s">
        <v>5693</v>
      </c>
      <c r="B1554" s="23" t="s">
        <v>5857</v>
      </c>
      <c r="C1554" s="154" t="s">
        <v>5695</v>
      </c>
      <c r="D1554" s="24">
        <v>996</v>
      </c>
      <c r="E1554" s="23">
        <v>1</v>
      </c>
      <c r="G1554" s="154" t="s">
        <v>5708</v>
      </c>
      <c r="J1554" s="23" t="s">
        <v>861</v>
      </c>
      <c r="K1554" s="23" t="s">
        <v>201</v>
      </c>
      <c r="N1554" s="147"/>
      <c r="O1554" s="118"/>
      <c r="P1554" s="119"/>
      <c r="Q1554" s="120"/>
      <c r="R1554" s="29"/>
      <c r="S1554" s="135"/>
      <c r="T1554" s="122"/>
      <c r="U1554" s="118"/>
      <c r="V1554" s="123"/>
      <c r="W1554" s="124"/>
      <c r="X1554" s="125"/>
      <c r="Y1554" s="29"/>
      <c r="Z1554" s="122"/>
      <c r="AA1554" s="126"/>
      <c r="AB1554" s="148"/>
      <c r="AI1554" s="154" t="s">
        <v>5708</v>
      </c>
      <c r="AL1554" s="23" t="s">
        <v>861</v>
      </c>
      <c r="AM1554" s="23" t="s">
        <v>201</v>
      </c>
      <c r="AP1554" s="24"/>
      <c r="AQ1554" s="118"/>
      <c r="AR1554" s="119"/>
      <c r="AS1554" s="120"/>
      <c r="AT1554" s="29"/>
      <c r="AU1554" s="122"/>
      <c r="AV1554" s="118"/>
      <c r="AW1554" s="123"/>
      <c r="AX1554" s="124"/>
      <c r="AY1554" s="125"/>
      <c r="AZ1554" s="29"/>
      <c r="BA1554" s="122"/>
      <c r="BB1554" s="126"/>
    </row>
    <row r="1555" spans="1:54" ht="15" customHeight="1">
      <c r="A1555" s="153" t="s">
        <v>5693</v>
      </c>
      <c r="B1555" s="23" t="s">
        <v>5858</v>
      </c>
      <c r="C1555" s="154" t="s">
        <v>5695</v>
      </c>
      <c r="D1555" s="24">
        <v>997</v>
      </c>
      <c r="E1555" s="23">
        <v>1</v>
      </c>
      <c r="G1555" s="154" t="s">
        <v>5714</v>
      </c>
      <c r="J1555" s="23" t="s">
        <v>861</v>
      </c>
      <c r="K1555" s="23" t="s">
        <v>200</v>
      </c>
      <c r="N1555" s="147"/>
      <c r="O1555" s="118"/>
      <c r="P1555" s="119"/>
      <c r="Q1555" s="120"/>
      <c r="R1555" s="29"/>
      <c r="S1555" s="135"/>
      <c r="T1555" s="122"/>
      <c r="U1555" s="118"/>
      <c r="V1555" s="123"/>
      <c r="W1555" s="124"/>
      <c r="X1555" s="125"/>
      <c r="Y1555" s="29"/>
      <c r="Z1555" s="122"/>
      <c r="AA1555" s="126"/>
      <c r="AB1555" s="148"/>
      <c r="AI1555" s="154" t="s">
        <v>5714</v>
      </c>
      <c r="AL1555" s="23" t="s">
        <v>861</v>
      </c>
      <c r="AM1555" s="23" t="s">
        <v>200</v>
      </c>
      <c r="AP1555" s="24"/>
      <c r="AQ1555" s="118"/>
      <c r="AR1555" s="119"/>
      <c r="AS1555" s="120"/>
      <c r="AT1555" s="29"/>
      <c r="AU1555" s="122"/>
      <c r="AV1555" s="118"/>
      <c r="AW1555" s="123"/>
      <c r="AX1555" s="124"/>
      <c r="AY1555" s="125"/>
      <c r="AZ1555" s="29"/>
      <c r="BA1555" s="122"/>
      <c r="BB1555" s="126"/>
    </row>
    <row r="1556" spans="1:54" ht="15" customHeight="1">
      <c r="A1556" s="153" t="s">
        <v>5693</v>
      </c>
      <c r="B1556" s="23" t="s">
        <v>5859</v>
      </c>
      <c r="C1556" s="154" t="s">
        <v>5695</v>
      </c>
      <c r="D1556" s="24">
        <v>998</v>
      </c>
      <c r="E1556" s="23">
        <v>1</v>
      </c>
      <c r="G1556" s="154" t="s">
        <v>5720</v>
      </c>
      <c r="J1556" s="23" t="s">
        <v>861</v>
      </c>
      <c r="K1556" s="23" t="s">
        <v>202</v>
      </c>
      <c r="N1556" s="147"/>
      <c r="O1556" s="118"/>
      <c r="P1556" s="119"/>
      <c r="Q1556" s="120"/>
      <c r="R1556" s="29"/>
      <c r="S1556" s="135"/>
      <c r="T1556" s="122"/>
      <c r="U1556" s="118"/>
      <c r="V1556" s="123"/>
      <c r="W1556" s="124"/>
      <c r="X1556" s="125"/>
      <c r="Y1556" s="29"/>
      <c r="Z1556" s="122"/>
      <c r="AA1556" s="126"/>
      <c r="AB1556" s="148"/>
      <c r="AI1556" s="154" t="s">
        <v>5720</v>
      </c>
      <c r="AL1556" s="23" t="s">
        <v>861</v>
      </c>
      <c r="AM1556" s="23" t="s">
        <v>202</v>
      </c>
      <c r="AP1556" s="24"/>
      <c r="AQ1556" s="118"/>
      <c r="AR1556" s="119"/>
      <c r="AS1556" s="120"/>
      <c r="AT1556" s="29"/>
      <c r="AU1556" s="122"/>
      <c r="AV1556" s="118"/>
      <c r="AW1556" s="123"/>
      <c r="AX1556" s="124"/>
      <c r="AY1556" s="125"/>
      <c r="AZ1556" s="29"/>
      <c r="BA1556" s="122"/>
      <c r="BB1556" s="126"/>
    </row>
    <row r="1557" spans="1:54" ht="15" customHeight="1">
      <c r="A1557" s="153" t="s">
        <v>5693</v>
      </c>
      <c r="B1557" s="23" t="s">
        <v>5860</v>
      </c>
      <c r="C1557" s="154" t="s">
        <v>5695</v>
      </c>
      <c r="D1557" s="24">
        <v>999</v>
      </c>
      <c r="E1557" s="23">
        <v>1</v>
      </c>
      <c r="G1557" s="154" t="s">
        <v>1114</v>
      </c>
      <c r="J1557" s="23" t="s">
        <v>861</v>
      </c>
      <c r="K1557" s="23" t="s">
        <v>200</v>
      </c>
      <c r="N1557" s="147"/>
      <c r="O1557" s="118"/>
      <c r="P1557" s="119"/>
      <c r="Q1557" s="120"/>
      <c r="R1557" s="29"/>
      <c r="S1557" s="135"/>
      <c r="T1557" s="122"/>
      <c r="U1557" s="118"/>
      <c r="V1557" s="123"/>
      <c r="W1557" s="124"/>
      <c r="X1557" s="125"/>
      <c r="Y1557" s="29"/>
      <c r="Z1557" s="122"/>
      <c r="AA1557" s="126"/>
      <c r="AB1557" s="148"/>
      <c r="AI1557" s="154" t="s">
        <v>1114</v>
      </c>
      <c r="AL1557" s="23" t="s">
        <v>861</v>
      </c>
      <c r="AM1557" s="23" t="s">
        <v>200</v>
      </c>
      <c r="AP1557" s="24"/>
      <c r="AQ1557" s="118"/>
      <c r="AR1557" s="119"/>
      <c r="AS1557" s="120"/>
      <c r="AT1557" s="29"/>
      <c r="AU1557" s="122"/>
      <c r="AV1557" s="118"/>
      <c r="AW1557" s="123"/>
      <c r="AX1557" s="124"/>
      <c r="AY1557" s="125"/>
      <c r="AZ1557" s="29"/>
      <c r="BA1557" s="122"/>
      <c r="BB1557" s="126"/>
    </row>
  </sheetData>
  <sortState ref="A2:BI188">
    <sortCondition ref="C2:C188"/>
    <sortCondition ref="D2:D188"/>
  </sortState>
  <conditionalFormatting sqref="K1 K348:K382 AM1 AM184:AM190 AL2 AL117:AL121 AL132 AL134:AL150 AL160:AL183 AM192 AL7:AL111 AL124:AL129 AM196:AM232 AM257:AM382 AM234:AM251 AM467:AM726 K467:K726 K774:K854 AM774:AM854 AM890:AM932 K890:K932 AM1558:AM1048576 K1558:K1048576">
    <cfRule type="cellIs" dxfId="2375" priority="3907" operator="equal">
      <formula>"Seeker"</formula>
    </cfRule>
    <cfRule type="cellIs" dxfId="2374" priority="3908" operator="equal">
      <formula>"Neutral"</formula>
    </cfRule>
    <cfRule type="cellIs" dxfId="2373" priority="3909" operator="equal">
      <formula>"Rogue"</formula>
    </cfRule>
    <cfRule type="cellIs" dxfId="2372" priority="3910" operator="equal">
      <formula>"Guardian"</formula>
    </cfRule>
    <cfRule type="cellIs" dxfId="2371" priority="3911" operator="equal">
      <formula>"Survivor"</formula>
    </cfRule>
    <cfRule type="cellIs" dxfId="2370" priority="3912" operator="equal">
      <formula>"Mystic"</formula>
    </cfRule>
  </conditionalFormatting>
  <conditionalFormatting sqref="K2:K99 K101:K104 K234:K347">
    <cfRule type="cellIs" dxfId="2369" priority="3901" operator="equal">
      <formula>"seeker"</formula>
    </cfRule>
    <cfRule type="cellIs" dxfId="2368" priority="3902" operator="equal">
      <formula>"neutral"</formula>
    </cfRule>
    <cfRule type="cellIs" dxfId="2367" priority="3903" operator="equal">
      <formula>"rogue"</formula>
    </cfRule>
    <cfRule type="cellIs" dxfId="2366" priority="3904" operator="equal">
      <formula>"Guardian"</formula>
    </cfRule>
    <cfRule type="cellIs" dxfId="2365" priority="3905" operator="equal">
      <formula>"Survivor"</formula>
    </cfRule>
    <cfRule type="cellIs" dxfId="2364" priority="3906" operator="equal">
      <formula>"Mystic"</formula>
    </cfRule>
  </conditionalFormatting>
  <conditionalFormatting sqref="K134:K152 K158:K169 K171:K193 K105:K122 K195:K232 K124:K132">
    <cfRule type="cellIs" dxfId="2363" priority="3895" operator="equal">
      <formula>"seeker"</formula>
    </cfRule>
    <cfRule type="cellIs" dxfId="2362" priority="3896" operator="equal">
      <formula>"neutral"</formula>
    </cfRule>
    <cfRule type="cellIs" dxfId="2361" priority="3897" operator="equal">
      <formula>"rogue"</formula>
    </cfRule>
    <cfRule type="cellIs" dxfId="2360" priority="3898" operator="equal">
      <formula>"Guardian"</formula>
    </cfRule>
    <cfRule type="cellIs" dxfId="2359" priority="3899" operator="equal">
      <formula>"Survivor"</formula>
    </cfRule>
    <cfRule type="cellIs" dxfId="2358" priority="3900" operator="equal">
      <formula>"Mystic"</formula>
    </cfRule>
  </conditionalFormatting>
  <conditionalFormatting sqref="K100">
    <cfRule type="cellIs" dxfId="2357" priority="3889" operator="equal">
      <formula>"seeker"</formula>
    </cfRule>
    <cfRule type="cellIs" dxfId="2356" priority="3890" operator="equal">
      <formula>"neutral"</formula>
    </cfRule>
    <cfRule type="cellIs" dxfId="2355" priority="3891" operator="equal">
      <formula>"rogue"</formula>
    </cfRule>
    <cfRule type="cellIs" dxfId="2354" priority="3892" operator="equal">
      <formula>"Guardian"</formula>
    </cfRule>
    <cfRule type="cellIs" dxfId="2353" priority="3893" operator="equal">
      <formula>"Survivor"</formula>
    </cfRule>
    <cfRule type="cellIs" dxfId="2352" priority="3894" operator="equal">
      <formula>"Mystic"</formula>
    </cfRule>
  </conditionalFormatting>
  <conditionalFormatting sqref="AM112:AM116">
    <cfRule type="cellIs" dxfId="2351" priority="3883" operator="equal">
      <formula>"seeker"</formula>
    </cfRule>
    <cfRule type="cellIs" dxfId="2350" priority="3884" operator="equal">
      <formula>"neutral"</formula>
    </cfRule>
    <cfRule type="cellIs" dxfId="2349" priority="3885" operator="equal">
      <formula>"rogue"</formula>
    </cfRule>
    <cfRule type="cellIs" dxfId="2348" priority="3886" operator="equal">
      <formula>"Guardian"</formula>
    </cfRule>
    <cfRule type="cellIs" dxfId="2347" priority="3887" operator="equal">
      <formula>"Survivor"</formula>
    </cfRule>
    <cfRule type="cellIs" dxfId="2346" priority="3888" operator="equal">
      <formula>"Mystic"</formula>
    </cfRule>
  </conditionalFormatting>
  <conditionalFormatting sqref="AM130:AM131">
    <cfRule type="cellIs" dxfId="2345" priority="3877" operator="equal">
      <formula>"seeker"</formula>
    </cfRule>
    <cfRule type="cellIs" dxfId="2344" priority="3878" operator="equal">
      <formula>"neutral"</formula>
    </cfRule>
    <cfRule type="cellIs" dxfId="2343" priority="3879" operator="equal">
      <formula>"rogue"</formula>
    </cfRule>
    <cfRule type="cellIs" dxfId="2342" priority="3880" operator="equal">
      <formula>"Guardian"</formula>
    </cfRule>
    <cfRule type="cellIs" dxfId="2341" priority="3881" operator="equal">
      <formula>"Survivor"</formula>
    </cfRule>
    <cfRule type="cellIs" dxfId="2340" priority="3882" operator="equal">
      <formula>"Mystic"</formula>
    </cfRule>
  </conditionalFormatting>
  <conditionalFormatting sqref="AL133">
    <cfRule type="cellIs" dxfId="2339" priority="3871" operator="equal">
      <formula>"Seeker"</formula>
    </cfRule>
    <cfRule type="cellIs" dxfId="2338" priority="3872" operator="equal">
      <formula>"Neutral"</formula>
    </cfRule>
    <cfRule type="cellIs" dxfId="2337" priority="3873" operator="equal">
      <formula>"Rogue"</formula>
    </cfRule>
    <cfRule type="cellIs" dxfId="2336" priority="3874" operator="equal">
      <formula>"Guardian"</formula>
    </cfRule>
    <cfRule type="cellIs" dxfId="2335" priority="3875" operator="equal">
      <formula>"Survivor"</formula>
    </cfRule>
    <cfRule type="cellIs" dxfId="2334" priority="3876" operator="equal">
      <formula>"Mystic"</formula>
    </cfRule>
  </conditionalFormatting>
  <conditionalFormatting sqref="K133">
    <cfRule type="cellIs" dxfId="2333" priority="3865" operator="equal">
      <formula>"seeker"</formula>
    </cfRule>
    <cfRule type="cellIs" dxfId="2332" priority="3866" operator="equal">
      <formula>"neutral"</formula>
    </cfRule>
    <cfRule type="cellIs" dxfId="2331" priority="3867" operator="equal">
      <formula>"rogue"</formula>
    </cfRule>
    <cfRule type="cellIs" dxfId="2330" priority="3868" operator="equal">
      <formula>"Guardian"</formula>
    </cfRule>
    <cfRule type="cellIs" dxfId="2329" priority="3869" operator="equal">
      <formula>"Survivor"</formula>
    </cfRule>
    <cfRule type="cellIs" dxfId="2328" priority="3870" operator="equal">
      <formula>"Mystic"</formula>
    </cfRule>
  </conditionalFormatting>
  <conditionalFormatting sqref="AM151:AM152 AM158:AM159">
    <cfRule type="cellIs" dxfId="2327" priority="3859" operator="equal">
      <formula>"seeker"</formula>
    </cfRule>
    <cfRule type="cellIs" dxfId="2326" priority="3860" operator="equal">
      <formula>"neutral"</formula>
    </cfRule>
    <cfRule type="cellIs" dxfId="2325" priority="3861" operator="equal">
      <formula>"rogue"</formula>
    </cfRule>
    <cfRule type="cellIs" dxfId="2324" priority="3862" operator="equal">
      <formula>"Guardian"</formula>
    </cfRule>
    <cfRule type="cellIs" dxfId="2323" priority="3863" operator="equal">
      <formula>"Survivor"</formula>
    </cfRule>
    <cfRule type="cellIs" dxfId="2322" priority="3864" operator="equal">
      <formula>"Mystic"</formula>
    </cfRule>
  </conditionalFormatting>
  <conditionalFormatting sqref="K153">
    <cfRule type="cellIs" dxfId="2321" priority="3853" operator="equal">
      <formula>"seeker"</formula>
    </cfRule>
    <cfRule type="cellIs" dxfId="2320" priority="3854" operator="equal">
      <formula>"neutral"</formula>
    </cfRule>
    <cfRule type="cellIs" dxfId="2319" priority="3855" operator="equal">
      <formula>"rogue"</formula>
    </cfRule>
    <cfRule type="cellIs" dxfId="2318" priority="3856" operator="equal">
      <formula>"Guardian"</formula>
    </cfRule>
    <cfRule type="cellIs" dxfId="2317" priority="3857" operator="equal">
      <formula>"Survivor"</formula>
    </cfRule>
    <cfRule type="cellIs" dxfId="2316" priority="3858" operator="equal">
      <formula>"Mystic"</formula>
    </cfRule>
  </conditionalFormatting>
  <conditionalFormatting sqref="AM153">
    <cfRule type="cellIs" dxfId="2315" priority="3847" operator="equal">
      <formula>"seeker"</formula>
    </cfRule>
    <cfRule type="cellIs" dxfId="2314" priority="3848" operator="equal">
      <formula>"neutral"</formula>
    </cfRule>
    <cfRule type="cellIs" dxfId="2313" priority="3849" operator="equal">
      <formula>"rogue"</formula>
    </cfRule>
    <cfRule type="cellIs" dxfId="2312" priority="3850" operator="equal">
      <formula>"Guardian"</formula>
    </cfRule>
    <cfRule type="cellIs" dxfId="2311" priority="3851" operator="equal">
      <formula>"Survivor"</formula>
    </cfRule>
    <cfRule type="cellIs" dxfId="2310" priority="3852" operator="equal">
      <formula>"Mystic"</formula>
    </cfRule>
  </conditionalFormatting>
  <conditionalFormatting sqref="K154">
    <cfRule type="cellIs" dxfId="2309" priority="3841" operator="equal">
      <formula>"seeker"</formula>
    </cfRule>
    <cfRule type="cellIs" dxfId="2308" priority="3842" operator="equal">
      <formula>"neutral"</formula>
    </cfRule>
    <cfRule type="cellIs" dxfId="2307" priority="3843" operator="equal">
      <formula>"rogue"</formula>
    </cfRule>
    <cfRule type="cellIs" dxfId="2306" priority="3844" operator="equal">
      <formula>"Guardian"</formula>
    </cfRule>
    <cfRule type="cellIs" dxfId="2305" priority="3845" operator="equal">
      <formula>"Survivor"</formula>
    </cfRule>
    <cfRule type="cellIs" dxfId="2304" priority="3846" operator="equal">
      <formula>"Mystic"</formula>
    </cfRule>
  </conditionalFormatting>
  <conditionalFormatting sqref="AM154">
    <cfRule type="cellIs" dxfId="2303" priority="3835" operator="equal">
      <formula>"seeker"</formula>
    </cfRule>
    <cfRule type="cellIs" dxfId="2302" priority="3836" operator="equal">
      <formula>"neutral"</formula>
    </cfRule>
    <cfRule type="cellIs" dxfId="2301" priority="3837" operator="equal">
      <formula>"rogue"</formula>
    </cfRule>
    <cfRule type="cellIs" dxfId="2300" priority="3838" operator="equal">
      <formula>"Guardian"</formula>
    </cfRule>
    <cfRule type="cellIs" dxfId="2299" priority="3839" operator="equal">
      <formula>"Survivor"</formula>
    </cfRule>
    <cfRule type="cellIs" dxfId="2298" priority="3840" operator="equal">
      <formula>"Mystic"</formula>
    </cfRule>
  </conditionalFormatting>
  <conditionalFormatting sqref="K155">
    <cfRule type="cellIs" dxfId="2297" priority="3829" operator="equal">
      <formula>"seeker"</formula>
    </cfRule>
    <cfRule type="cellIs" dxfId="2296" priority="3830" operator="equal">
      <formula>"neutral"</formula>
    </cfRule>
    <cfRule type="cellIs" dxfId="2295" priority="3831" operator="equal">
      <formula>"rogue"</formula>
    </cfRule>
    <cfRule type="cellIs" dxfId="2294" priority="3832" operator="equal">
      <formula>"Guardian"</formula>
    </cfRule>
    <cfRule type="cellIs" dxfId="2293" priority="3833" operator="equal">
      <formula>"Survivor"</formula>
    </cfRule>
    <cfRule type="cellIs" dxfId="2292" priority="3834" operator="equal">
      <formula>"Mystic"</formula>
    </cfRule>
  </conditionalFormatting>
  <conditionalFormatting sqref="AM155">
    <cfRule type="cellIs" dxfId="2291" priority="3823" operator="equal">
      <formula>"seeker"</formula>
    </cfRule>
    <cfRule type="cellIs" dxfId="2290" priority="3824" operator="equal">
      <formula>"neutral"</formula>
    </cfRule>
    <cfRule type="cellIs" dxfId="2289" priority="3825" operator="equal">
      <formula>"rogue"</formula>
    </cfRule>
    <cfRule type="cellIs" dxfId="2288" priority="3826" operator="equal">
      <formula>"Guardian"</formula>
    </cfRule>
    <cfRule type="cellIs" dxfId="2287" priority="3827" operator="equal">
      <formula>"Survivor"</formula>
    </cfRule>
    <cfRule type="cellIs" dxfId="2286" priority="3828" operator="equal">
      <formula>"Mystic"</formula>
    </cfRule>
  </conditionalFormatting>
  <conditionalFormatting sqref="K156">
    <cfRule type="cellIs" dxfId="2285" priority="3817" operator="equal">
      <formula>"seeker"</formula>
    </cfRule>
    <cfRule type="cellIs" dxfId="2284" priority="3818" operator="equal">
      <formula>"neutral"</formula>
    </cfRule>
    <cfRule type="cellIs" dxfId="2283" priority="3819" operator="equal">
      <formula>"rogue"</formula>
    </cfRule>
    <cfRule type="cellIs" dxfId="2282" priority="3820" operator="equal">
      <formula>"Guardian"</formula>
    </cfRule>
    <cfRule type="cellIs" dxfId="2281" priority="3821" operator="equal">
      <formula>"Survivor"</formula>
    </cfRule>
    <cfRule type="cellIs" dxfId="2280" priority="3822" operator="equal">
      <formula>"Mystic"</formula>
    </cfRule>
  </conditionalFormatting>
  <conditionalFormatting sqref="AM156">
    <cfRule type="cellIs" dxfId="2279" priority="3811" operator="equal">
      <formula>"seeker"</formula>
    </cfRule>
    <cfRule type="cellIs" dxfId="2278" priority="3812" operator="equal">
      <formula>"neutral"</formula>
    </cfRule>
    <cfRule type="cellIs" dxfId="2277" priority="3813" operator="equal">
      <formula>"rogue"</formula>
    </cfRule>
    <cfRule type="cellIs" dxfId="2276" priority="3814" operator="equal">
      <formula>"Guardian"</formula>
    </cfRule>
    <cfRule type="cellIs" dxfId="2275" priority="3815" operator="equal">
      <formula>"Survivor"</formula>
    </cfRule>
    <cfRule type="cellIs" dxfId="2274" priority="3816" operator="equal">
      <formula>"Mystic"</formula>
    </cfRule>
  </conditionalFormatting>
  <conditionalFormatting sqref="K157">
    <cfRule type="cellIs" dxfId="2273" priority="3805" operator="equal">
      <formula>"seeker"</formula>
    </cfRule>
    <cfRule type="cellIs" dxfId="2272" priority="3806" operator="equal">
      <formula>"neutral"</formula>
    </cfRule>
    <cfRule type="cellIs" dxfId="2271" priority="3807" operator="equal">
      <formula>"rogue"</formula>
    </cfRule>
    <cfRule type="cellIs" dxfId="2270" priority="3808" operator="equal">
      <formula>"Guardian"</formula>
    </cfRule>
    <cfRule type="cellIs" dxfId="2269" priority="3809" operator="equal">
      <formula>"Survivor"</formula>
    </cfRule>
    <cfRule type="cellIs" dxfId="2268" priority="3810" operator="equal">
      <formula>"Mystic"</formula>
    </cfRule>
  </conditionalFormatting>
  <conditionalFormatting sqref="AM157">
    <cfRule type="cellIs" dxfId="2267" priority="3799" operator="equal">
      <formula>"seeker"</formula>
    </cfRule>
    <cfRule type="cellIs" dxfId="2266" priority="3800" operator="equal">
      <formula>"neutral"</formula>
    </cfRule>
    <cfRule type="cellIs" dxfId="2265" priority="3801" operator="equal">
      <formula>"rogue"</formula>
    </cfRule>
    <cfRule type="cellIs" dxfId="2264" priority="3802" operator="equal">
      <formula>"Guardian"</formula>
    </cfRule>
    <cfRule type="cellIs" dxfId="2263" priority="3803" operator="equal">
      <formula>"Survivor"</formula>
    </cfRule>
    <cfRule type="cellIs" dxfId="2262" priority="3804" operator="equal">
      <formula>"Mystic"</formula>
    </cfRule>
  </conditionalFormatting>
  <conditionalFormatting sqref="K170">
    <cfRule type="cellIs" dxfId="2261" priority="3793" operator="equal">
      <formula>"seeker"</formula>
    </cfRule>
    <cfRule type="cellIs" dxfId="2260" priority="3794" operator="equal">
      <formula>"neutral"</formula>
    </cfRule>
    <cfRule type="cellIs" dxfId="2259" priority="3795" operator="equal">
      <formula>"rogue"</formula>
    </cfRule>
    <cfRule type="cellIs" dxfId="2258" priority="3796" operator="equal">
      <formula>"Guardian"</formula>
    </cfRule>
    <cfRule type="cellIs" dxfId="2257" priority="3797" operator="equal">
      <formula>"Survivor"</formula>
    </cfRule>
    <cfRule type="cellIs" dxfId="2256" priority="3798" operator="equal">
      <formula>"Mystic"</formula>
    </cfRule>
  </conditionalFormatting>
  <conditionalFormatting sqref="AL190">
    <cfRule type="cellIs" dxfId="2255" priority="3781" operator="equal">
      <formula>"Seeker"</formula>
    </cfRule>
    <cfRule type="cellIs" dxfId="2254" priority="3782" operator="equal">
      <formula>"Neutral"</formula>
    </cfRule>
    <cfRule type="cellIs" dxfId="2253" priority="3783" operator="equal">
      <formula>"Rogue"</formula>
    </cfRule>
    <cfRule type="cellIs" dxfId="2252" priority="3784" operator="equal">
      <formula>"Guardian"</formula>
    </cfRule>
    <cfRule type="cellIs" dxfId="2251" priority="3785" operator="equal">
      <formula>"Survivor"</formula>
    </cfRule>
    <cfRule type="cellIs" dxfId="2250" priority="3786" operator="equal">
      <formula>"Mystic"</formula>
    </cfRule>
  </conditionalFormatting>
  <conditionalFormatting sqref="AM191">
    <cfRule type="cellIs" dxfId="2249" priority="3775" operator="equal">
      <formula>"seeker"</formula>
    </cfRule>
    <cfRule type="cellIs" dxfId="2248" priority="3776" operator="equal">
      <formula>"neutral"</formula>
    </cfRule>
    <cfRule type="cellIs" dxfId="2247" priority="3777" operator="equal">
      <formula>"rogue"</formula>
    </cfRule>
    <cfRule type="cellIs" dxfId="2246" priority="3778" operator="equal">
      <formula>"Guardian"</formula>
    </cfRule>
    <cfRule type="cellIs" dxfId="2245" priority="3779" operator="equal">
      <formula>"Survivor"</formula>
    </cfRule>
    <cfRule type="cellIs" dxfId="2244" priority="3780" operator="equal">
      <formula>"Mystic"</formula>
    </cfRule>
  </conditionalFormatting>
  <conditionalFormatting sqref="AM193">
    <cfRule type="cellIs" dxfId="2243" priority="3769" operator="equal">
      <formula>"seeker"</formula>
    </cfRule>
    <cfRule type="cellIs" dxfId="2242" priority="3770" operator="equal">
      <formula>"neutral"</formula>
    </cfRule>
    <cfRule type="cellIs" dxfId="2241" priority="3771" operator="equal">
      <formula>"rogue"</formula>
    </cfRule>
    <cfRule type="cellIs" dxfId="2240" priority="3772" operator="equal">
      <formula>"Guardian"</formula>
    </cfRule>
    <cfRule type="cellIs" dxfId="2239" priority="3773" operator="equal">
      <formula>"Survivor"</formula>
    </cfRule>
    <cfRule type="cellIs" dxfId="2238" priority="3774" operator="equal">
      <formula>"Mystic"</formula>
    </cfRule>
  </conditionalFormatting>
  <conditionalFormatting sqref="K194">
    <cfRule type="cellIs" dxfId="2237" priority="3763" operator="equal">
      <formula>"seeker"</formula>
    </cfRule>
    <cfRule type="cellIs" dxfId="2236" priority="3764" operator="equal">
      <formula>"neutral"</formula>
    </cfRule>
    <cfRule type="cellIs" dxfId="2235" priority="3765" operator="equal">
      <formula>"rogue"</formula>
    </cfRule>
    <cfRule type="cellIs" dxfId="2234" priority="3766" operator="equal">
      <formula>"Guardian"</formula>
    </cfRule>
    <cfRule type="cellIs" dxfId="2233" priority="3767" operator="equal">
      <formula>"Survivor"</formula>
    </cfRule>
    <cfRule type="cellIs" dxfId="2232" priority="3768" operator="equal">
      <formula>"Mystic"</formula>
    </cfRule>
  </conditionalFormatting>
  <conditionalFormatting sqref="AM195">
    <cfRule type="cellIs" dxfId="2231" priority="3757" operator="equal">
      <formula>"seeker"</formula>
    </cfRule>
    <cfRule type="cellIs" dxfId="2230" priority="3758" operator="equal">
      <formula>"neutral"</formula>
    </cfRule>
    <cfRule type="cellIs" dxfId="2229" priority="3759" operator="equal">
      <formula>"rogue"</formula>
    </cfRule>
    <cfRule type="cellIs" dxfId="2228" priority="3760" operator="equal">
      <formula>"Guardian"</formula>
    </cfRule>
    <cfRule type="cellIs" dxfId="2227" priority="3761" operator="equal">
      <formula>"Survivor"</formula>
    </cfRule>
    <cfRule type="cellIs" dxfId="2226" priority="3762" operator="equal">
      <formula>"Mystic"</formula>
    </cfRule>
  </conditionalFormatting>
  <conditionalFormatting sqref="AM194">
    <cfRule type="cellIs" dxfId="2225" priority="3751" operator="equal">
      <formula>"seeker"</formula>
    </cfRule>
    <cfRule type="cellIs" dxfId="2224" priority="3752" operator="equal">
      <formula>"neutral"</formula>
    </cfRule>
    <cfRule type="cellIs" dxfId="2223" priority="3753" operator="equal">
      <formula>"rogue"</formula>
    </cfRule>
    <cfRule type="cellIs" dxfId="2222" priority="3754" operator="equal">
      <formula>"Guardian"</formula>
    </cfRule>
    <cfRule type="cellIs" dxfId="2221" priority="3755" operator="equal">
      <formula>"Survivor"</formula>
    </cfRule>
    <cfRule type="cellIs" dxfId="2220" priority="3756" operator="equal">
      <formula>"Mystic"</formula>
    </cfRule>
  </conditionalFormatting>
  <conditionalFormatting sqref="AL3">
    <cfRule type="cellIs" dxfId="2219" priority="3745" operator="equal">
      <formula>"Seeker"</formula>
    </cfRule>
    <cfRule type="cellIs" dxfId="2218" priority="3746" operator="equal">
      <formula>"Neutral"</formula>
    </cfRule>
    <cfRule type="cellIs" dxfId="2217" priority="3747" operator="equal">
      <formula>"Rogue"</formula>
    </cfRule>
    <cfRule type="cellIs" dxfId="2216" priority="3748" operator="equal">
      <formula>"Guardian"</formula>
    </cfRule>
    <cfRule type="cellIs" dxfId="2215" priority="3749" operator="equal">
      <formula>"Survivor"</formula>
    </cfRule>
    <cfRule type="cellIs" dxfId="2214" priority="3750" operator="equal">
      <formula>"Mystic"</formula>
    </cfRule>
  </conditionalFormatting>
  <conditionalFormatting sqref="AL4">
    <cfRule type="cellIs" dxfId="2213" priority="3739" operator="equal">
      <formula>"Seeker"</formula>
    </cfRule>
    <cfRule type="cellIs" dxfId="2212" priority="3740" operator="equal">
      <formula>"Neutral"</formula>
    </cfRule>
    <cfRule type="cellIs" dxfId="2211" priority="3741" operator="equal">
      <formula>"Rogue"</formula>
    </cfRule>
    <cfRule type="cellIs" dxfId="2210" priority="3742" operator="equal">
      <formula>"Guardian"</formula>
    </cfRule>
    <cfRule type="cellIs" dxfId="2209" priority="3743" operator="equal">
      <formula>"Survivor"</formula>
    </cfRule>
    <cfRule type="cellIs" dxfId="2208" priority="3744" operator="equal">
      <formula>"Mystic"</formula>
    </cfRule>
  </conditionalFormatting>
  <conditionalFormatting sqref="AL5">
    <cfRule type="cellIs" dxfId="2207" priority="3733" operator="equal">
      <formula>"Seeker"</formula>
    </cfRule>
    <cfRule type="cellIs" dxfId="2206" priority="3734" operator="equal">
      <formula>"Neutral"</formula>
    </cfRule>
    <cfRule type="cellIs" dxfId="2205" priority="3735" operator="equal">
      <formula>"Rogue"</formula>
    </cfRule>
    <cfRule type="cellIs" dxfId="2204" priority="3736" operator="equal">
      <formula>"Guardian"</formula>
    </cfRule>
    <cfRule type="cellIs" dxfId="2203" priority="3737" operator="equal">
      <formula>"Survivor"</formula>
    </cfRule>
    <cfRule type="cellIs" dxfId="2202" priority="3738" operator="equal">
      <formula>"Mystic"</formula>
    </cfRule>
  </conditionalFormatting>
  <conditionalFormatting sqref="AL6">
    <cfRule type="cellIs" dxfId="2201" priority="3727" operator="equal">
      <formula>"Seeker"</formula>
    </cfRule>
    <cfRule type="cellIs" dxfId="2200" priority="3728" operator="equal">
      <formula>"Neutral"</formula>
    </cfRule>
    <cfRule type="cellIs" dxfId="2199" priority="3729" operator="equal">
      <formula>"Rogue"</formula>
    </cfRule>
    <cfRule type="cellIs" dxfId="2198" priority="3730" operator="equal">
      <formula>"Guardian"</formula>
    </cfRule>
    <cfRule type="cellIs" dxfId="2197" priority="3731" operator="equal">
      <formula>"Survivor"</formula>
    </cfRule>
    <cfRule type="cellIs" dxfId="2196" priority="3732" operator="equal">
      <formula>"Mystic"</formula>
    </cfRule>
  </conditionalFormatting>
  <conditionalFormatting sqref="AL122">
    <cfRule type="cellIs" dxfId="2195" priority="3721" operator="equal">
      <formula>"Seeker"</formula>
    </cfRule>
    <cfRule type="cellIs" dxfId="2194" priority="3722" operator="equal">
      <formula>"Neutral"</formula>
    </cfRule>
    <cfRule type="cellIs" dxfId="2193" priority="3723" operator="equal">
      <formula>"Rogue"</formula>
    </cfRule>
    <cfRule type="cellIs" dxfId="2192" priority="3724" operator="equal">
      <formula>"Guardian"</formula>
    </cfRule>
    <cfRule type="cellIs" dxfId="2191" priority="3725" operator="equal">
      <formula>"Survivor"</formula>
    </cfRule>
    <cfRule type="cellIs" dxfId="2190" priority="3726" operator="equal">
      <formula>"Mystic"</formula>
    </cfRule>
  </conditionalFormatting>
  <conditionalFormatting sqref="AL123">
    <cfRule type="cellIs" dxfId="2189" priority="3715" operator="equal">
      <formula>"Seeker"</formula>
    </cfRule>
    <cfRule type="cellIs" dxfId="2188" priority="3716" operator="equal">
      <formula>"Neutral"</formula>
    </cfRule>
    <cfRule type="cellIs" dxfId="2187" priority="3717" operator="equal">
      <formula>"Rogue"</formula>
    </cfRule>
    <cfRule type="cellIs" dxfId="2186" priority="3718" operator="equal">
      <formula>"Guardian"</formula>
    </cfRule>
    <cfRule type="cellIs" dxfId="2185" priority="3719" operator="equal">
      <formula>"Survivor"</formula>
    </cfRule>
    <cfRule type="cellIs" dxfId="2184" priority="3720" operator="equal">
      <formula>"Mystic"</formula>
    </cfRule>
  </conditionalFormatting>
  <conditionalFormatting sqref="J123">
    <cfRule type="cellIs" dxfId="2183" priority="3709" operator="equal">
      <formula>"Seeker"</formula>
    </cfRule>
    <cfRule type="cellIs" dxfId="2182" priority="3710" operator="equal">
      <formula>"Neutral"</formula>
    </cfRule>
    <cfRule type="cellIs" dxfId="2181" priority="3711" operator="equal">
      <formula>"Rogue"</formula>
    </cfRule>
    <cfRule type="cellIs" dxfId="2180" priority="3712" operator="equal">
      <formula>"Guardian"</formula>
    </cfRule>
    <cfRule type="cellIs" dxfId="2179" priority="3713" operator="equal">
      <formula>"Survivor"</formula>
    </cfRule>
    <cfRule type="cellIs" dxfId="2178" priority="3714" operator="equal">
      <formula>"Mystic"</formula>
    </cfRule>
  </conditionalFormatting>
  <conditionalFormatting sqref="AM253">
    <cfRule type="cellIs" dxfId="2177" priority="3703" operator="equal">
      <formula>"seeker"</formula>
    </cfRule>
    <cfRule type="cellIs" dxfId="2176" priority="3704" operator="equal">
      <formula>"neutral"</formula>
    </cfRule>
    <cfRule type="cellIs" dxfId="2175" priority="3705" operator="equal">
      <formula>"rogue"</formula>
    </cfRule>
    <cfRule type="cellIs" dxfId="2174" priority="3706" operator="equal">
      <formula>"Guardian"</formula>
    </cfRule>
    <cfRule type="cellIs" dxfId="2173" priority="3707" operator="equal">
      <formula>"Survivor"</formula>
    </cfRule>
    <cfRule type="cellIs" dxfId="2172" priority="3708" operator="equal">
      <formula>"Mystic"</formula>
    </cfRule>
  </conditionalFormatting>
  <conditionalFormatting sqref="AM254">
    <cfRule type="cellIs" dxfId="2171" priority="3697" operator="equal">
      <formula>"seeker"</formula>
    </cfRule>
    <cfRule type="cellIs" dxfId="2170" priority="3698" operator="equal">
      <formula>"neutral"</formula>
    </cfRule>
    <cfRule type="cellIs" dxfId="2169" priority="3699" operator="equal">
      <formula>"rogue"</formula>
    </cfRule>
    <cfRule type="cellIs" dxfId="2168" priority="3700" operator="equal">
      <formula>"Guardian"</formula>
    </cfRule>
    <cfRule type="cellIs" dxfId="2167" priority="3701" operator="equal">
      <formula>"Survivor"</formula>
    </cfRule>
    <cfRule type="cellIs" dxfId="2166" priority="3702" operator="equal">
      <formula>"Mystic"</formula>
    </cfRule>
  </conditionalFormatting>
  <conditionalFormatting sqref="AM255">
    <cfRule type="cellIs" dxfId="2165" priority="3691" operator="equal">
      <formula>"seeker"</formula>
    </cfRule>
    <cfRule type="cellIs" dxfId="2164" priority="3692" operator="equal">
      <formula>"neutral"</formula>
    </cfRule>
    <cfRule type="cellIs" dxfId="2163" priority="3693" operator="equal">
      <formula>"rogue"</formula>
    </cfRule>
    <cfRule type="cellIs" dxfId="2162" priority="3694" operator="equal">
      <formula>"Guardian"</formula>
    </cfRule>
    <cfRule type="cellIs" dxfId="2161" priority="3695" operator="equal">
      <formula>"Survivor"</formula>
    </cfRule>
    <cfRule type="cellIs" dxfId="2160" priority="3696" operator="equal">
      <formula>"Mystic"</formula>
    </cfRule>
  </conditionalFormatting>
  <conditionalFormatting sqref="AM256">
    <cfRule type="cellIs" dxfId="2159" priority="3685" operator="equal">
      <formula>"seeker"</formula>
    </cfRule>
    <cfRule type="cellIs" dxfId="2158" priority="3686" operator="equal">
      <formula>"neutral"</formula>
    </cfRule>
    <cfRule type="cellIs" dxfId="2157" priority="3687" operator="equal">
      <formula>"rogue"</formula>
    </cfRule>
    <cfRule type="cellIs" dxfId="2156" priority="3688" operator="equal">
      <formula>"Guardian"</formula>
    </cfRule>
    <cfRule type="cellIs" dxfId="2155" priority="3689" operator="equal">
      <formula>"Survivor"</formula>
    </cfRule>
    <cfRule type="cellIs" dxfId="2154" priority="3690" operator="equal">
      <formula>"Mystic"</formula>
    </cfRule>
  </conditionalFormatting>
  <conditionalFormatting sqref="AM252">
    <cfRule type="cellIs" dxfId="2153" priority="3679" operator="equal">
      <formula>"seeker"</formula>
    </cfRule>
    <cfRule type="cellIs" dxfId="2152" priority="3680" operator="equal">
      <formula>"neutral"</formula>
    </cfRule>
    <cfRule type="cellIs" dxfId="2151" priority="3681" operator="equal">
      <formula>"rogue"</formula>
    </cfRule>
    <cfRule type="cellIs" dxfId="2150" priority="3682" operator="equal">
      <formula>"Guardian"</formula>
    </cfRule>
    <cfRule type="cellIs" dxfId="2149" priority="3683" operator="equal">
      <formula>"Survivor"</formula>
    </cfRule>
    <cfRule type="cellIs" dxfId="2148" priority="3684" operator="equal">
      <formula>"Mystic"</formula>
    </cfRule>
  </conditionalFormatting>
  <conditionalFormatting sqref="AM383:AM387">
    <cfRule type="cellIs" dxfId="2147" priority="3673" operator="equal">
      <formula>"Seeker"</formula>
    </cfRule>
    <cfRule type="cellIs" dxfId="2146" priority="3674" operator="equal">
      <formula>"Neutral"</formula>
    </cfRule>
    <cfRule type="cellIs" dxfId="2145" priority="3675" operator="equal">
      <formula>"Rogue"</formula>
    </cfRule>
    <cfRule type="cellIs" dxfId="2144" priority="3676" operator="equal">
      <formula>"Guardian"</formula>
    </cfRule>
    <cfRule type="cellIs" dxfId="2143" priority="3677" operator="equal">
      <formula>"Survivor"</formula>
    </cfRule>
    <cfRule type="cellIs" dxfId="2142" priority="3678" operator="equal">
      <formula>"Mystic"</formula>
    </cfRule>
  </conditionalFormatting>
  <conditionalFormatting sqref="K383:K387">
    <cfRule type="cellIs" dxfId="2141" priority="3667" operator="equal">
      <formula>"seeker"</formula>
    </cfRule>
    <cfRule type="cellIs" dxfId="2140" priority="3668" operator="equal">
      <formula>"neutral"</formula>
    </cfRule>
    <cfRule type="cellIs" dxfId="2139" priority="3669" operator="equal">
      <formula>"rogue"</formula>
    </cfRule>
    <cfRule type="cellIs" dxfId="2138" priority="3670" operator="equal">
      <formula>"Guardian"</formula>
    </cfRule>
    <cfRule type="cellIs" dxfId="2137" priority="3671" operator="equal">
      <formula>"Survivor"</formula>
    </cfRule>
    <cfRule type="cellIs" dxfId="2136" priority="3672" operator="equal">
      <formula>"Mystic"</formula>
    </cfRule>
  </conditionalFormatting>
  <conditionalFormatting sqref="AM233">
    <cfRule type="cellIs" dxfId="2135" priority="3661" operator="equal">
      <formula>"Seeker"</formula>
    </cfRule>
    <cfRule type="cellIs" dxfId="2134" priority="3662" operator="equal">
      <formula>"Neutral"</formula>
    </cfRule>
    <cfRule type="cellIs" dxfId="2133" priority="3663" operator="equal">
      <formula>"Rogue"</formula>
    </cfRule>
    <cfRule type="cellIs" dxfId="2132" priority="3664" operator="equal">
      <formula>"Guardian"</formula>
    </cfRule>
    <cfRule type="cellIs" dxfId="2131" priority="3665" operator="equal">
      <formula>"Survivor"</formula>
    </cfRule>
    <cfRule type="cellIs" dxfId="2130" priority="3666" operator="equal">
      <formula>"Mystic"</formula>
    </cfRule>
  </conditionalFormatting>
  <conditionalFormatting sqref="K233">
    <cfRule type="cellIs" dxfId="2129" priority="3655" operator="equal">
      <formula>"seeker"</formula>
    </cfRule>
    <cfRule type="cellIs" dxfId="2128" priority="3656" operator="equal">
      <formula>"neutral"</formula>
    </cfRule>
    <cfRule type="cellIs" dxfId="2127" priority="3657" operator="equal">
      <formula>"rogue"</formula>
    </cfRule>
    <cfRule type="cellIs" dxfId="2126" priority="3658" operator="equal">
      <formula>"Guardian"</formula>
    </cfRule>
    <cfRule type="cellIs" dxfId="2125" priority="3659" operator="equal">
      <formula>"Survivor"</formula>
    </cfRule>
    <cfRule type="cellIs" dxfId="2124" priority="3660" operator="equal">
      <formula>"Mystic"</formula>
    </cfRule>
  </conditionalFormatting>
  <conditionalFormatting sqref="K388:K429 AM388:AM429">
    <cfRule type="cellIs" dxfId="2123" priority="3649" operator="equal">
      <formula>"seeker"</formula>
    </cfRule>
    <cfRule type="cellIs" dxfId="2122" priority="3650" operator="equal">
      <formula>"neutral"</formula>
    </cfRule>
    <cfRule type="cellIs" dxfId="2121" priority="3651" operator="equal">
      <formula>"rogue"</formula>
    </cfRule>
    <cfRule type="cellIs" dxfId="2120" priority="3652" operator="equal">
      <formula>"Guardian"</formula>
    </cfRule>
    <cfRule type="cellIs" dxfId="2119" priority="3653" operator="equal">
      <formula>"Survivor"</formula>
    </cfRule>
    <cfRule type="cellIs" dxfId="2118" priority="3654" operator="equal">
      <formula>"Mystic"</formula>
    </cfRule>
  </conditionalFormatting>
  <conditionalFormatting sqref="K430:K466 AM430:AM442 AM450:AM466">
    <cfRule type="cellIs" dxfId="2117" priority="3643" operator="equal">
      <formula>"seeker"</formula>
    </cfRule>
    <cfRule type="cellIs" dxfId="2116" priority="3644" operator="equal">
      <formula>"neutral"</formula>
    </cfRule>
    <cfRule type="cellIs" dxfId="2115" priority="3645" operator="equal">
      <formula>"rogue"</formula>
    </cfRule>
    <cfRule type="cellIs" dxfId="2114" priority="3646" operator="equal">
      <formula>"Guardian"</formula>
    </cfRule>
    <cfRule type="cellIs" dxfId="2113" priority="3647" operator="equal">
      <formula>"Survivor"</formula>
    </cfRule>
    <cfRule type="cellIs" dxfId="2112" priority="3648" operator="equal">
      <formula>"Mystic"</formula>
    </cfRule>
  </conditionalFormatting>
  <conditionalFormatting sqref="AM443:AM449">
    <cfRule type="cellIs" dxfId="2111" priority="3637" operator="equal">
      <formula>"seeker"</formula>
    </cfRule>
    <cfRule type="cellIs" dxfId="2110" priority="3638" operator="equal">
      <formula>"neutral"</formula>
    </cfRule>
    <cfRule type="cellIs" dxfId="2109" priority="3639" operator="equal">
      <formula>"rogue"</formula>
    </cfRule>
    <cfRule type="cellIs" dxfId="2108" priority="3640" operator="equal">
      <formula>"Guardian"</formula>
    </cfRule>
    <cfRule type="cellIs" dxfId="2107" priority="3641" operator="equal">
      <formula>"Survivor"</formula>
    </cfRule>
    <cfRule type="cellIs" dxfId="2106" priority="3642" operator="equal">
      <formula>"Mystic"</formula>
    </cfRule>
  </conditionalFormatting>
  <conditionalFormatting sqref="AL737">
    <cfRule type="cellIs" dxfId="2105" priority="3601" operator="equal">
      <formula>"Seeker"</formula>
    </cfRule>
    <cfRule type="cellIs" dxfId="2104" priority="3602" operator="equal">
      <formula>"Neutral"</formula>
    </cfRule>
    <cfRule type="cellIs" dxfId="2103" priority="3603" operator="equal">
      <formula>"Rogue"</formula>
    </cfRule>
    <cfRule type="cellIs" dxfId="2102" priority="3604" operator="equal">
      <formula>"Guardian"</formula>
    </cfRule>
    <cfRule type="cellIs" dxfId="2101" priority="3605" operator="equal">
      <formula>"Survivor"</formula>
    </cfRule>
    <cfRule type="cellIs" dxfId="2100" priority="3606" operator="equal">
      <formula>"Mystic"</formula>
    </cfRule>
  </conditionalFormatting>
  <conditionalFormatting sqref="AL733 AL738:AL746 AL767:AL773">
    <cfRule type="cellIs" dxfId="2099" priority="3631" operator="equal">
      <formula>"Seeker"</formula>
    </cfRule>
    <cfRule type="cellIs" dxfId="2098" priority="3632" operator="equal">
      <formula>"Neutral"</formula>
    </cfRule>
    <cfRule type="cellIs" dxfId="2097" priority="3633" operator="equal">
      <formula>"Rogue"</formula>
    </cfRule>
    <cfRule type="cellIs" dxfId="2096" priority="3634" operator="equal">
      <formula>"Guardian"</formula>
    </cfRule>
    <cfRule type="cellIs" dxfId="2095" priority="3635" operator="equal">
      <formula>"Survivor"</formula>
    </cfRule>
    <cfRule type="cellIs" dxfId="2094" priority="3636" operator="equal">
      <formula>"Mystic"</formula>
    </cfRule>
  </conditionalFormatting>
  <conditionalFormatting sqref="K733:K773">
    <cfRule type="cellIs" dxfId="2093" priority="3625" operator="equal">
      <formula>"seeker"</formula>
    </cfRule>
    <cfRule type="cellIs" dxfId="2092" priority="3626" operator="equal">
      <formula>"neutral"</formula>
    </cfRule>
    <cfRule type="cellIs" dxfId="2091" priority="3627" operator="equal">
      <formula>"rogue"</formula>
    </cfRule>
    <cfRule type="cellIs" dxfId="2090" priority="3628" operator="equal">
      <formula>"Guardian"</formula>
    </cfRule>
    <cfRule type="cellIs" dxfId="2089" priority="3629" operator="equal">
      <formula>"Survivor"</formula>
    </cfRule>
    <cfRule type="cellIs" dxfId="2088" priority="3630" operator="equal">
      <formula>"Mystic"</formula>
    </cfRule>
  </conditionalFormatting>
  <conditionalFormatting sqref="AL734">
    <cfRule type="cellIs" dxfId="2087" priority="3619" operator="equal">
      <formula>"Seeker"</formula>
    </cfRule>
    <cfRule type="cellIs" dxfId="2086" priority="3620" operator="equal">
      <formula>"Neutral"</formula>
    </cfRule>
    <cfRule type="cellIs" dxfId="2085" priority="3621" operator="equal">
      <formula>"Rogue"</formula>
    </cfRule>
    <cfRule type="cellIs" dxfId="2084" priority="3622" operator="equal">
      <formula>"Guardian"</formula>
    </cfRule>
    <cfRule type="cellIs" dxfId="2083" priority="3623" operator="equal">
      <formula>"Survivor"</formula>
    </cfRule>
    <cfRule type="cellIs" dxfId="2082" priority="3624" operator="equal">
      <formula>"Mystic"</formula>
    </cfRule>
  </conditionalFormatting>
  <conditionalFormatting sqref="AL735">
    <cfRule type="cellIs" dxfId="2081" priority="3613" operator="equal">
      <formula>"Seeker"</formula>
    </cfRule>
    <cfRule type="cellIs" dxfId="2080" priority="3614" operator="equal">
      <formula>"Neutral"</formula>
    </cfRule>
    <cfRule type="cellIs" dxfId="2079" priority="3615" operator="equal">
      <formula>"Rogue"</formula>
    </cfRule>
    <cfRule type="cellIs" dxfId="2078" priority="3616" operator="equal">
      <formula>"Guardian"</formula>
    </cfRule>
    <cfRule type="cellIs" dxfId="2077" priority="3617" operator="equal">
      <formula>"Survivor"</formula>
    </cfRule>
    <cfRule type="cellIs" dxfId="2076" priority="3618" operator="equal">
      <formula>"Mystic"</formula>
    </cfRule>
  </conditionalFormatting>
  <conditionalFormatting sqref="AL736">
    <cfRule type="cellIs" dxfId="2075" priority="3607" operator="equal">
      <formula>"Seeker"</formula>
    </cfRule>
    <cfRule type="cellIs" dxfId="2074" priority="3608" operator="equal">
      <formula>"Neutral"</formula>
    </cfRule>
    <cfRule type="cellIs" dxfId="2073" priority="3609" operator="equal">
      <formula>"Rogue"</formula>
    </cfRule>
    <cfRule type="cellIs" dxfId="2072" priority="3610" operator="equal">
      <formula>"Guardian"</formula>
    </cfRule>
    <cfRule type="cellIs" dxfId="2071" priority="3611" operator="equal">
      <formula>"Survivor"</formula>
    </cfRule>
    <cfRule type="cellIs" dxfId="2070" priority="3612" operator="equal">
      <formula>"Mystic"</formula>
    </cfRule>
  </conditionalFormatting>
  <conditionalFormatting sqref="AM727:AM731">
    <cfRule type="cellIs" dxfId="2069" priority="3595" operator="equal">
      <formula>"Seeker"</formula>
    </cfRule>
    <cfRule type="cellIs" dxfId="2068" priority="3596" operator="equal">
      <formula>"Neutral"</formula>
    </cfRule>
    <cfRule type="cellIs" dxfId="2067" priority="3597" operator="equal">
      <formula>"Rogue"</formula>
    </cfRule>
    <cfRule type="cellIs" dxfId="2066" priority="3598" operator="equal">
      <formula>"Guardian"</formula>
    </cfRule>
    <cfRule type="cellIs" dxfId="2065" priority="3599" operator="equal">
      <formula>"Survivor"</formula>
    </cfRule>
    <cfRule type="cellIs" dxfId="2064" priority="3600" operator="equal">
      <formula>"Mystic"</formula>
    </cfRule>
  </conditionalFormatting>
  <conditionalFormatting sqref="K727:K731">
    <cfRule type="cellIs" dxfId="2063" priority="3589" operator="equal">
      <formula>"seeker"</formula>
    </cfRule>
    <cfRule type="cellIs" dxfId="2062" priority="3590" operator="equal">
      <formula>"neutral"</formula>
    </cfRule>
    <cfRule type="cellIs" dxfId="2061" priority="3591" operator="equal">
      <formula>"rogue"</formula>
    </cfRule>
    <cfRule type="cellIs" dxfId="2060" priority="3592" operator="equal">
      <formula>"Guardian"</formula>
    </cfRule>
    <cfRule type="cellIs" dxfId="2059" priority="3593" operator="equal">
      <formula>"Survivor"</formula>
    </cfRule>
    <cfRule type="cellIs" dxfId="2058" priority="3594" operator="equal">
      <formula>"Mystic"</formula>
    </cfRule>
  </conditionalFormatting>
  <conditionalFormatting sqref="AM732">
    <cfRule type="cellIs" dxfId="2057" priority="3583" operator="equal">
      <formula>"Seeker"</formula>
    </cfRule>
    <cfRule type="cellIs" dxfId="2056" priority="3584" operator="equal">
      <formula>"Neutral"</formula>
    </cfRule>
    <cfRule type="cellIs" dxfId="2055" priority="3585" operator="equal">
      <formula>"Rogue"</formula>
    </cfRule>
    <cfRule type="cellIs" dxfId="2054" priority="3586" operator="equal">
      <formula>"Guardian"</formula>
    </cfRule>
    <cfRule type="cellIs" dxfId="2053" priority="3587" operator="equal">
      <formula>"Survivor"</formula>
    </cfRule>
    <cfRule type="cellIs" dxfId="2052" priority="3588" operator="equal">
      <formula>"Mystic"</formula>
    </cfRule>
  </conditionalFormatting>
  <conditionalFormatting sqref="K732">
    <cfRule type="cellIs" dxfId="2051" priority="3577" operator="equal">
      <formula>"seeker"</formula>
    </cfRule>
    <cfRule type="cellIs" dxfId="2050" priority="3578" operator="equal">
      <formula>"neutral"</formula>
    </cfRule>
    <cfRule type="cellIs" dxfId="2049" priority="3579" operator="equal">
      <formula>"rogue"</formula>
    </cfRule>
    <cfRule type="cellIs" dxfId="2048" priority="3580" operator="equal">
      <formula>"Guardian"</formula>
    </cfRule>
    <cfRule type="cellIs" dxfId="2047" priority="3581" operator="equal">
      <formula>"Survivor"</formula>
    </cfRule>
    <cfRule type="cellIs" dxfId="2046" priority="3582" operator="equal">
      <formula>"Mystic"</formula>
    </cfRule>
  </conditionalFormatting>
  <conditionalFormatting sqref="AL863 AL865:AL881 AL855:AL860">
    <cfRule type="cellIs" dxfId="2045" priority="3571" operator="equal">
      <formula>"Seeker"</formula>
    </cfRule>
    <cfRule type="cellIs" dxfId="2044" priority="3572" operator="equal">
      <formula>"Neutral"</formula>
    </cfRule>
    <cfRule type="cellIs" dxfId="2043" priority="3573" operator="equal">
      <formula>"Rogue"</formula>
    </cfRule>
    <cfRule type="cellIs" dxfId="2042" priority="3574" operator="equal">
      <formula>"Guardian"</formula>
    </cfRule>
    <cfRule type="cellIs" dxfId="2041" priority="3575" operator="equal">
      <formula>"Survivor"</formula>
    </cfRule>
    <cfRule type="cellIs" dxfId="2040" priority="3576" operator="equal">
      <formula>"Mystic"</formula>
    </cfRule>
  </conditionalFormatting>
  <conditionalFormatting sqref="K865:K883 K889 K855:K863">
    <cfRule type="cellIs" dxfId="2039" priority="3565" operator="equal">
      <formula>"seeker"</formula>
    </cfRule>
    <cfRule type="cellIs" dxfId="2038" priority="3566" operator="equal">
      <formula>"neutral"</formula>
    </cfRule>
    <cfRule type="cellIs" dxfId="2037" priority="3567" operator="equal">
      <formula>"rogue"</formula>
    </cfRule>
    <cfRule type="cellIs" dxfId="2036" priority="3568" operator="equal">
      <formula>"Guardian"</formula>
    </cfRule>
    <cfRule type="cellIs" dxfId="2035" priority="3569" operator="equal">
      <formula>"Survivor"</formula>
    </cfRule>
    <cfRule type="cellIs" dxfId="2034" priority="3570" operator="equal">
      <formula>"Mystic"</formula>
    </cfRule>
  </conditionalFormatting>
  <conditionalFormatting sqref="AM861:AM862">
    <cfRule type="cellIs" dxfId="2033" priority="3559" operator="equal">
      <formula>"seeker"</formula>
    </cfRule>
    <cfRule type="cellIs" dxfId="2032" priority="3560" operator="equal">
      <formula>"neutral"</formula>
    </cfRule>
    <cfRule type="cellIs" dxfId="2031" priority="3561" operator="equal">
      <formula>"rogue"</formula>
    </cfRule>
    <cfRule type="cellIs" dxfId="2030" priority="3562" operator="equal">
      <formula>"Guardian"</formula>
    </cfRule>
    <cfRule type="cellIs" dxfId="2029" priority="3563" operator="equal">
      <formula>"Survivor"</formula>
    </cfRule>
    <cfRule type="cellIs" dxfId="2028" priority="3564" operator="equal">
      <formula>"Mystic"</formula>
    </cfRule>
  </conditionalFormatting>
  <conditionalFormatting sqref="AL864">
    <cfRule type="cellIs" dxfId="2027" priority="3553" operator="equal">
      <formula>"Seeker"</formula>
    </cfRule>
    <cfRule type="cellIs" dxfId="2026" priority="3554" operator="equal">
      <formula>"Neutral"</formula>
    </cfRule>
    <cfRule type="cellIs" dxfId="2025" priority="3555" operator="equal">
      <formula>"Rogue"</formula>
    </cfRule>
    <cfRule type="cellIs" dxfId="2024" priority="3556" operator="equal">
      <formula>"Guardian"</formula>
    </cfRule>
    <cfRule type="cellIs" dxfId="2023" priority="3557" operator="equal">
      <formula>"Survivor"</formula>
    </cfRule>
    <cfRule type="cellIs" dxfId="2022" priority="3558" operator="equal">
      <formula>"Mystic"</formula>
    </cfRule>
  </conditionalFormatting>
  <conditionalFormatting sqref="K864">
    <cfRule type="cellIs" dxfId="2021" priority="3547" operator="equal">
      <formula>"seeker"</formula>
    </cfRule>
    <cfRule type="cellIs" dxfId="2020" priority="3548" operator="equal">
      <formula>"neutral"</formula>
    </cfRule>
    <cfRule type="cellIs" dxfId="2019" priority="3549" operator="equal">
      <formula>"rogue"</formula>
    </cfRule>
    <cfRule type="cellIs" dxfId="2018" priority="3550" operator="equal">
      <formula>"Guardian"</formula>
    </cfRule>
    <cfRule type="cellIs" dxfId="2017" priority="3551" operator="equal">
      <formula>"Survivor"</formula>
    </cfRule>
    <cfRule type="cellIs" dxfId="2016" priority="3552" operator="equal">
      <formula>"Mystic"</formula>
    </cfRule>
  </conditionalFormatting>
  <conditionalFormatting sqref="AM882:AM883 AM889">
    <cfRule type="cellIs" dxfId="2015" priority="3541" operator="equal">
      <formula>"seeker"</formula>
    </cfRule>
    <cfRule type="cellIs" dxfId="2014" priority="3542" operator="equal">
      <formula>"neutral"</formula>
    </cfRule>
    <cfRule type="cellIs" dxfId="2013" priority="3543" operator="equal">
      <formula>"rogue"</formula>
    </cfRule>
    <cfRule type="cellIs" dxfId="2012" priority="3544" operator="equal">
      <formula>"Guardian"</formula>
    </cfRule>
    <cfRule type="cellIs" dxfId="2011" priority="3545" operator="equal">
      <formula>"Survivor"</formula>
    </cfRule>
    <cfRule type="cellIs" dxfId="2010" priority="3546" operator="equal">
      <formula>"Mystic"</formula>
    </cfRule>
  </conditionalFormatting>
  <conditionalFormatting sqref="K884">
    <cfRule type="cellIs" dxfId="2009" priority="3535" operator="equal">
      <formula>"seeker"</formula>
    </cfRule>
    <cfRule type="cellIs" dxfId="2008" priority="3536" operator="equal">
      <formula>"neutral"</formula>
    </cfRule>
    <cfRule type="cellIs" dxfId="2007" priority="3537" operator="equal">
      <formula>"rogue"</formula>
    </cfRule>
    <cfRule type="cellIs" dxfId="2006" priority="3538" operator="equal">
      <formula>"Guardian"</formula>
    </cfRule>
    <cfRule type="cellIs" dxfId="2005" priority="3539" operator="equal">
      <formula>"Survivor"</formula>
    </cfRule>
    <cfRule type="cellIs" dxfId="2004" priority="3540" operator="equal">
      <formula>"Mystic"</formula>
    </cfRule>
  </conditionalFormatting>
  <conditionalFormatting sqref="AM884">
    <cfRule type="cellIs" dxfId="2003" priority="3529" operator="equal">
      <formula>"seeker"</formula>
    </cfRule>
    <cfRule type="cellIs" dxfId="2002" priority="3530" operator="equal">
      <formula>"neutral"</formula>
    </cfRule>
    <cfRule type="cellIs" dxfId="2001" priority="3531" operator="equal">
      <formula>"rogue"</formula>
    </cfRule>
    <cfRule type="cellIs" dxfId="2000" priority="3532" operator="equal">
      <formula>"Guardian"</formula>
    </cfRule>
    <cfRule type="cellIs" dxfId="1999" priority="3533" operator="equal">
      <formula>"Survivor"</formula>
    </cfRule>
    <cfRule type="cellIs" dxfId="1998" priority="3534" operator="equal">
      <formula>"Mystic"</formula>
    </cfRule>
  </conditionalFormatting>
  <conditionalFormatting sqref="K885">
    <cfRule type="cellIs" dxfId="1997" priority="3523" operator="equal">
      <formula>"seeker"</formula>
    </cfRule>
    <cfRule type="cellIs" dxfId="1996" priority="3524" operator="equal">
      <formula>"neutral"</formula>
    </cfRule>
    <cfRule type="cellIs" dxfId="1995" priority="3525" operator="equal">
      <formula>"rogue"</formula>
    </cfRule>
    <cfRule type="cellIs" dxfId="1994" priority="3526" operator="equal">
      <formula>"Guardian"</formula>
    </cfRule>
    <cfRule type="cellIs" dxfId="1993" priority="3527" operator="equal">
      <formula>"Survivor"</formula>
    </cfRule>
    <cfRule type="cellIs" dxfId="1992" priority="3528" operator="equal">
      <formula>"Mystic"</formula>
    </cfRule>
  </conditionalFormatting>
  <conditionalFormatting sqref="AM885">
    <cfRule type="cellIs" dxfId="1991" priority="3517" operator="equal">
      <formula>"seeker"</formula>
    </cfRule>
    <cfRule type="cellIs" dxfId="1990" priority="3518" operator="equal">
      <formula>"neutral"</formula>
    </cfRule>
    <cfRule type="cellIs" dxfId="1989" priority="3519" operator="equal">
      <formula>"rogue"</formula>
    </cfRule>
    <cfRule type="cellIs" dxfId="1988" priority="3520" operator="equal">
      <formula>"Guardian"</formula>
    </cfRule>
    <cfRule type="cellIs" dxfId="1987" priority="3521" operator="equal">
      <formula>"Survivor"</formula>
    </cfRule>
    <cfRule type="cellIs" dxfId="1986" priority="3522" operator="equal">
      <formula>"Mystic"</formula>
    </cfRule>
  </conditionalFormatting>
  <conditionalFormatting sqref="K886">
    <cfRule type="cellIs" dxfId="1985" priority="3511" operator="equal">
      <formula>"seeker"</formula>
    </cfRule>
    <cfRule type="cellIs" dxfId="1984" priority="3512" operator="equal">
      <formula>"neutral"</formula>
    </cfRule>
    <cfRule type="cellIs" dxfId="1983" priority="3513" operator="equal">
      <formula>"rogue"</formula>
    </cfRule>
    <cfRule type="cellIs" dxfId="1982" priority="3514" operator="equal">
      <formula>"Guardian"</formula>
    </cfRule>
    <cfRule type="cellIs" dxfId="1981" priority="3515" operator="equal">
      <formula>"Survivor"</formula>
    </cfRule>
    <cfRule type="cellIs" dxfId="1980" priority="3516" operator="equal">
      <formula>"Mystic"</formula>
    </cfRule>
  </conditionalFormatting>
  <conditionalFormatting sqref="AM886">
    <cfRule type="cellIs" dxfId="1979" priority="3505" operator="equal">
      <formula>"seeker"</formula>
    </cfRule>
    <cfRule type="cellIs" dxfId="1978" priority="3506" operator="equal">
      <formula>"neutral"</formula>
    </cfRule>
    <cfRule type="cellIs" dxfId="1977" priority="3507" operator="equal">
      <formula>"rogue"</formula>
    </cfRule>
    <cfRule type="cellIs" dxfId="1976" priority="3508" operator="equal">
      <formula>"Guardian"</formula>
    </cfRule>
    <cfRule type="cellIs" dxfId="1975" priority="3509" operator="equal">
      <formula>"Survivor"</formula>
    </cfRule>
    <cfRule type="cellIs" dxfId="1974" priority="3510" operator="equal">
      <formula>"Mystic"</formula>
    </cfRule>
  </conditionalFormatting>
  <conditionalFormatting sqref="K887">
    <cfRule type="cellIs" dxfId="1973" priority="3499" operator="equal">
      <formula>"seeker"</formula>
    </cfRule>
    <cfRule type="cellIs" dxfId="1972" priority="3500" operator="equal">
      <formula>"neutral"</formula>
    </cfRule>
    <cfRule type="cellIs" dxfId="1971" priority="3501" operator="equal">
      <formula>"rogue"</formula>
    </cfRule>
    <cfRule type="cellIs" dxfId="1970" priority="3502" operator="equal">
      <formula>"Guardian"</formula>
    </cfRule>
    <cfRule type="cellIs" dxfId="1969" priority="3503" operator="equal">
      <formula>"Survivor"</formula>
    </cfRule>
    <cfRule type="cellIs" dxfId="1968" priority="3504" operator="equal">
      <formula>"Mystic"</formula>
    </cfRule>
  </conditionalFormatting>
  <conditionalFormatting sqref="AM887">
    <cfRule type="cellIs" dxfId="1967" priority="3493" operator="equal">
      <formula>"seeker"</formula>
    </cfRule>
    <cfRule type="cellIs" dxfId="1966" priority="3494" operator="equal">
      <formula>"neutral"</formula>
    </cfRule>
    <cfRule type="cellIs" dxfId="1965" priority="3495" operator="equal">
      <formula>"rogue"</formula>
    </cfRule>
    <cfRule type="cellIs" dxfId="1964" priority="3496" operator="equal">
      <formula>"Guardian"</formula>
    </cfRule>
    <cfRule type="cellIs" dxfId="1963" priority="3497" operator="equal">
      <formula>"Survivor"</formula>
    </cfRule>
    <cfRule type="cellIs" dxfId="1962" priority="3498" operator="equal">
      <formula>"Mystic"</formula>
    </cfRule>
  </conditionalFormatting>
  <conditionalFormatting sqref="K888">
    <cfRule type="cellIs" dxfId="1961" priority="3487" operator="equal">
      <formula>"seeker"</formula>
    </cfRule>
    <cfRule type="cellIs" dxfId="1960" priority="3488" operator="equal">
      <formula>"neutral"</formula>
    </cfRule>
    <cfRule type="cellIs" dxfId="1959" priority="3489" operator="equal">
      <formula>"rogue"</formula>
    </cfRule>
    <cfRule type="cellIs" dxfId="1958" priority="3490" operator="equal">
      <formula>"Guardian"</formula>
    </cfRule>
    <cfRule type="cellIs" dxfId="1957" priority="3491" operator="equal">
      <formula>"Survivor"</formula>
    </cfRule>
    <cfRule type="cellIs" dxfId="1956" priority="3492" operator="equal">
      <formula>"Mystic"</formula>
    </cfRule>
  </conditionalFormatting>
  <conditionalFormatting sqref="AM888">
    <cfRule type="cellIs" dxfId="1955" priority="3481" operator="equal">
      <formula>"seeker"</formula>
    </cfRule>
    <cfRule type="cellIs" dxfId="1954" priority="3482" operator="equal">
      <formula>"neutral"</formula>
    </cfRule>
    <cfRule type="cellIs" dxfId="1953" priority="3483" operator="equal">
      <formula>"rogue"</formula>
    </cfRule>
    <cfRule type="cellIs" dxfId="1952" priority="3484" operator="equal">
      <formula>"Guardian"</formula>
    </cfRule>
    <cfRule type="cellIs" dxfId="1951" priority="3485" operator="equal">
      <formula>"Survivor"</formula>
    </cfRule>
    <cfRule type="cellIs" dxfId="1950" priority="3486" operator="equal">
      <formula>"Mystic"</formula>
    </cfRule>
  </conditionalFormatting>
  <conditionalFormatting sqref="AM955:AM960 K933:K957 K960 K963 AM963 AM965:AM977 K965:K977">
    <cfRule type="cellIs" dxfId="1949" priority="3439" operator="equal">
      <formula>"seeker"</formula>
    </cfRule>
    <cfRule type="cellIs" dxfId="1948" priority="3440" operator="equal">
      <formula>"neutral"</formula>
    </cfRule>
    <cfRule type="cellIs" dxfId="1947" priority="3441" operator="equal">
      <formula>"rogue"</formula>
    </cfRule>
    <cfRule type="cellIs" dxfId="1946" priority="3442" operator="equal">
      <formula>"Guardian"</formula>
    </cfRule>
    <cfRule type="cellIs" dxfId="1945" priority="3443" operator="equal">
      <formula>"Survivor"</formula>
    </cfRule>
    <cfRule type="cellIs" dxfId="1944" priority="3444" operator="equal">
      <formula>"Mystic"</formula>
    </cfRule>
  </conditionalFormatting>
  <conditionalFormatting sqref="AL937">
    <cfRule type="cellIs" dxfId="1943" priority="3409" operator="equal">
      <formula>"Seeker"</formula>
    </cfRule>
    <cfRule type="cellIs" dxfId="1942" priority="3410" operator="equal">
      <formula>"Neutral"</formula>
    </cfRule>
    <cfRule type="cellIs" dxfId="1941" priority="3411" operator="equal">
      <formula>"Rogue"</formula>
    </cfRule>
    <cfRule type="cellIs" dxfId="1940" priority="3412" operator="equal">
      <formula>"Guardian"</formula>
    </cfRule>
    <cfRule type="cellIs" dxfId="1939" priority="3413" operator="equal">
      <formula>"Survivor"</formula>
    </cfRule>
    <cfRule type="cellIs" dxfId="1938" priority="3414" operator="equal">
      <formula>"Mystic"</formula>
    </cfRule>
  </conditionalFormatting>
  <conditionalFormatting sqref="AL933 AL938:AL944">
    <cfRule type="cellIs" dxfId="1937" priority="3433" operator="equal">
      <formula>"Seeker"</formula>
    </cfRule>
    <cfRule type="cellIs" dxfId="1936" priority="3434" operator="equal">
      <formula>"Neutral"</formula>
    </cfRule>
    <cfRule type="cellIs" dxfId="1935" priority="3435" operator="equal">
      <formula>"Rogue"</formula>
    </cfRule>
    <cfRule type="cellIs" dxfId="1934" priority="3436" operator="equal">
      <formula>"Guardian"</formula>
    </cfRule>
    <cfRule type="cellIs" dxfId="1933" priority="3437" operator="equal">
      <formula>"Survivor"</formula>
    </cfRule>
    <cfRule type="cellIs" dxfId="1932" priority="3438" operator="equal">
      <formula>"Mystic"</formula>
    </cfRule>
  </conditionalFormatting>
  <conditionalFormatting sqref="AL934">
    <cfRule type="cellIs" dxfId="1931" priority="3427" operator="equal">
      <formula>"Seeker"</formula>
    </cfRule>
    <cfRule type="cellIs" dxfId="1930" priority="3428" operator="equal">
      <formula>"Neutral"</formula>
    </cfRule>
    <cfRule type="cellIs" dxfId="1929" priority="3429" operator="equal">
      <formula>"Rogue"</formula>
    </cfRule>
    <cfRule type="cellIs" dxfId="1928" priority="3430" operator="equal">
      <formula>"Guardian"</formula>
    </cfRule>
    <cfRule type="cellIs" dxfId="1927" priority="3431" operator="equal">
      <formula>"Survivor"</formula>
    </cfRule>
    <cfRule type="cellIs" dxfId="1926" priority="3432" operator="equal">
      <formula>"Mystic"</formula>
    </cfRule>
  </conditionalFormatting>
  <conditionalFormatting sqref="AL935">
    <cfRule type="cellIs" dxfId="1925" priority="3421" operator="equal">
      <formula>"Seeker"</formula>
    </cfRule>
    <cfRule type="cellIs" dxfId="1924" priority="3422" operator="equal">
      <formula>"Neutral"</formula>
    </cfRule>
    <cfRule type="cellIs" dxfId="1923" priority="3423" operator="equal">
      <formula>"Rogue"</formula>
    </cfRule>
    <cfRule type="cellIs" dxfId="1922" priority="3424" operator="equal">
      <formula>"Guardian"</formula>
    </cfRule>
    <cfRule type="cellIs" dxfId="1921" priority="3425" operator="equal">
      <formula>"Survivor"</formula>
    </cfRule>
    <cfRule type="cellIs" dxfId="1920" priority="3426" operator="equal">
      <formula>"Mystic"</formula>
    </cfRule>
  </conditionalFormatting>
  <conditionalFormatting sqref="AL936">
    <cfRule type="cellIs" dxfId="1919" priority="3415" operator="equal">
      <formula>"Seeker"</formula>
    </cfRule>
    <cfRule type="cellIs" dxfId="1918" priority="3416" operator="equal">
      <formula>"Neutral"</formula>
    </cfRule>
    <cfRule type="cellIs" dxfId="1917" priority="3417" operator="equal">
      <formula>"Rogue"</formula>
    </cfRule>
    <cfRule type="cellIs" dxfId="1916" priority="3418" operator="equal">
      <formula>"Guardian"</formula>
    </cfRule>
    <cfRule type="cellIs" dxfId="1915" priority="3419" operator="equal">
      <formula>"Survivor"</formula>
    </cfRule>
    <cfRule type="cellIs" dxfId="1914" priority="3420" operator="equal">
      <formula>"Mystic"</formula>
    </cfRule>
  </conditionalFormatting>
  <conditionalFormatting sqref="K958">
    <cfRule type="cellIs" dxfId="1913" priority="3403" operator="equal">
      <formula>"seeker"</formula>
    </cfRule>
    <cfRule type="cellIs" dxfId="1912" priority="3404" operator="equal">
      <formula>"neutral"</formula>
    </cfRule>
    <cfRule type="cellIs" dxfId="1911" priority="3405" operator="equal">
      <formula>"rogue"</formula>
    </cfRule>
    <cfRule type="cellIs" dxfId="1910" priority="3406" operator="equal">
      <formula>"Guardian"</formula>
    </cfRule>
    <cfRule type="cellIs" dxfId="1909" priority="3407" operator="equal">
      <formula>"Survivor"</formula>
    </cfRule>
    <cfRule type="cellIs" dxfId="1908" priority="3408" operator="equal">
      <formula>"Mystic"</formula>
    </cfRule>
  </conditionalFormatting>
  <conditionalFormatting sqref="K959">
    <cfRule type="cellIs" dxfId="1907" priority="3397" operator="equal">
      <formula>"seeker"</formula>
    </cfRule>
    <cfRule type="cellIs" dxfId="1906" priority="3398" operator="equal">
      <formula>"neutral"</formula>
    </cfRule>
    <cfRule type="cellIs" dxfId="1905" priority="3399" operator="equal">
      <formula>"rogue"</formula>
    </cfRule>
    <cfRule type="cellIs" dxfId="1904" priority="3400" operator="equal">
      <formula>"Guardian"</formula>
    </cfRule>
    <cfRule type="cellIs" dxfId="1903" priority="3401" operator="equal">
      <formula>"Survivor"</formula>
    </cfRule>
    <cfRule type="cellIs" dxfId="1902" priority="3402" operator="equal">
      <formula>"Mystic"</formula>
    </cfRule>
  </conditionalFormatting>
  <conditionalFormatting sqref="AM961 K961">
    <cfRule type="cellIs" dxfId="1901" priority="3391" operator="equal">
      <formula>"seeker"</formula>
    </cfRule>
    <cfRule type="cellIs" dxfId="1900" priority="3392" operator="equal">
      <formula>"neutral"</formula>
    </cfRule>
    <cfRule type="cellIs" dxfId="1899" priority="3393" operator="equal">
      <formula>"rogue"</formula>
    </cfRule>
    <cfRule type="cellIs" dxfId="1898" priority="3394" operator="equal">
      <formula>"Guardian"</formula>
    </cfRule>
    <cfRule type="cellIs" dxfId="1897" priority="3395" operator="equal">
      <formula>"Survivor"</formula>
    </cfRule>
    <cfRule type="cellIs" dxfId="1896" priority="3396" operator="equal">
      <formula>"Mystic"</formula>
    </cfRule>
  </conditionalFormatting>
  <conditionalFormatting sqref="AM962 K962">
    <cfRule type="cellIs" dxfId="1895" priority="3385" operator="equal">
      <formula>"seeker"</formula>
    </cfRule>
    <cfRule type="cellIs" dxfId="1894" priority="3386" operator="equal">
      <formula>"neutral"</formula>
    </cfRule>
    <cfRule type="cellIs" dxfId="1893" priority="3387" operator="equal">
      <formula>"rogue"</formula>
    </cfRule>
    <cfRule type="cellIs" dxfId="1892" priority="3388" operator="equal">
      <formula>"Guardian"</formula>
    </cfRule>
    <cfRule type="cellIs" dxfId="1891" priority="3389" operator="equal">
      <formula>"Survivor"</formula>
    </cfRule>
    <cfRule type="cellIs" dxfId="1890" priority="3390" operator="equal">
      <formula>"Mystic"</formula>
    </cfRule>
  </conditionalFormatting>
  <conditionalFormatting sqref="K964 AM964">
    <cfRule type="cellIs" dxfId="1889" priority="3379" operator="equal">
      <formula>"seeker"</formula>
    </cfRule>
    <cfRule type="cellIs" dxfId="1888" priority="3380" operator="equal">
      <formula>"neutral"</formula>
    </cfRule>
    <cfRule type="cellIs" dxfId="1887" priority="3381" operator="equal">
      <formula>"rogue"</formula>
    </cfRule>
    <cfRule type="cellIs" dxfId="1886" priority="3382" operator="equal">
      <formula>"Guardian"</formula>
    </cfRule>
    <cfRule type="cellIs" dxfId="1885" priority="3383" operator="equal">
      <formula>"Survivor"</formula>
    </cfRule>
    <cfRule type="cellIs" dxfId="1884" priority="3384" operator="equal">
      <formula>"Mystic"</formula>
    </cfRule>
  </conditionalFormatting>
  <conditionalFormatting sqref="K1009">
    <cfRule type="cellIs" dxfId="1883" priority="1993" operator="equal">
      <formula>"seeker"</formula>
    </cfRule>
    <cfRule type="cellIs" dxfId="1882" priority="1994" operator="equal">
      <formula>"neutral"</formula>
    </cfRule>
    <cfRule type="cellIs" dxfId="1881" priority="1995" operator="equal">
      <formula>"rogue"</formula>
    </cfRule>
    <cfRule type="cellIs" dxfId="1880" priority="1996" operator="equal">
      <formula>"Guardian"</formula>
    </cfRule>
    <cfRule type="cellIs" dxfId="1879" priority="1997" operator="equal">
      <formula>"Survivor"</formula>
    </cfRule>
    <cfRule type="cellIs" dxfId="1878" priority="1998" operator="equal">
      <formula>"Mystic"</formula>
    </cfRule>
  </conditionalFormatting>
  <conditionalFormatting sqref="K1020">
    <cfRule type="cellIs" dxfId="1877" priority="1981" operator="equal">
      <formula>"seeker"</formula>
    </cfRule>
    <cfRule type="cellIs" dxfId="1876" priority="1982" operator="equal">
      <formula>"neutral"</formula>
    </cfRule>
    <cfRule type="cellIs" dxfId="1875" priority="1983" operator="equal">
      <formula>"rogue"</formula>
    </cfRule>
    <cfRule type="cellIs" dxfId="1874" priority="1984" operator="equal">
      <formula>"Guardian"</formula>
    </cfRule>
    <cfRule type="cellIs" dxfId="1873" priority="1985" operator="equal">
      <formula>"Survivor"</formula>
    </cfRule>
    <cfRule type="cellIs" dxfId="1872" priority="1986" operator="equal">
      <formula>"Mystic"</formula>
    </cfRule>
  </conditionalFormatting>
  <conditionalFormatting sqref="AL1090:AL1096">
    <cfRule type="cellIs" dxfId="1871" priority="1957" operator="equal">
      <formula>"Seeker"</formula>
    </cfRule>
    <cfRule type="cellIs" dxfId="1870" priority="1958" operator="equal">
      <formula>"Neutral"</formula>
    </cfRule>
    <cfRule type="cellIs" dxfId="1869" priority="1959" operator="equal">
      <formula>"Rogue"</formula>
    </cfRule>
    <cfRule type="cellIs" dxfId="1868" priority="1960" operator="equal">
      <formula>"Guardian"</formula>
    </cfRule>
    <cfRule type="cellIs" dxfId="1867" priority="1961" operator="equal">
      <formula>"Survivor"</formula>
    </cfRule>
    <cfRule type="cellIs" dxfId="1866" priority="1962" operator="equal">
      <formula>"Mystic"</formula>
    </cfRule>
  </conditionalFormatting>
  <conditionalFormatting sqref="K1085">
    <cfRule type="cellIs" dxfId="1865" priority="1945" operator="equal">
      <formula>"Seeker"</formula>
    </cfRule>
    <cfRule type="cellIs" dxfId="1864" priority="1946" operator="equal">
      <formula>"Neutral"</formula>
    </cfRule>
    <cfRule type="cellIs" dxfId="1863" priority="1947" operator="equal">
      <formula>"Rogue"</formula>
    </cfRule>
    <cfRule type="cellIs" dxfId="1862" priority="1948" operator="equal">
      <formula>"Guardian"</formula>
    </cfRule>
    <cfRule type="cellIs" dxfId="1861" priority="1949" operator="equal">
      <formula>"Survivor"</formula>
    </cfRule>
    <cfRule type="cellIs" dxfId="1860" priority="1950" operator="equal">
      <formula>"Mystic"</formula>
    </cfRule>
  </conditionalFormatting>
  <conditionalFormatting sqref="K1107">
    <cfRule type="cellIs" dxfId="1859" priority="1903" operator="equal">
      <formula>"seeker"</formula>
    </cfRule>
    <cfRule type="cellIs" dxfId="1858" priority="1904" operator="equal">
      <formula>"neutral"</formula>
    </cfRule>
    <cfRule type="cellIs" dxfId="1857" priority="1905" operator="equal">
      <formula>"rogue"</formula>
    </cfRule>
    <cfRule type="cellIs" dxfId="1856" priority="1906" operator="equal">
      <formula>"Guardian"</formula>
    </cfRule>
    <cfRule type="cellIs" dxfId="1855" priority="1907" operator="equal">
      <formula>"Survivor"</formula>
    </cfRule>
    <cfRule type="cellIs" dxfId="1854" priority="1908" operator="equal">
      <formula>"Mystic"</formula>
    </cfRule>
  </conditionalFormatting>
  <conditionalFormatting sqref="AM1107">
    <cfRule type="cellIs" dxfId="1853" priority="1897" operator="equal">
      <formula>"seeker"</formula>
    </cfRule>
    <cfRule type="cellIs" dxfId="1852" priority="1898" operator="equal">
      <formula>"neutral"</formula>
    </cfRule>
    <cfRule type="cellIs" dxfId="1851" priority="1899" operator="equal">
      <formula>"rogue"</formula>
    </cfRule>
    <cfRule type="cellIs" dxfId="1850" priority="1900" operator="equal">
      <formula>"Guardian"</formula>
    </cfRule>
    <cfRule type="cellIs" dxfId="1849" priority="1901" operator="equal">
      <formula>"Survivor"</formula>
    </cfRule>
    <cfRule type="cellIs" dxfId="1848" priority="1902" operator="equal">
      <formula>"Mystic"</formula>
    </cfRule>
  </conditionalFormatting>
  <conditionalFormatting sqref="AM1108">
    <cfRule type="cellIs" dxfId="1847" priority="1885" operator="equal">
      <formula>"seeker"</formula>
    </cfRule>
    <cfRule type="cellIs" dxfId="1846" priority="1886" operator="equal">
      <formula>"neutral"</formula>
    </cfRule>
    <cfRule type="cellIs" dxfId="1845" priority="1887" operator="equal">
      <formula>"rogue"</formula>
    </cfRule>
    <cfRule type="cellIs" dxfId="1844" priority="1888" operator="equal">
      <formula>"Guardian"</formula>
    </cfRule>
    <cfRule type="cellIs" dxfId="1843" priority="1889" operator="equal">
      <formula>"Survivor"</formula>
    </cfRule>
    <cfRule type="cellIs" dxfId="1842" priority="1890" operator="equal">
      <formula>"Mystic"</formula>
    </cfRule>
  </conditionalFormatting>
  <conditionalFormatting sqref="K1109">
    <cfRule type="cellIs" dxfId="1841" priority="1879" operator="equal">
      <formula>"seeker"</formula>
    </cfRule>
    <cfRule type="cellIs" dxfId="1840" priority="1880" operator="equal">
      <formula>"neutral"</formula>
    </cfRule>
    <cfRule type="cellIs" dxfId="1839" priority="1881" operator="equal">
      <formula>"rogue"</formula>
    </cfRule>
    <cfRule type="cellIs" dxfId="1838" priority="1882" operator="equal">
      <formula>"Guardian"</formula>
    </cfRule>
    <cfRule type="cellIs" dxfId="1837" priority="1883" operator="equal">
      <formula>"Survivor"</formula>
    </cfRule>
    <cfRule type="cellIs" dxfId="1836" priority="1884" operator="equal">
      <formula>"Mystic"</formula>
    </cfRule>
  </conditionalFormatting>
  <conditionalFormatting sqref="AM1162">
    <cfRule type="cellIs" dxfId="1835" priority="1735" operator="equal">
      <formula>"seeker"</formula>
    </cfRule>
    <cfRule type="cellIs" dxfId="1834" priority="1736" operator="equal">
      <formula>"neutral"</formula>
    </cfRule>
    <cfRule type="cellIs" dxfId="1833" priority="1737" operator="equal">
      <formula>"rogue"</formula>
    </cfRule>
    <cfRule type="cellIs" dxfId="1832" priority="1738" operator="equal">
      <formula>"Guardian"</formula>
    </cfRule>
    <cfRule type="cellIs" dxfId="1831" priority="1739" operator="equal">
      <formula>"Survivor"</formula>
    </cfRule>
    <cfRule type="cellIs" dxfId="1830" priority="1740" operator="equal">
      <formula>"Mystic"</formula>
    </cfRule>
  </conditionalFormatting>
  <conditionalFormatting sqref="K1110">
    <cfRule type="cellIs" dxfId="1829" priority="1873" operator="equal">
      <formula>"seeker"</formula>
    </cfRule>
    <cfRule type="cellIs" dxfId="1828" priority="1874" operator="equal">
      <formula>"neutral"</formula>
    </cfRule>
    <cfRule type="cellIs" dxfId="1827" priority="1875" operator="equal">
      <formula>"rogue"</formula>
    </cfRule>
    <cfRule type="cellIs" dxfId="1826" priority="1876" operator="equal">
      <formula>"Guardian"</formula>
    </cfRule>
    <cfRule type="cellIs" dxfId="1825" priority="1877" operator="equal">
      <formula>"Survivor"</formula>
    </cfRule>
    <cfRule type="cellIs" dxfId="1824" priority="1878" operator="equal">
      <formula>"Mystic"</formula>
    </cfRule>
  </conditionalFormatting>
  <conditionalFormatting sqref="K1118">
    <cfRule type="cellIs" dxfId="1823" priority="1855" operator="equal">
      <formula>"seeker"</formula>
    </cfRule>
    <cfRule type="cellIs" dxfId="1822" priority="1856" operator="equal">
      <formula>"neutral"</formula>
    </cfRule>
    <cfRule type="cellIs" dxfId="1821" priority="1857" operator="equal">
      <formula>"rogue"</formula>
    </cfRule>
    <cfRule type="cellIs" dxfId="1820" priority="1858" operator="equal">
      <formula>"Guardian"</formula>
    </cfRule>
    <cfRule type="cellIs" dxfId="1819" priority="1859" operator="equal">
      <formula>"Survivor"</formula>
    </cfRule>
    <cfRule type="cellIs" dxfId="1818" priority="1860" operator="equal">
      <formula>"Mystic"</formula>
    </cfRule>
  </conditionalFormatting>
  <conditionalFormatting sqref="K1128">
    <cfRule type="cellIs" dxfId="1817" priority="1849" operator="equal">
      <formula>"seeker"</formula>
    </cfRule>
    <cfRule type="cellIs" dxfId="1816" priority="1850" operator="equal">
      <formula>"neutral"</formula>
    </cfRule>
    <cfRule type="cellIs" dxfId="1815" priority="1851" operator="equal">
      <formula>"rogue"</formula>
    </cfRule>
    <cfRule type="cellIs" dxfId="1814" priority="1852" operator="equal">
      <formula>"Guardian"</formula>
    </cfRule>
    <cfRule type="cellIs" dxfId="1813" priority="1853" operator="equal">
      <formula>"Survivor"</formula>
    </cfRule>
    <cfRule type="cellIs" dxfId="1812" priority="1854" operator="equal">
      <formula>"Mystic"</formula>
    </cfRule>
  </conditionalFormatting>
  <conditionalFormatting sqref="AL1128">
    <cfRule type="cellIs" dxfId="1811" priority="1843" operator="equal">
      <formula>"Seeker"</formula>
    </cfRule>
    <cfRule type="cellIs" dxfId="1810" priority="1844" operator="equal">
      <formula>"Neutral"</formula>
    </cfRule>
    <cfRule type="cellIs" dxfId="1809" priority="1845" operator="equal">
      <formula>"Rogue"</formula>
    </cfRule>
    <cfRule type="cellIs" dxfId="1808" priority="1846" operator="equal">
      <formula>"Guardian"</formula>
    </cfRule>
    <cfRule type="cellIs" dxfId="1807" priority="1847" operator="equal">
      <formula>"Survivor"</formula>
    </cfRule>
    <cfRule type="cellIs" dxfId="1806" priority="1848" operator="equal">
      <formula>"Mystic"</formula>
    </cfRule>
  </conditionalFormatting>
  <conditionalFormatting sqref="AM1104">
    <cfRule type="cellIs" dxfId="1805" priority="1837" operator="equal">
      <formula>"seeker"</formula>
    </cfRule>
    <cfRule type="cellIs" dxfId="1804" priority="1838" operator="equal">
      <formula>"neutral"</formula>
    </cfRule>
    <cfRule type="cellIs" dxfId="1803" priority="1839" operator="equal">
      <formula>"rogue"</formula>
    </cfRule>
    <cfRule type="cellIs" dxfId="1802" priority="1840" operator="equal">
      <formula>"Guardian"</formula>
    </cfRule>
    <cfRule type="cellIs" dxfId="1801" priority="1841" operator="equal">
      <formula>"Survivor"</formula>
    </cfRule>
    <cfRule type="cellIs" dxfId="1800" priority="1842" operator="equal">
      <formula>"Mystic"</formula>
    </cfRule>
  </conditionalFormatting>
  <conditionalFormatting sqref="AL1136:AL1142">
    <cfRule type="cellIs" dxfId="1799" priority="1825" operator="equal">
      <formula>"Seeker"</formula>
    </cfRule>
    <cfRule type="cellIs" dxfId="1798" priority="1826" operator="equal">
      <formula>"Neutral"</formula>
    </cfRule>
    <cfRule type="cellIs" dxfId="1797" priority="1827" operator="equal">
      <formula>"Rogue"</formula>
    </cfRule>
    <cfRule type="cellIs" dxfId="1796" priority="1828" operator="equal">
      <formula>"Guardian"</formula>
    </cfRule>
    <cfRule type="cellIs" dxfId="1795" priority="1829" operator="equal">
      <formula>"Survivor"</formula>
    </cfRule>
    <cfRule type="cellIs" dxfId="1794" priority="1830" operator="equal">
      <formula>"Mystic"</formula>
    </cfRule>
  </conditionalFormatting>
  <conditionalFormatting sqref="K1131">
    <cfRule type="cellIs" dxfId="1793" priority="1813" operator="equal">
      <formula>"Seeker"</formula>
    </cfRule>
    <cfRule type="cellIs" dxfId="1792" priority="1814" operator="equal">
      <formula>"Neutral"</formula>
    </cfRule>
    <cfRule type="cellIs" dxfId="1791" priority="1815" operator="equal">
      <formula>"Rogue"</formula>
    </cfRule>
    <cfRule type="cellIs" dxfId="1790" priority="1816" operator="equal">
      <formula>"Guardian"</formula>
    </cfRule>
    <cfRule type="cellIs" dxfId="1789" priority="1817" operator="equal">
      <formula>"Survivor"</formula>
    </cfRule>
    <cfRule type="cellIs" dxfId="1788" priority="1818" operator="equal">
      <formula>"Mystic"</formula>
    </cfRule>
  </conditionalFormatting>
  <conditionalFormatting sqref="K1153">
    <cfRule type="cellIs" dxfId="1787" priority="1771" operator="equal">
      <formula>"seeker"</formula>
    </cfRule>
    <cfRule type="cellIs" dxfId="1786" priority="1772" operator="equal">
      <formula>"neutral"</formula>
    </cfRule>
    <cfRule type="cellIs" dxfId="1785" priority="1773" operator="equal">
      <formula>"rogue"</formula>
    </cfRule>
    <cfRule type="cellIs" dxfId="1784" priority="1774" operator="equal">
      <formula>"Guardian"</formula>
    </cfRule>
    <cfRule type="cellIs" dxfId="1783" priority="1775" operator="equal">
      <formula>"Survivor"</formula>
    </cfRule>
    <cfRule type="cellIs" dxfId="1782" priority="1776" operator="equal">
      <formula>"Mystic"</formula>
    </cfRule>
  </conditionalFormatting>
  <conditionalFormatting sqref="AM1153">
    <cfRule type="cellIs" dxfId="1781" priority="1765" operator="equal">
      <formula>"seeker"</formula>
    </cfRule>
    <cfRule type="cellIs" dxfId="1780" priority="1766" operator="equal">
      <formula>"neutral"</formula>
    </cfRule>
    <cfRule type="cellIs" dxfId="1779" priority="1767" operator="equal">
      <formula>"rogue"</formula>
    </cfRule>
    <cfRule type="cellIs" dxfId="1778" priority="1768" operator="equal">
      <formula>"Guardian"</formula>
    </cfRule>
    <cfRule type="cellIs" dxfId="1777" priority="1769" operator="equal">
      <formula>"Survivor"</formula>
    </cfRule>
    <cfRule type="cellIs" dxfId="1776" priority="1770" operator="equal">
      <formula>"Mystic"</formula>
    </cfRule>
  </conditionalFormatting>
  <conditionalFormatting sqref="AM1154">
    <cfRule type="cellIs" dxfId="1775" priority="1753" operator="equal">
      <formula>"seeker"</formula>
    </cfRule>
    <cfRule type="cellIs" dxfId="1774" priority="1754" operator="equal">
      <formula>"neutral"</formula>
    </cfRule>
    <cfRule type="cellIs" dxfId="1773" priority="1755" operator="equal">
      <formula>"rogue"</formula>
    </cfRule>
    <cfRule type="cellIs" dxfId="1772" priority="1756" operator="equal">
      <formula>"Guardian"</formula>
    </cfRule>
    <cfRule type="cellIs" dxfId="1771" priority="1757" operator="equal">
      <formula>"Survivor"</formula>
    </cfRule>
    <cfRule type="cellIs" dxfId="1770" priority="1758" operator="equal">
      <formula>"Mystic"</formula>
    </cfRule>
  </conditionalFormatting>
  <conditionalFormatting sqref="K1155">
    <cfRule type="cellIs" dxfId="1769" priority="1747" operator="equal">
      <formula>"seeker"</formula>
    </cfRule>
    <cfRule type="cellIs" dxfId="1768" priority="1748" operator="equal">
      <formula>"neutral"</formula>
    </cfRule>
    <cfRule type="cellIs" dxfId="1767" priority="1749" operator="equal">
      <formula>"rogue"</formula>
    </cfRule>
    <cfRule type="cellIs" dxfId="1766" priority="1750" operator="equal">
      <formula>"Guardian"</formula>
    </cfRule>
    <cfRule type="cellIs" dxfId="1765" priority="1751" operator="equal">
      <formula>"Survivor"</formula>
    </cfRule>
    <cfRule type="cellIs" dxfId="1764" priority="1752" operator="equal">
      <formula>"Mystic"</formula>
    </cfRule>
  </conditionalFormatting>
  <conditionalFormatting sqref="AM1081:AM1084">
    <cfRule type="cellIs" dxfId="1763" priority="2125" operator="equal">
      <formula>"seeker"</formula>
    </cfRule>
    <cfRule type="cellIs" dxfId="1762" priority="2126" operator="equal">
      <formula>"neutral"</formula>
    </cfRule>
    <cfRule type="cellIs" dxfId="1761" priority="2127" operator="equal">
      <formula>"rogue"</formula>
    </cfRule>
    <cfRule type="cellIs" dxfId="1760" priority="2128" operator="equal">
      <formula>"Guardian"</formula>
    </cfRule>
    <cfRule type="cellIs" dxfId="1759" priority="2129" operator="equal">
      <formula>"Survivor"</formula>
    </cfRule>
    <cfRule type="cellIs" dxfId="1758" priority="2130" operator="equal">
      <formula>"Mystic"</formula>
    </cfRule>
  </conditionalFormatting>
  <conditionalFormatting sqref="AM1080">
    <cfRule type="cellIs" dxfId="1757" priority="2119" operator="equal">
      <formula>"Seeker"</formula>
    </cfRule>
    <cfRule type="cellIs" dxfId="1756" priority="2120" operator="equal">
      <formula>"Neutral"</formula>
    </cfRule>
    <cfRule type="cellIs" dxfId="1755" priority="2121" operator="equal">
      <formula>"Rogue"</formula>
    </cfRule>
    <cfRule type="cellIs" dxfId="1754" priority="2122" operator="equal">
      <formula>"Guardian"</formula>
    </cfRule>
    <cfRule type="cellIs" dxfId="1753" priority="2123" operator="equal">
      <formula>"Survivor"</formula>
    </cfRule>
    <cfRule type="cellIs" dxfId="1752" priority="2124" operator="equal">
      <formula>"Mystic"</formula>
    </cfRule>
  </conditionalFormatting>
  <conditionalFormatting sqref="K1081:K1084">
    <cfRule type="cellIs" dxfId="1751" priority="2113" operator="equal">
      <formula>"seeker"</formula>
    </cfRule>
    <cfRule type="cellIs" dxfId="1750" priority="2114" operator="equal">
      <formula>"neutral"</formula>
    </cfRule>
    <cfRule type="cellIs" dxfId="1749" priority="2115" operator="equal">
      <formula>"rogue"</formula>
    </cfRule>
    <cfRule type="cellIs" dxfId="1748" priority="2116" operator="equal">
      <formula>"Guardian"</formula>
    </cfRule>
    <cfRule type="cellIs" dxfId="1747" priority="2117" operator="equal">
      <formula>"Survivor"</formula>
    </cfRule>
    <cfRule type="cellIs" dxfId="1746" priority="2118" operator="equal">
      <formula>"Mystic"</formula>
    </cfRule>
  </conditionalFormatting>
  <conditionalFormatting sqref="K1080">
    <cfRule type="cellIs" dxfId="1745" priority="2107" operator="equal">
      <formula>"Seeker"</formula>
    </cfRule>
    <cfRule type="cellIs" dxfId="1744" priority="2108" operator="equal">
      <formula>"Neutral"</formula>
    </cfRule>
    <cfRule type="cellIs" dxfId="1743" priority="2109" operator="equal">
      <formula>"Rogue"</formula>
    </cfRule>
    <cfRule type="cellIs" dxfId="1742" priority="2110" operator="equal">
      <formula>"Guardian"</formula>
    </cfRule>
    <cfRule type="cellIs" dxfId="1741" priority="2111" operator="equal">
      <formula>"Survivor"</formula>
    </cfRule>
    <cfRule type="cellIs" dxfId="1740" priority="2112" operator="equal">
      <formula>"Mystic"</formula>
    </cfRule>
  </conditionalFormatting>
  <conditionalFormatting sqref="AM1000:AM1005 AM1008 AM1010:AM1019 K979:K993 K998:K1002 K1010:K1019 AM1021:AM1030 K1021:K1030 AM1032:AM1079 K1032:K1079">
    <cfRule type="cellIs" dxfId="1739" priority="2101" operator="equal">
      <formula>"seeker"</formula>
    </cfRule>
    <cfRule type="cellIs" dxfId="1738" priority="2102" operator="equal">
      <formula>"neutral"</formula>
    </cfRule>
    <cfRule type="cellIs" dxfId="1737" priority="2103" operator="equal">
      <formula>"rogue"</formula>
    </cfRule>
    <cfRule type="cellIs" dxfId="1736" priority="2104" operator="equal">
      <formula>"Guardian"</formula>
    </cfRule>
    <cfRule type="cellIs" dxfId="1735" priority="2105" operator="equal">
      <formula>"Survivor"</formula>
    </cfRule>
    <cfRule type="cellIs" dxfId="1734" priority="2106" operator="equal">
      <formula>"Mystic"</formula>
    </cfRule>
  </conditionalFormatting>
  <conditionalFormatting sqref="AL983:AL989">
    <cfRule type="cellIs" dxfId="1733" priority="2095" operator="equal">
      <formula>"Seeker"</formula>
    </cfRule>
    <cfRule type="cellIs" dxfId="1732" priority="2096" operator="equal">
      <formula>"Neutral"</formula>
    </cfRule>
    <cfRule type="cellIs" dxfId="1731" priority="2097" operator="equal">
      <formula>"Rogue"</formula>
    </cfRule>
    <cfRule type="cellIs" dxfId="1730" priority="2098" operator="equal">
      <formula>"Guardian"</formula>
    </cfRule>
    <cfRule type="cellIs" dxfId="1729" priority="2099" operator="equal">
      <formula>"Survivor"</formula>
    </cfRule>
    <cfRule type="cellIs" dxfId="1728" priority="2100" operator="equal">
      <formula>"Mystic"</formula>
    </cfRule>
  </conditionalFormatting>
  <conditionalFormatting sqref="AM1006">
    <cfRule type="cellIs" dxfId="1727" priority="2089" operator="equal">
      <formula>"seeker"</formula>
    </cfRule>
    <cfRule type="cellIs" dxfId="1726" priority="2090" operator="equal">
      <formula>"neutral"</formula>
    </cfRule>
    <cfRule type="cellIs" dxfId="1725" priority="2091" operator="equal">
      <formula>"rogue"</formula>
    </cfRule>
    <cfRule type="cellIs" dxfId="1724" priority="2092" operator="equal">
      <formula>"Guardian"</formula>
    </cfRule>
    <cfRule type="cellIs" dxfId="1723" priority="2093" operator="equal">
      <formula>"Survivor"</formula>
    </cfRule>
    <cfRule type="cellIs" dxfId="1722" priority="2094" operator="equal">
      <formula>"Mystic"</formula>
    </cfRule>
  </conditionalFormatting>
  <conditionalFormatting sqref="AM1007">
    <cfRule type="cellIs" dxfId="1721" priority="2083" operator="equal">
      <formula>"seeker"</formula>
    </cfRule>
    <cfRule type="cellIs" dxfId="1720" priority="2084" operator="equal">
      <formula>"neutral"</formula>
    </cfRule>
    <cfRule type="cellIs" dxfId="1719" priority="2085" operator="equal">
      <formula>"rogue"</formula>
    </cfRule>
    <cfRule type="cellIs" dxfId="1718" priority="2086" operator="equal">
      <formula>"Guardian"</formula>
    </cfRule>
    <cfRule type="cellIs" dxfId="1717" priority="2087" operator="equal">
      <formula>"Survivor"</formula>
    </cfRule>
    <cfRule type="cellIs" dxfId="1716" priority="2088" operator="equal">
      <formula>"Mystic"</formula>
    </cfRule>
  </conditionalFormatting>
  <conditionalFormatting sqref="AM1009">
    <cfRule type="cellIs" dxfId="1715" priority="2077" operator="equal">
      <formula>"seeker"</formula>
    </cfRule>
    <cfRule type="cellIs" dxfId="1714" priority="2078" operator="equal">
      <formula>"neutral"</formula>
    </cfRule>
    <cfRule type="cellIs" dxfId="1713" priority="2079" operator="equal">
      <formula>"rogue"</formula>
    </cfRule>
    <cfRule type="cellIs" dxfId="1712" priority="2080" operator="equal">
      <formula>"Guardian"</formula>
    </cfRule>
    <cfRule type="cellIs" dxfId="1711" priority="2081" operator="equal">
      <formula>"Survivor"</formula>
    </cfRule>
    <cfRule type="cellIs" dxfId="1710" priority="2082" operator="equal">
      <formula>"Mystic"</formula>
    </cfRule>
  </conditionalFormatting>
  <conditionalFormatting sqref="K978">
    <cfRule type="cellIs" dxfId="1709" priority="2071" operator="equal">
      <formula>"Seeker"</formula>
    </cfRule>
    <cfRule type="cellIs" dxfId="1708" priority="2072" operator="equal">
      <formula>"Neutral"</formula>
    </cfRule>
    <cfRule type="cellIs" dxfId="1707" priority="2073" operator="equal">
      <formula>"Rogue"</formula>
    </cfRule>
    <cfRule type="cellIs" dxfId="1706" priority="2074" operator="equal">
      <formula>"Guardian"</formula>
    </cfRule>
    <cfRule type="cellIs" dxfId="1705" priority="2075" operator="equal">
      <formula>"Survivor"</formula>
    </cfRule>
    <cfRule type="cellIs" dxfId="1704" priority="2076" operator="equal">
      <formula>"Mystic"</formula>
    </cfRule>
  </conditionalFormatting>
  <conditionalFormatting sqref="AM979:AM982">
    <cfRule type="cellIs" dxfId="1703" priority="2065" operator="equal">
      <formula>"seeker"</formula>
    </cfRule>
    <cfRule type="cellIs" dxfId="1702" priority="2066" operator="equal">
      <formula>"neutral"</formula>
    </cfRule>
    <cfRule type="cellIs" dxfId="1701" priority="2067" operator="equal">
      <formula>"rogue"</formula>
    </cfRule>
    <cfRule type="cellIs" dxfId="1700" priority="2068" operator="equal">
      <formula>"Guardian"</formula>
    </cfRule>
    <cfRule type="cellIs" dxfId="1699" priority="2069" operator="equal">
      <formula>"Survivor"</formula>
    </cfRule>
    <cfRule type="cellIs" dxfId="1698" priority="2070" operator="equal">
      <formula>"Mystic"</formula>
    </cfRule>
  </conditionalFormatting>
  <conditionalFormatting sqref="AM978">
    <cfRule type="cellIs" dxfId="1697" priority="2059" operator="equal">
      <formula>"Seeker"</formula>
    </cfRule>
    <cfRule type="cellIs" dxfId="1696" priority="2060" operator="equal">
      <formula>"Neutral"</formula>
    </cfRule>
    <cfRule type="cellIs" dxfId="1695" priority="2061" operator="equal">
      <formula>"Rogue"</formula>
    </cfRule>
    <cfRule type="cellIs" dxfId="1694" priority="2062" operator="equal">
      <formula>"Guardian"</formula>
    </cfRule>
    <cfRule type="cellIs" dxfId="1693" priority="2063" operator="equal">
      <formula>"Survivor"</formula>
    </cfRule>
    <cfRule type="cellIs" dxfId="1692" priority="2064" operator="equal">
      <formula>"Mystic"</formula>
    </cfRule>
  </conditionalFormatting>
  <conditionalFormatting sqref="K994">
    <cfRule type="cellIs" dxfId="1691" priority="2053" operator="equal">
      <formula>"Seeker"</formula>
    </cfRule>
    <cfRule type="cellIs" dxfId="1690" priority="2054" operator="equal">
      <formula>"Neutral"</formula>
    </cfRule>
    <cfRule type="cellIs" dxfId="1689" priority="2055" operator="equal">
      <formula>"Rogue"</formula>
    </cfRule>
    <cfRule type="cellIs" dxfId="1688" priority="2056" operator="equal">
      <formula>"Guardian"</formula>
    </cfRule>
    <cfRule type="cellIs" dxfId="1687" priority="2057" operator="equal">
      <formula>"Survivor"</formula>
    </cfRule>
    <cfRule type="cellIs" dxfId="1686" priority="2058" operator="equal">
      <formula>"Mystic"</formula>
    </cfRule>
  </conditionalFormatting>
  <conditionalFormatting sqref="K995">
    <cfRule type="cellIs" dxfId="1685" priority="2047" operator="equal">
      <formula>"Seeker"</formula>
    </cfRule>
    <cfRule type="cellIs" dxfId="1684" priority="2048" operator="equal">
      <formula>"Neutral"</formula>
    </cfRule>
    <cfRule type="cellIs" dxfId="1683" priority="2049" operator="equal">
      <formula>"Rogue"</formula>
    </cfRule>
    <cfRule type="cellIs" dxfId="1682" priority="2050" operator="equal">
      <formula>"Guardian"</formula>
    </cfRule>
    <cfRule type="cellIs" dxfId="1681" priority="2051" operator="equal">
      <formula>"Survivor"</formula>
    </cfRule>
    <cfRule type="cellIs" dxfId="1680" priority="2052" operator="equal">
      <formula>"Mystic"</formula>
    </cfRule>
  </conditionalFormatting>
  <conditionalFormatting sqref="K996">
    <cfRule type="cellIs" dxfId="1679" priority="2041" operator="equal">
      <formula>"Seeker"</formula>
    </cfRule>
    <cfRule type="cellIs" dxfId="1678" priority="2042" operator="equal">
      <formula>"Neutral"</formula>
    </cfRule>
    <cfRule type="cellIs" dxfId="1677" priority="2043" operator="equal">
      <formula>"Rogue"</formula>
    </cfRule>
    <cfRule type="cellIs" dxfId="1676" priority="2044" operator="equal">
      <formula>"Guardian"</formula>
    </cfRule>
    <cfRule type="cellIs" dxfId="1675" priority="2045" operator="equal">
      <formula>"Survivor"</formula>
    </cfRule>
    <cfRule type="cellIs" dxfId="1674" priority="2046" operator="equal">
      <formula>"Mystic"</formula>
    </cfRule>
  </conditionalFormatting>
  <conditionalFormatting sqref="K997">
    <cfRule type="cellIs" dxfId="1673" priority="2035" operator="equal">
      <formula>"Seeker"</formula>
    </cfRule>
    <cfRule type="cellIs" dxfId="1672" priority="2036" operator="equal">
      <formula>"Neutral"</formula>
    </cfRule>
    <cfRule type="cellIs" dxfId="1671" priority="2037" operator="equal">
      <formula>"Rogue"</formula>
    </cfRule>
    <cfRule type="cellIs" dxfId="1670" priority="2038" operator="equal">
      <formula>"Guardian"</formula>
    </cfRule>
    <cfRule type="cellIs" dxfId="1669" priority="2039" operator="equal">
      <formula>"Survivor"</formula>
    </cfRule>
    <cfRule type="cellIs" dxfId="1668" priority="2040" operator="equal">
      <formula>"Mystic"</formula>
    </cfRule>
  </conditionalFormatting>
  <conditionalFormatting sqref="K1003">
    <cfRule type="cellIs" dxfId="1667" priority="2029" operator="equal">
      <formula>"seeker"</formula>
    </cfRule>
    <cfRule type="cellIs" dxfId="1666" priority="2030" operator="equal">
      <formula>"neutral"</formula>
    </cfRule>
    <cfRule type="cellIs" dxfId="1665" priority="2031" operator="equal">
      <formula>"rogue"</formula>
    </cfRule>
    <cfRule type="cellIs" dxfId="1664" priority="2032" operator="equal">
      <formula>"Guardian"</formula>
    </cfRule>
    <cfRule type="cellIs" dxfId="1663" priority="2033" operator="equal">
      <formula>"Survivor"</formula>
    </cfRule>
    <cfRule type="cellIs" dxfId="1662" priority="2034" operator="equal">
      <formula>"Mystic"</formula>
    </cfRule>
  </conditionalFormatting>
  <conditionalFormatting sqref="K1004">
    <cfRule type="cellIs" dxfId="1661" priority="2023" operator="equal">
      <formula>"seeker"</formula>
    </cfRule>
    <cfRule type="cellIs" dxfId="1660" priority="2024" operator="equal">
      <formula>"neutral"</formula>
    </cfRule>
    <cfRule type="cellIs" dxfId="1659" priority="2025" operator="equal">
      <formula>"rogue"</formula>
    </cfRule>
    <cfRule type="cellIs" dxfId="1658" priority="2026" operator="equal">
      <formula>"Guardian"</formula>
    </cfRule>
    <cfRule type="cellIs" dxfId="1657" priority="2027" operator="equal">
      <formula>"Survivor"</formula>
    </cfRule>
    <cfRule type="cellIs" dxfId="1656" priority="2028" operator="equal">
      <formula>"Mystic"</formula>
    </cfRule>
  </conditionalFormatting>
  <conditionalFormatting sqref="K1005">
    <cfRule type="cellIs" dxfId="1655" priority="2017" operator="equal">
      <formula>"seeker"</formula>
    </cfRule>
    <cfRule type="cellIs" dxfId="1654" priority="2018" operator="equal">
      <formula>"neutral"</formula>
    </cfRule>
    <cfRule type="cellIs" dxfId="1653" priority="2019" operator="equal">
      <formula>"rogue"</formula>
    </cfRule>
    <cfRule type="cellIs" dxfId="1652" priority="2020" operator="equal">
      <formula>"Guardian"</formula>
    </cfRule>
    <cfRule type="cellIs" dxfId="1651" priority="2021" operator="equal">
      <formula>"Survivor"</formula>
    </cfRule>
    <cfRule type="cellIs" dxfId="1650" priority="2022" operator="equal">
      <formula>"Mystic"</formula>
    </cfRule>
  </conditionalFormatting>
  <conditionalFormatting sqref="K1006">
    <cfRule type="cellIs" dxfId="1649" priority="2011" operator="equal">
      <formula>"seeker"</formula>
    </cfRule>
    <cfRule type="cellIs" dxfId="1648" priority="2012" operator="equal">
      <formula>"neutral"</formula>
    </cfRule>
    <cfRule type="cellIs" dxfId="1647" priority="2013" operator="equal">
      <formula>"rogue"</formula>
    </cfRule>
    <cfRule type="cellIs" dxfId="1646" priority="2014" operator="equal">
      <formula>"Guardian"</formula>
    </cfRule>
    <cfRule type="cellIs" dxfId="1645" priority="2015" operator="equal">
      <formula>"Survivor"</formula>
    </cfRule>
    <cfRule type="cellIs" dxfId="1644" priority="2016" operator="equal">
      <formula>"Mystic"</formula>
    </cfRule>
  </conditionalFormatting>
  <conditionalFormatting sqref="K1007">
    <cfRule type="cellIs" dxfId="1643" priority="2005" operator="equal">
      <formula>"seeker"</formula>
    </cfRule>
    <cfRule type="cellIs" dxfId="1642" priority="2006" operator="equal">
      <formula>"neutral"</formula>
    </cfRule>
    <cfRule type="cellIs" dxfId="1641" priority="2007" operator="equal">
      <formula>"rogue"</formula>
    </cfRule>
    <cfRule type="cellIs" dxfId="1640" priority="2008" operator="equal">
      <formula>"Guardian"</formula>
    </cfRule>
    <cfRule type="cellIs" dxfId="1639" priority="2009" operator="equal">
      <formula>"Survivor"</formula>
    </cfRule>
    <cfRule type="cellIs" dxfId="1638" priority="2010" operator="equal">
      <formula>"Mystic"</formula>
    </cfRule>
  </conditionalFormatting>
  <conditionalFormatting sqref="K1008">
    <cfRule type="cellIs" dxfId="1637" priority="1999" operator="equal">
      <formula>"seeker"</formula>
    </cfRule>
    <cfRule type="cellIs" dxfId="1636" priority="2000" operator="equal">
      <formula>"neutral"</formula>
    </cfRule>
    <cfRule type="cellIs" dxfId="1635" priority="2001" operator="equal">
      <formula>"rogue"</formula>
    </cfRule>
    <cfRule type="cellIs" dxfId="1634" priority="2002" operator="equal">
      <formula>"Guardian"</formula>
    </cfRule>
    <cfRule type="cellIs" dxfId="1633" priority="2003" operator="equal">
      <formula>"Survivor"</formula>
    </cfRule>
    <cfRule type="cellIs" dxfId="1632" priority="2004" operator="equal">
      <formula>"Mystic"</formula>
    </cfRule>
  </conditionalFormatting>
  <conditionalFormatting sqref="AL1020">
    <cfRule type="cellIs" dxfId="1631" priority="1987" operator="equal">
      <formula>"Seeker"</formula>
    </cfRule>
    <cfRule type="cellIs" dxfId="1630" priority="1988" operator="equal">
      <formula>"Neutral"</formula>
    </cfRule>
    <cfRule type="cellIs" dxfId="1629" priority="1989" operator="equal">
      <formula>"Rogue"</formula>
    </cfRule>
    <cfRule type="cellIs" dxfId="1628" priority="1990" operator="equal">
      <formula>"Guardian"</formula>
    </cfRule>
    <cfRule type="cellIs" dxfId="1627" priority="1991" operator="equal">
      <formula>"Survivor"</formula>
    </cfRule>
    <cfRule type="cellIs" dxfId="1626" priority="1992" operator="equal">
      <formula>"Mystic"</formula>
    </cfRule>
  </conditionalFormatting>
  <conditionalFormatting sqref="K1031">
    <cfRule type="cellIs" dxfId="1625" priority="1975" operator="equal">
      <formula>"seeker"</formula>
    </cfRule>
    <cfRule type="cellIs" dxfId="1624" priority="1976" operator="equal">
      <formula>"neutral"</formula>
    </cfRule>
    <cfRule type="cellIs" dxfId="1623" priority="1977" operator="equal">
      <formula>"rogue"</formula>
    </cfRule>
    <cfRule type="cellIs" dxfId="1622" priority="1978" operator="equal">
      <formula>"Guardian"</formula>
    </cfRule>
    <cfRule type="cellIs" dxfId="1621" priority="1979" operator="equal">
      <formula>"Survivor"</formula>
    </cfRule>
    <cfRule type="cellIs" dxfId="1620" priority="1980" operator="equal">
      <formula>"Mystic"</formula>
    </cfRule>
  </conditionalFormatting>
  <conditionalFormatting sqref="AL1031">
    <cfRule type="cellIs" dxfId="1619" priority="1969" operator="equal">
      <formula>"Seeker"</formula>
    </cfRule>
    <cfRule type="cellIs" dxfId="1618" priority="1970" operator="equal">
      <formula>"Neutral"</formula>
    </cfRule>
    <cfRule type="cellIs" dxfId="1617" priority="1971" operator="equal">
      <formula>"Rogue"</formula>
    </cfRule>
    <cfRule type="cellIs" dxfId="1616" priority="1972" operator="equal">
      <formula>"Guardian"</formula>
    </cfRule>
    <cfRule type="cellIs" dxfId="1615" priority="1973" operator="equal">
      <formula>"Survivor"</formula>
    </cfRule>
    <cfRule type="cellIs" dxfId="1614" priority="1974" operator="equal">
      <formula>"Mystic"</formula>
    </cfRule>
  </conditionalFormatting>
  <conditionalFormatting sqref="AM1129:AM1130 K1129:K1130 K1086:K1099 AM1099 AM1105:AM1106 K1103:K1106 K1111:K1117 AM1111:AM1117 K1119:K1127 AM1119:AM1127">
    <cfRule type="cellIs" dxfId="1613" priority="1963" operator="equal">
      <formula>"seeker"</formula>
    </cfRule>
    <cfRule type="cellIs" dxfId="1612" priority="1964" operator="equal">
      <formula>"neutral"</formula>
    </cfRule>
    <cfRule type="cellIs" dxfId="1611" priority="1965" operator="equal">
      <formula>"rogue"</formula>
    </cfRule>
    <cfRule type="cellIs" dxfId="1610" priority="1966" operator="equal">
      <formula>"Guardian"</formula>
    </cfRule>
    <cfRule type="cellIs" dxfId="1609" priority="1967" operator="equal">
      <formula>"Survivor"</formula>
    </cfRule>
    <cfRule type="cellIs" dxfId="1608" priority="1968" operator="equal">
      <formula>"Mystic"</formula>
    </cfRule>
  </conditionalFormatting>
  <conditionalFormatting sqref="AM1109">
    <cfRule type="cellIs" dxfId="1607" priority="1951" operator="equal">
      <formula>"seeker"</formula>
    </cfRule>
    <cfRule type="cellIs" dxfId="1606" priority="1952" operator="equal">
      <formula>"neutral"</formula>
    </cfRule>
    <cfRule type="cellIs" dxfId="1605" priority="1953" operator="equal">
      <formula>"rogue"</formula>
    </cfRule>
    <cfRule type="cellIs" dxfId="1604" priority="1954" operator="equal">
      <formula>"Guardian"</formula>
    </cfRule>
    <cfRule type="cellIs" dxfId="1603" priority="1955" operator="equal">
      <formula>"Survivor"</formula>
    </cfRule>
    <cfRule type="cellIs" dxfId="1602" priority="1956" operator="equal">
      <formula>"Mystic"</formula>
    </cfRule>
  </conditionalFormatting>
  <conditionalFormatting sqref="AM1086:AM1089">
    <cfRule type="cellIs" dxfId="1601" priority="1939" operator="equal">
      <formula>"seeker"</formula>
    </cfRule>
    <cfRule type="cellIs" dxfId="1600" priority="1940" operator="equal">
      <formula>"neutral"</formula>
    </cfRule>
    <cfRule type="cellIs" dxfId="1599" priority="1941" operator="equal">
      <formula>"rogue"</formula>
    </cfRule>
    <cfRule type="cellIs" dxfId="1598" priority="1942" operator="equal">
      <formula>"Guardian"</formula>
    </cfRule>
    <cfRule type="cellIs" dxfId="1597" priority="1943" operator="equal">
      <formula>"Survivor"</formula>
    </cfRule>
    <cfRule type="cellIs" dxfId="1596" priority="1944" operator="equal">
      <formula>"Mystic"</formula>
    </cfRule>
  </conditionalFormatting>
  <conditionalFormatting sqref="AM1085">
    <cfRule type="cellIs" dxfId="1595" priority="1933" operator="equal">
      <formula>"Seeker"</formula>
    </cfRule>
    <cfRule type="cellIs" dxfId="1594" priority="1934" operator="equal">
      <formula>"Neutral"</formula>
    </cfRule>
    <cfRule type="cellIs" dxfId="1593" priority="1935" operator="equal">
      <formula>"Rogue"</formula>
    </cfRule>
    <cfRule type="cellIs" dxfId="1592" priority="1936" operator="equal">
      <formula>"Guardian"</formula>
    </cfRule>
    <cfRule type="cellIs" dxfId="1591" priority="1937" operator="equal">
      <formula>"Survivor"</formula>
    </cfRule>
    <cfRule type="cellIs" dxfId="1590" priority="1938" operator="equal">
      <formula>"Mystic"</formula>
    </cfRule>
  </conditionalFormatting>
  <conditionalFormatting sqref="K1100">
    <cfRule type="cellIs" dxfId="1589" priority="1927" operator="equal">
      <formula>"Seeker"</formula>
    </cfRule>
    <cfRule type="cellIs" dxfId="1588" priority="1928" operator="equal">
      <formula>"Neutral"</formula>
    </cfRule>
    <cfRule type="cellIs" dxfId="1587" priority="1929" operator="equal">
      <formula>"Rogue"</formula>
    </cfRule>
    <cfRule type="cellIs" dxfId="1586" priority="1930" operator="equal">
      <formula>"Guardian"</formula>
    </cfRule>
    <cfRule type="cellIs" dxfId="1585" priority="1931" operator="equal">
      <formula>"Survivor"</formula>
    </cfRule>
    <cfRule type="cellIs" dxfId="1584" priority="1932" operator="equal">
      <formula>"Mystic"</formula>
    </cfRule>
  </conditionalFormatting>
  <conditionalFormatting sqref="AM1100">
    <cfRule type="cellIs" dxfId="1583" priority="1921" operator="equal">
      <formula>"Seeker"</formula>
    </cfRule>
    <cfRule type="cellIs" dxfId="1582" priority="1922" operator="equal">
      <formula>"Neutral"</formula>
    </cfRule>
    <cfRule type="cellIs" dxfId="1581" priority="1923" operator="equal">
      <formula>"Rogue"</formula>
    </cfRule>
    <cfRule type="cellIs" dxfId="1580" priority="1924" operator="equal">
      <formula>"Guardian"</formula>
    </cfRule>
    <cfRule type="cellIs" dxfId="1579" priority="1925" operator="equal">
      <formula>"Survivor"</formula>
    </cfRule>
    <cfRule type="cellIs" dxfId="1578" priority="1926" operator="equal">
      <formula>"Mystic"</formula>
    </cfRule>
  </conditionalFormatting>
  <conditionalFormatting sqref="K1101">
    <cfRule type="cellIs" dxfId="1577" priority="1915" operator="equal">
      <formula>"Seeker"</formula>
    </cfRule>
    <cfRule type="cellIs" dxfId="1576" priority="1916" operator="equal">
      <formula>"Neutral"</formula>
    </cfRule>
    <cfRule type="cellIs" dxfId="1575" priority="1917" operator="equal">
      <formula>"Rogue"</formula>
    </cfRule>
    <cfRule type="cellIs" dxfId="1574" priority="1918" operator="equal">
      <formula>"Guardian"</formula>
    </cfRule>
    <cfRule type="cellIs" dxfId="1573" priority="1919" operator="equal">
      <formula>"Survivor"</formula>
    </cfRule>
    <cfRule type="cellIs" dxfId="1572" priority="1920" operator="equal">
      <formula>"Mystic"</formula>
    </cfRule>
  </conditionalFormatting>
  <conditionalFormatting sqref="K1102">
    <cfRule type="cellIs" dxfId="1571" priority="1909" operator="equal">
      <formula>"Seeker"</formula>
    </cfRule>
    <cfRule type="cellIs" dxfId="1570" priority="1910" operator="equal">
      <formula>"Neutral"</formula>
    </cfRule>
    <cfRule type="cellIs" dxfId="1569" priority="1911" operator="equal">
      <formula>"Rogue"</formula>
    </cfRule>
    <cfRule type="cellIs" dxfId="1568" priority="1912" operator="equal">
      <formula>"Guardian"</formula>
    </cfRule>
    <cfRule type="cellIs" dxfId="1567" priority="1913" operator="equal">
      <formula>"Survivor"</formula>
    </cfRule>
    <cfRule type="cellIs" dxfId="1566" priority="1914" operator="equal">
      <formula>"Mystic"</formula>
    </cfRule>
  </conditionalFormatting>
  <conditionalFormatting sqref="K1108">
    <cfRule type="cellIs" dxfId="1565" priority="1891" operator="equal">
      <formula>"seeker"</formula>
    </cfRule>
    <cfRule type="cellIs" dxfId="1564" priority="1892" operator="equal">
      <formula>"neutral"</formula>
    </cfRule>
    <cfRule type="cellIs" dxfId="1563" priority="1893" operator="equal">
      <formula>"rogue"</formula>
    </cfRule>
    <cfRule type="cellIs" dxfId="1562" priority="1894" operator="equal">
      <formula>"Guardian"</formula>
    </cfRule>
    <cfRule type="cellIs" dxfId="1561" priority="1895" operator="equal">
      <formula>"Survivor"</formula>
    </cfRule>
    <cfRule type="cellIs" dxfId="1560" priority="1896" operator="equal">
      <formula>"Mystic"</formula>
    </cfRule>
  </conditionalFormatting>
  <conditionalFormatting sqref="AM1110">
    <cfRule type="cellIs" dxfId="1559" priority="1867" operator="equal">
      <formula>"seeker"</formula>
    </cfRule>
    <cfRule type="cellIs" dxfId="1558" priority="1868" operator="equal">
      <formula>"neutral"</formula>
    </cfRule>
    <cfRule type="cellIs" dxfId="1557" priority="1869" operator="equal">
      <formula>"rogue"</formula>
    </cfRule>
    <cfRule type="cellIs" dxfId="1556" priority="1870" operator="equal">
      <formula>"Guardian"</formula>
    </cfRule>
    <cfRule type="cellIs" dxfId="1555" priority="1871" operator="equal">
      <formula>"Survivor"</formula>
    </cfRule>
    <cfRule type="cellIs" dxfId="1554" priority="1872" operator="equal">
      <formula>"Mystic"</formula>
    </cfRule>
  </conditionalFormatting>
  <conditionalFormatting sqref="AL1118">
    <cfRule type="cellIs" dxfId="1553" priority="1861" operator="equal">
      <formula>"Seeker"</formula>
    </cfRule>
    <cfRule type="cellIs" dxfId="1552" priority="1862" operator="equal">
      <formula>"Neutral"</formula>
    </cfRule>
    <cfRule type="cellIs" dxfId="1551" priority="1863" operator="equal">
      <formula>"Rogue"</formula>
    </cfRule>
    <cfRule type="cellIs" dxfId="1550" priority="1864" operator="equal">
      <formula>"Guardian"</formula>
    </cfRule>
    <cfRule type="cellIs" dxfId="1549" priority="1865" operator="equal">
      <formula>"Survivor"</formula>
    </cfRule>
    <cfRule type="cellIs" dxfId="1548" priority="1866" operator="equal">
      <formula>"Mystic"</formula>
    </cfRule>
  </conditionalFormatting>
  <conditionalFormatting sqref="AM1173:AM1176 K1173:K1176 K1132:K1145 AM1145 AM1151:AM1152 K1149:K1152 AM1163:AM1171 K1157:K1171 AM1156:AM1161">
    <cfRule type="cellIs" dxfId="1547" priority="1831" operator="equal">
      <formula>"seeker"</formula>
    </cfRule>
    <cfRule type="cellIs" dxfId="1546" priority="1832" operator="equal">
      <formula>"neutral"</formula>
    </cfRule>
    <cfRule type="cellIs" dxfId="1545" priority="1833" operator="equal">
      <formula>"rogue"</formula>
    </cfRule>
    <cfRule type="cellIs" dxfId="1544" priority="1834" operator="equal">
      <formula>"Guardian"</formula>
    </cfRule>
    <cfRule type="cellIs" dxfId="1543" priority="1835" operator="equal">
      <formula>"Survivor"</formula>
    </cfRule>
    <cfRule type="cellIs" dxfId="1542" priority="1836" operator="equal">
      <formula>"Mystic"</formula>
    </cfRule>
  </conditionalFormatting>
  <conditionalFormatting sqref="AM1155">
    <cfRule type="cellIs" dxfId="1541" priority="1819" operator="equal">
      <formula>"seeker"</formula>
    </cfRule>
    <cfRule type="cellIs" dxfId="1540" priority="1820" operator="equal">
      <formula>"neutral"</formula>
    </cfRule>
    <cfRule type="cellIs" dxfId="1539" priority="1821" operator="equal">
      <formula>"rogue"</formula>
    </cfRule>
    <cfRule type="cellIs" dxfId="1538" priority="1822" operator="equal">
      <formula>"Guardian"</formula>
    </cfRule>
    <cfRule type="cellIs" dxfId="1537" priority="1823" operator="equal">
      <formula>"Survivor"</formula>
    </cfRule>
    <cfRule type="cellIs" dxfId="1536" priority="1824" operator="equal">
      <formula>"Mystic"</formula>
    </cfRule>
  </conditionalFormatting>
  <conditionalFormatting sqref="AM1132:AM1135">
    <cfRule type="cellIs" dxfId="1535" priority="1807" operator="equal">
      <formula>"seeker"</formula>
    </cfRule>
    <cfRule type="cellIs" dxfId="1534" priority="1808" operator="equal">
      <formula>"neutral"</formula>
    </cfRule>
    <cfRule type="cellIs" dxfId="1533" priority="1809" operator="equal">
      <formula>"rogue"</formula>
    </cfRule>
    <cfRule type="cellIs" dxfId="1532" priority="1810" operator="equal">
      <formula>"Guardian"</formula>
    </cfRule>
    <cfRule type="cellIs" dxfId="1531" priority="1811" operator="equal">
      <formula>"Survivor"</formula>
    </cfRule>
    <cfRule type="cellIs" dxfId="1530" priority="1812" operator="equal">
      <formula>"Mystic"</formula>
    </cfRule>
  </conditionalFormatting>
  <conditionalFormatting sqref="AM1131">
    <cfRule type="cellIs" dxfId="1529" priority="1801" operator="equal">
      <formula>"Seeker"</formula>
    </cfRule>
    <cfRule type="cellIs" dxfId="1528" priority="1802" operator="equal">
      <formula>"Neutral"</formula>
    </cfRule>
    <cfRule type="cellIs" dxfId="1527" priority="1803" operator="equal">
      <formula>"Rogue"</formula>
    </cfRule>
    <cfRule type="cellIs" dxfId="1526" priority="1804" operator="equal">
      <formula>"Guardian"</formula>
    </cfRule>
    <cfRule type="cellIs" dxfId="1525" priority="1805" operator="equal">
      <formula>"Survivor"</formula>
    </cfRule>
    <cfRule type="cellIs" dxfId="1524" priority="1806" operator="equal">
      <formula>"Mystic"</formula>
    </cfRule>
  </conditionalFormatting>
  <conditionalFormatting sqref="K1146">
    <cfRule type="cellIs" dxfId="1523" priority="1795" operator="equal">
      <formula>"Seeker"</formula>
    </cfRule>
    <cfRule type="cellIs" dxfId="1522" priority="1796" operator="equal">
      <formula>"Neutral"</formula>
    </cfRule>
    <cfRule type="cellIs" dxfId="1521" priority="1797" operator="equal">
      <formula>"Rogue"</formula>
    </cfRule>
    <cfRule type="cellIs" dxfId="1520" priority="1798" operator="equal">
      <formula>"Guardian"</formula>
    </cfRule>
    <cfRule type="cellIs" dxfId="1519" priority="1799" operator="equal">
      <formula>"Survivor"</formula>
    </cfRule>
    <cfRule type="cellIs" dxfId="1518" priority="1800" operator="equal">
      <formula>"Mystic"</formula>
    </cfRule>
  </conditionalFormatting>
  <conditionalFormatting sqref="AM1146">
    <cfRule type="cellIs" dxfId="1517" priority="1789" operator="equal">
      <formula>"Seeker"</formula>
    </cfRule>
    <cfRule type="cellIs" dxfId="1516" priority="1790" operator="equal">
      <formula>"Neutral"</formula>
    </cfRule>
    <cfRule type="cellIs" dxfId="1515" priority="1791" operator="equal">
      <formula>"Rogue"</formula>
    </cfRule>
    <cfRule type="cellIs" dxfId="1514" priority="1792" operator="equal">
      <formula>"Guardian"</formula>
    </cfRule>
    <cfRule type="cellIs" dxfId="1513" priority="1793" operator="equal">
      <formula>"Survivor"</formula>
    </cfRule>
    <cfRule type="cellIs" dxfId="1512" priority="1794" operator="equal">
      <formula>"Mystic"</formula>
    </cfRule>
  </conditionalFormatting>
  <conditionalFormatting sqref="K1147">
    <cfRule type="cellIs" dxfId="1511" priority="1783" operator="equal">
      <formula>"Seeker"</formula>
    </cfRule>
    <cfRule type="cellIs" dxfId="1510" priority="1784" operator="equal">
      <formula>"Neutral"</formula>
    </cfRule>
    <cfRule type="cellIs" dxfId="1509" priority="1785" operator="equal">
      <formula>"Rogue"</formula>
    </cfRule>
    <cfRule type="cellIs" dxfId="1508" priority="1786" operator="equal">
      <formula>"Guardian"</formula>
    </cfRule>
    <cfRule type="cellIs" dxfId="1507" priority="1787" operator="equal">
      <formula>"Survivor"</formula>
    </cfRule>
    <cfRule type="cellIs" dxfId="1506" priority="1788" operator="equal">
      <formula>"Mystic"</formula>
    </cfRule>
  </conditionalFormatting>
  <conditionalFormatting sqref="K1148">
    <cfRule type="cellIs" dxfId="1505" priority="1777" operator="equal">
      <formula>"Seeker"</formula>
    </cfRule>
    <cfRule type="cellIs" dxfId="1504" priority="1778" operator="equal">
      <formula>"Neutral"</formula>
    </cfRule>
    <cfRule type="cellIs" dxfId="1503" priority="1779" operator="equal">
      <formula>"Rogue"</formula>
    </cfRule>
    <cfRule type="cellIs" dxfId="1502" priority="1780" operator="equal">
      <formula>"Guardian"</formula>
    </cfRule>
    <cfRule type="cellIs" dxfId="1501" priority="1781" operator="equal">
      <formula>"Survivor"</formula>
    </cfRule>
    <cfRule type="cellIs" dxfId="1500" priority="1782" operator="equal">
      <formula>"Mystic"</formula>
    </cfRule>
  </conditionalFormatting>
  <conditionalFormatting sqref="K1154">
    <cfRule type="cellIs" dxfId="1499" priority="1759" operator="equal">
      <formula>"seeker"</formula>
    </cfRule>
    <cfRule type="cellIs" dxfId="1498" priority="1760" operator="equal">
      <formula>"neutral"</formula>
    </cfRule>
    <cfRule type="cellIs" dxfId="1497" priority="1761" operator="equal">
      <formula>"rogue"</formula>
    </cfRule>
    <cfRule type="cellIs" dxfId="1496" priority="1762" operator="equal">
      <formula>"Guardian"</formula>
    </cfRule>
    <cfRule type="cellIs" dxfId="1495" priority="1763" operator="equal">
      <formula>"Survivor"</formula>
    </cfRule>
    <cfRule type="cellIs" dxfId="1494" priority="1764" operator="equal">
      <formula>"Mystic"</formula>
    </cfRule>
  </conditionalFormatting>
  <conditionalFormatting sqref="K1156">
    <cfRule type="cellIs" dxfId="1493" priority="1741" operator="equal">
      <formula>"seeker"</formula>
    </cfRule>
    <cfRule type="cellIs" dxfId="1492" priority="1742" operator="equal">
      <formula>"neutral"</formula>
    </cfRule>
    <cfRule type="cellIs" dxfId="1491" priority="1743" operator="equal">
      <formula>"rogue"</formula>
    </cfRule>
    <cfRule type="cellIs" dxfId="1490" priority="1744" operator="equal">
      <formula>"Guardian"</formula>
    </cfRule>
    <cfRule type="cellIs" dxfId="1489" priority="1745" operator="equal">
      <formula>"Survivor"</formula>
    </cfRule>
    <cfRule type="cellIs" dxfId="1488" priority="1746" operator="equal">
      <formula>"Mystic"</formula>
    </cfRule>
  </conditionalFormatting>
  <conditionalFormatting sqref="K1172">
    <cfRule type="cellIs" dxfId="1487" priority="1729" operator="equal">
      <formula>"seeker"</formula>
    </cfRule>
    <cfRule type="cellIs" dxfId="1486" priority="1730" operator="equal">
      <formula>"neutral"</formula>
    </cfRule>
    <cfRule type="cellIs" dxfId="1485" priority="1731" operator="equal">
      <formula>"rogue"</formula>
    </cfRule>
    <cfRule type="cellIs" dxfId="1484" priority="1732" operator="equal">
      <formula>"Guardian"</formula>
    </cfRule>
    <cfRule type="cellIs" dxfId="1483" priority="1733" operator="equal">
      <formula>"Survivor"</formula>
    </cfRule>
    <cfRule type="cellIs" dxfId="1482" priority="1734" operator="equal">
      <formula>"Mystic"</formula>
    </cfRule>
  </conditionalFormatting>
  <conditionalFormatting sqref="AL1172">
    <cfRule type="cellIs" dxfId="1481" priority="1723" operator="equal">
      <formula>"Seeker"</formula>
    </cfRule>
    <cfRule type="cellIs" dxfId="1480" priority="1724" operator="equal">
      <formula>"Neutral"</formula>
    </cfRule>
    <cfRule type="cellIs" dxfId="1479" priority="1725" operator="equal">
      <formula>"Rogue"</formula>
    </cfRule>
    <cfRule type="cellIs" dxfId="1478" priority="1726" operator="equal">
      <formula>"Guardian"</formula>
    </cfRule>
    <cfRule type="cellIs" dxfId="1477" priority="1727" operator="equal">
      <formula>"Survivor"</formula>
    </cfRule>
    <cfRule type="cellIs" dxfId="1476" priority="1728" operator="equal">
      <formula>"Mystic"</formula>
    </cfRule>
  </conditionalFormatting>
  <conditionalFormatting sqref="AM1150">
    <cfRule type="cellIs" dxfId="1475" priority="1717" operator="equal">
      <formula>"seeker"</formula>
    </cfRule>
    <cfRule type="cellIs" dxfId="1474" priority="1718" operator="equal">
      <formula>"neutral"</formula>
    </cfRule>
    <cfRule type="cellIs" dxfId="1473" priority="1719" operator="equal">
      <formula>"rogue"</formula>
    </cfRule>
    <cfRule type="cellIs" dxfId="1472" priority="1720" operator="equal">
      <formula>"Guardian"</formula>
    </cfRule>
    <cfRule type="cellIs" dxfId="1471" priority="1721" operator="equal">
      <formula>"Survivor"</formula>
    </cfRule>
    <cfRule type="cellIs" dxfId="1470" priority="1722" operator="equal">
      <formula>"Mystic"</formula>
    </cfRule>
  </conditionalFormatting>
  <conditionalFormatting sqref="AM1219 K1219 K1178:K1191 AM1191 AM1197:AM1198 K1195:K1198 AM1209:AM1217 K1203:K1217 AM1202:AM1207">
    <cfRule type="cellIs" dxfId="1469" priority="1471" operator="equal">
      <formula>"seeker"</formula>
    </cfRule>
    <cfRule type="cellIs" dxfId="1468" priority="1472" operator="equal">
      <formula>"neutral"</formula>
    </cfRule>
    <cfRule type="cellIs" dxfId="1467" priority="1473" operator="equal">
      <formula>"rogue"</formula>
    </cfRule>
    <cfRule type="cellIs" dxfId="1466" priority="1474" operator="equal">
      <formula>"Guardian"</formula>
    </cfRule>
    <cfRule type="cellIs" dxfId="1465" priority="1475" operator="equal">
      <formula>"Survivor"</formula>
    </cfRule>
    <cfRule type="cellIs" dxfId="1464" priority="1476" operator="equal">
      <formula>"Mystic"</formula>
    </cfRule>
  </conditionalFormatting>
  <conditionalFormatting sqref="AL1182:AL1188">
    <cfRule type="cellIs" dxfId="1463" priority="1465" operator="equal">
      <formula>"Seeker"</formula>
    </cfRule>
    <cfRule type="cellIs" dxfId="1462" priority="1466" operator="equal">
      <formula>"Neutral"</formula>
    </cfRule>
    <cfRule type="cellIs" dxfId="1461" priority="1467" operator="equal">
      <formula>"Rogue"</formula>
    </cfRule>
    <cfRule type="cellIs" dxfId="1460" priority="1468" operator="equal">
      <formula>"Guardian"</formula>
    </cfRule>
    <cfRule type="cellIs" dxfId="1459" priority="1469" operator="equal">
      <formula>"Survivor"</formula>
    </cfRule>
    <cfRule type="cellIs" dxfId="1458" priority="1470" operator="equal">
      <formula>"Mystic"</formula>
    </cfRule>
  </conditionalFormatting>
  <conditionalFormatting sqref="AM1201">
    <cfRule type="cellIs" dxfId="1457" priority="1459" operator="equal">
      <formula>"seeker"</formula>
    </cfRule>
    <cfRule type="cellIs" dxfId="1456" priority="1460" operator="equal">
      <formula>"neutral"</formula>
    </cfRule>
    <cfRule type="cellIs" dxfId="1455" priority="1461" operator="equal">
      <formula>"rogue"</formula>
    </cfRule>
    <cfRule type="cellIs" dxfId="1454" priority="1462" operator="equal">
      <formula>"Guardian"</formula>
    </cfRule>
    <cfRule type="cellIs" dxfId="1453" priority="1463" operator="equal">
      <formula>"Survivor"</formula>
    </cfRule>
    <cfRule type="cellIs" dxfId="1452" priority="1464" operator="equal">
      <formula>"Mystic"</formula>
    </cfRule>
  </conditionalFormatting>
  <conditionalFormatting sqref="K1177">
    <cfRule type="cellIs" dxfId="1451" priority="1453" operator="equal">
      <formula>"Seeker"</formula>
    </cfRule>
    <cfRule type="cellIs" dxfId="1450" priority="1454" operator="equal">
      <formula>"Neutral"</formula>
    </cfRule>
    <cfRule type="cellIs" dxfId="1449" priority="1455" operator="equal">
      <formula>"Rogue"</formula>
    </cfRule>
    <cfRule type="cellIs" dxfId="1448" priority="1456" operator="equal">
      <formula>"Guardian"</formula>
    </cfRule>
    <cfRule type="cellIs" dxfId="1447" priority="1457" operator="equal">
      <formula>"Survivor"</formula>
    </cfRule>
    <cfRule type="cellIs" dxfId="1446" priority="1458" operator="equal">
      <formula>"Mystic"</formula>
    </cfRule>
  </conditionalFormatting>
  <conditionalFormatting sqref="AM1178:AM1181">
    <cfRule type="cellIs" dxfId="1445" priority="1447" operator="equal">
      <formula>"seeker"</formula>
    </cfRule>
    <cfRule type="cellIs" dxfId="1444" priority="1448" operator="equal">
      <formula>"neutral"</formula>
    </cfRule>
    <cfRule type="cellIs" dxfId="1443" priority="1449" operator="equal">
      <formula>"rogue"</formula>
    </cfRule>
    <cfRule type="cellIs" dxfId="1442" priority="1450" operator="equal">
      <formula>"Guardian"</formula>
    </cfRule>
    <cfRule type="cellIs" dxfId="1441" priority="1451" operator="equal">
      <formula>"Survivor"</formula>
    </cfRule>
    <cfRule type="cellIs" dxfId="1440" priority="1452" operator="equal">
      <formula>"Mystic"</formula>
    </cfRule>
  </conditionalFormatting>
  <conditionalFormatting sqref="AM1177">
    <cfRule type="cellIs" dxfId="1439" priority="1441" operator="equal">
      <formula>"Seeker"</formula>
    </cfRule>
    <cfRule type="cellIs" dxfId="1438" priority="1442" operator="equal">
      <formula>"Neutral"</formula>
    </cfRule>
    <cfRule type="cellIs" dxfId="1437" priority="1443" operator="equal">
      <formula>"Rogue"</formula>
    </cfRule>
    <cfRule type="cellIs" dxfId="1436" priority="1444" operator="equal">
      <formula>"Guardian"</formula>
    </cfRule>
    <cfRule type="cellIs" dxfId="1435" priority="1445" operator="equal">
      <formula>"Survivor"</formula>
    </cfRule>
    <cfRule type="cellIs" dxfId="1434" priority="1446" operator="equal">
      <formula>"Mystic"</formula>
    </cfRule>
  </conditionalFormatting>
  <conditionalFormatting sqref="K1192">
    <cfRule type="cellIs" dxfId="1433" priority="1435" operator="equal">
      <formula>"Seeker"</formula>
    </cfRule>
    <cfRule type="cellIs" dxfId="1432" priority="1436" operator="equal">
      <formula>"Neutral"</formula>
    </cfRule>
    <cfRule type="cellIs" dxfId="1431" priority="1437" operator="equal">
      <formula>"Rogue"</formula>
    </cfRule>
    <cfRule type="cellIs" dxfId="1430" priority="1438" operator="equal">
      <formula>"Guardian"</formula>
    </cfRule>
    <cfRule type="cellIs" dxfId="1429" priority="1439" operator="equal">
      <formula>"Survivor"</formula>
    </cfRule>
    <cfRule type="cellIs" dxfId="1428" priority="1440" operator="equal">
      <formula>"Mystic"</formula>
    </cfRule>
  </conditionalFormatting>
  <conditionalFormatting sqref="AM1192">
    <cfRule type="cellIs" dxfId="1427" priority="1429" operator="equal">
      <formula>"Seeker"</formula>
    </cfRule>
    <cfRule type="cellIs" dxfId="1426" priority="1430" operator="equal">
      <formula>"Neutral"</formula>
    </cfRule>
    <cfRule type="cellIs" dxfId="1425" priority="1431" operator="equal">
      <formula>"Rogue"</formula>
    </cfRule>
    <cfRule type="cellIs" dxfId="1424" priority="1432" operator="equal">
      <formula>"Guardian"</formula>
    </cfRule>
    <cfRule type="cellIs" dxfId="1423" priority="1433" operator="equal">
      <formula>"Survivor"</formula>
    </cfRule>
    <cfRule type="cellIs" dxfId="1422" priority="1434" operator="equal">
      <formula>"Mystic"</formula>
    </cfRule>
  </conditionalFormatting>
  <conditionalFormatting sqref="K1193">
    <cfRule type="cellIs" dxfId="1421" priority="1423" operator="equal">
      <formula>"Seeker"</formula>
    </cfRule>
    <cfRule type="cellIs" dxfId="1420" priority="1424" operator="equal">
      <formula>"Neutral"</formula>
    </cfRule>
    <cfRule type="cellIs" dxfId="1419" priority="1425" operator="equal">
      <formula>"Rogue"</formula>
    </cfRule>
    <cfRule type="cellIs" dxfId="1418" priority="1426" operator="equal">
      <formula>"Guardian"</formula>
    </cfRule>
    <cfRule type="cellIs" dxfId="1417" priority="1427" operator="equal">
      <formula>"Survivor"</formula>
    </cfRule>
    <cfRule type="cellIs" dxfId="1416" priority="1428" operator="equal">
      <formula>"Mystic"</formula>
    </cfRule>
  </conditionalFormatting>
  <conditionalFormatting sqref="K1194">
    <cfRule type="cellIs" dxfId="1415" priority="1417" operator="equal">
      <formula>"Seeker"</formula>
    </cfRule>
    <cfRule type="cellIs" dxfId="1414" priority="1418" operator="equal">
      <formula>"Neutral"</formula>
    </cfRule>
    <cfRule type="cellIs" dxfId="1413" priority="1419" operator="equal">
      <formula>"Rogue"</formula>
    </cfRule>
    <cfRule type="cellIs" dxfId="1412" priority="1420" operator="equal">
      <formula>"Guardian"</formula>
    </cfRule>
    <cfRule type="cellIs" dxfId="1411" priority="1421" operator="equal">
      <formula>"Survivor"</formula>
    </cfRule>
    <cfRule type="cellIs" dxfId="1410" priority="1422" operator="equal">
      <formula>"Mystic"</formula>
    </cfRule>
  </conditionalFormatting>
  <conditionalFormatting sqref="K1199">
    <cfRule type="cellIs" dxfId="1409" priority="1411" operator="equal">
      <formula>"seeker"</formula>
    </cfRule>
    <cfRule type="cellIs" dxfId="1408" priority="1412" operator="equal">
      <formula>"neutral"</formula>
    </cfRule>
    <cfRule type="cellIs" dxfId="1407" priority="1413" operator="equal">
      <formula>"rogue"</formula>
    </cfRule>
    <cfRule type="cellIs" dxfId="1406" priority="1414" operator="equal">
      <formula>"Guardian"</formula>
    </cfRule>
    <cfRule type="cellIs" dxfId="1405" priority="1415" operator="equal">
      <formula>"Survivor"</formula>
    </cfRule>
    <cfRule type="cellIs" dxfId="1404" priority="1416" operator="equal">
      <formula>"Mystic"</formula>
    </cfRule>
  </conditionalFormatting>
  <conditionalFormatting sqref="AM1199">
    <cfRule type="cellIs" dxfId="1403" priority="1405" operator="equal">
      <formula>"seeker"</formula>
    </cfRule>
    <cfRule type="cellIs" dxfId="1402" priority="1406" operator="equal">
      <formula>"neutral"</formula>
    </cfRule>
    <cfRule type="cellIs" dxfId="1401" priority="1407" operator="equal">
      <formula>"rogue"</formula>
    </cfRule>
    <cfRule type="cellIs" dxfId="1400" priority="1408" operator="equal">
      <formula>"Guardian"</formula>
    </cfRule>
    <cfRule type="cellIs" dxfId="1399" priority="1409" operator="equal">
      <formula>"Survivor"</formula>
    </cfRule>
    <cfRule type="cellIs" dxfId="1398" priority="1410" operator="equal">
      <formula>"Mystic"</formula>
    </cfRule>
  </conditionalFormatting>
  <conditionalFormatting sqref="K1200">
    <cfRule type="cellIs" dxfId="1397" priority="1399" operator="equal">
      <formula>"seeker"</formula>
    </cfRule>
    <cfRule type="cellIs" dxfId="1396" priority="1400" operator="equal">
      <formula>"neutral"</formula>
    </cfRule>
    <cfRule type="cellIs" dxfId="1395" priority="1401" operator="equal">
      <formula>"rogue"</formula>
    </cfRule>
    <cfRule type="cellIs" dxfId="1394" priority="1402" operator="equal">
      <formula>"Guardian"</formula>
    </cfRule>
    <cfRule type="cellIs" dxfId="1393" priority="1403" operator="equal">
      <formula>"Survivor"</formula>
    </cfRule>
    <cfRule type="cellIs" dxfId="1392" priority="1404" operator="equal">
      <formula>"Mystic"</formula>
    </cfRule>
  </conditionalFormatting>
  <conditionalFormatting sqref="AM1200">
    <cfRule type="cellIs" dxfId="1391" priority="1393" operator="equal">
      <formula>"seeker"</formula>
    </cfRule>
    <cfRule type="cellIs" dxfId="1390" priority="1394" operator="equal">
      <formula>"neutral"</formula>
    </cfRule>
    <cfRule type="cellIs" dxfId="1389" priority="1395" operator="equal">
      <formula>"rogue"</formula>
    </cfRule>
    <cfRule type="cellIs" dxfId="1388" priority="1396" operator="equal">
      <formula>"Guardian"</formula>
    </cfRule>
    <cfRule type="cellIs" dxfId="1387" priority="1397" operator="equal">
      <formula>"Survivor"</formula>
    </cfRule>
    <cfRule type="cellIs" dxfId="1386" priority="1398" operator="equal">
      <formula>"Mystic"</formula>
    </cfRule>
  </conditionalFormatting>
  <conditionalFormatting sqref="K1201">
    <cfRule type="cellIs" dxfId="1385" priority="1387" operator="equal">
      <formula>"seeker"</formula>
    </cfRule>
    <cfRule type="cellIs" dxfId="1384" priority="1388" operator="equal">
      <formula>"neutral"</formula>
    </cfRule>
    <cfRule type="cellIs" dxfId="1383" priority="1389" operator="equal">
      <formula>"rogue"</formula>
    </cfRule>
    <cfRule type="cellIs" dxfId="1382" priority="1390" operator="equal">
      <formula>"Guardian"</formula>
    </cfRule>
    <cfRule type="cellIs" dxfId="1381" priority="1391" operator="equal">
      <formula>"Survivor"</formula>
    </cfRule>
    <cfRule type="cellIs" dxfId="1380" priority="1392" operator="equal">
      <formula>"Mystic"</formula>
    </cfRule>
  </conditionalFormatting>
  <conditionalFormatting sqref="K1202">
    <cfRule type="cellIs" dxfId="1379" priority="1381" operator="equal">
      <formula>"seeker"</formula>
    </cfRule>
    <cfRule type="cellIs" dxfId="1378" priority="1382" operator="equal">
      <formula>"neutral"</formula>
    </cfRule>
    <cfRule type="cellIs" dxfId="1377" priority="1383" operator="equal">
      <formula>"rogue"</formula>
    </cfRule>
    <cfRule type="cellIs" dxfId="1376" priority="1384" operator="equal">
      <formula>"Guardian"</formula>
    </cfRule>
    <cfRule type="cellIs" dxfId="1375" priority="1385" operator="equal">
      <formula>"Survivor"</formula>
    </cfRule>
    <cfRule type="cellIs" dxfId="1374" priority="1386" operator="equal">
      <formula>"Mystic"</formula>
    </cfRule>
  </conditionalFormatting>
  <conditionalFormatting sqref="AM1208">
    <cfRule type="cellIs" dxfId="1373" priority="1375" operator="equal">
      <formula>"seeker"</formula>
    </cfRule>
    <cfRule type="cellIs" dxfId="1372" priority="1376" operator="equal">
      <formula>"neutral"</formula>
    </cfRule>
    <cfRule type="cellIs" dxfId="1371" priority="1377" operator="equal">
      <formula>"rogue"</formula>
    </cfRule>
    <cfRule type="cellIs" dxfId="1370" priority="1378" operator="equal">
      <formula>"Guardian"</formula>
    </cfRule>
    <cfRule type="cellIs" dxfId="1369" priority="1379" operator="equal">
      <formula>"Survivor"</formula>
    </cfRule>
    <cfRule type="cellIs" dxfId="1368" priority="1380" operator="equal">
      <formula>"Mystic"</formula>
    </cfRule>
  </conditionalFormatting>
  <conditionalFormatting sqref="K1218">
    <cfRule type="cellIs" dxfId="1367" priority="1369" operator="equal">
      <formula>"seeker"</formula>
    </cfRule>
    <cfRule type="cellIs" dxfId="1366" priority="1370" operator="equal">
      <formula>"neutral"</formula>
    </cfRule>
    <cfRule type="cellIs" dxfId="1365" priority="1371" operator="equal">
      <formula>"rogue"</formula>
    </cfRule>
    <cfRule type="cellIs" dxfId="1364" priority="1372" operator="equal">
      <formula>"Guardian"</formula>
    </cfRule>
    <cfRule type="cellIs" dxfId="1363" priority="1373" operator="equal">
      <formula>"Survivor"</formula>
    </cfRule>
    <cfRule type="cellIs" dxfId="1362" priority="1374" operator="equal">
      <formula>"Mystic"</formula>
    </cfRule>
  </conditionalFormatting>
  <conditionalFormatting sqref="AL1218">
    <cfRule type="cellIs" dxfId="1361" priority="1363" operator="equal">
      <formula>"Seeker"</formula>
    </cfRule>
    <cfRule type="cellIs" dxfId="1360" priority="1364" operator="equal">
      <formula>"Neutral"</formula>
    </cfRule>
    <cfRule type="cellIs" dxfId="1359" priority="1365" operator="equal">
      <formula>"Rogue"</formula>
    </cfRule>
    <cfRule type="cellIs" dxfId="1358" priority="1366" operator="equal">
      <formula>"Guardian"</formula>
    </cfRule>
    <cfRule type="cellIs" dxfId="1357" priority="1367" operator="equal">
      <formula>"Survivor"</formula>
    </cfRule>
    <cfRule type="cellIs" dxfId="1356" priority="1368" operator="equal">
      <formula>"Mystic"</formula>
    </cfRule>
  </conditionalFormatting>
  <conditionalFormatting sqref="AM1196">
    <cfRule type="cellIs" dxfId="1355" priority="1357" operator="equal">
      <formula>"seeker"</formula>
    </cfRule>
    <cfRule type="cellIs" dxfId="1354" priority="1358" operator="equal">
      <formula>"neutral"</formula>
    </cfRule>
    <cfRule type="cellIs" dxfId="1353" priority="1359" operator="equal">
      <formula>"rogue"</formula>
    </cfRule>
    <cfRule type="cellIs" dxfId="1352" priority="1360" operator="equal">
      <formula>"Guardian"</formula>
    </cfRule>
    <cfRule type="cellIs" dxfId="1351" priority="1361" operator="equal">
      <formula>"Survivor"</formula>
    </cfRule>
    <cfRule type="cellIs" dxfId="1350" priority="1362" operator="equal">
      <formula>"Mystic"</formula>
    </cfRule>
  </conditionalFormatting>
  <conditionalFormatting sqref="K1221:K1232">
    <cfRule type="cellIs" dxfId="1349" priority="1351" operator="equal">
      <formula>"seeker"</formula>
    </cfRule>
    <cfRule type="cellIs" dxfId="1348" priority="1352" operator="equal">
      <formula>"neutral"</formula>
    </cfRule>
    <cfRule type="cellIs" dxfId="1347" priority="1353" operator="equal">
      <formula>"rogue"</formula>
    </cfRule>
    <cfRule type="cellIs" dxfId="1346" priority="1354" operator="equal">
      <formula>"Guardian"</formula>
    </cfRule>
    <cfRule type="cellIs" dxfId="1345" priority="1355" operator="equal">
      <formula>"Survivor"</formula>
    </cfRule>
    <cfRule type="cellIs" dxfId="1344" priority="1356" operator="equal">
      <formula>"Mystic"</formula>
    </cfRule>
  </conditionalFormatting>
  <conditionalFormatting sqref="AL1225:AL1231">
    <cfRule type="cellIs" dxfId="1343" priority="1345" operator="equal">
      <formula>"Seeker"</formula>
    </cfRule>
    <cfRule type="cellIs" dxfId="1342" priority="1346" operator="equal">
      <formula>"Neutral"</formula>
    </cfRule>
    <cfRule type="cellIs" dxfId="1341" priority="1347" operator="equal">
      <formula>"Rogue"</formula>
    </cfRule>
    <cfRule type="cellIs" dxfId="1340" priority="1348" operator="equal">
      <formula>"Guardian"</formula>
    </cfRule>
    <cfRule type="cellIs" dxfId="1339" priority="1349" operator="equal">
      <formula>"Survivor"</formula>
    </cfRule>
    <cfRule type="cellIs" dxfId="1338" priority="1350" operator="equal">
      <formula>"Mystic"</formula>
    </cfRule>
  </conditionalFormatting>
  <conditionalFormatting sqref="K1220">
    <cfRule type="cellIs" dxfId="1337" priority="1339" operator="equal">
      <formula>"Seeker"</formula>
    </cfRule>
    <cfRule type="cellIs" dxfId="1336" priority="1340" operator="equal">
      <formula>"Neutral"</formula>
    </cfRule>
    <cfRule type="cellIs" dxfId="1335" priority="1341" operator="equal">
      <formula>"Rogue"</formula>
    </cfRule>
    <cfRule type="cellIs" dxfId="1334" priority="1342" operator="equal">
      <formula>"Guardian"</formula>
    </cfRule>
    <cfRule type="cellIs" dxfId="1333" priority="1343" operator="equal">
      <formula>"Survivor"</formula>
    </cfRule>
    <cfRule type="cellIs" dxfId="1332" priority="1344" operator="equal">
      <formula>"Mystic"</formula>
    </cfRule>
  </conditionalFormatting>
  <conditionalFormatting sqref="AM1221:AM1224">
    <cfRule type="cellIs" dxfId="1331" priority="1333" operator="equal">
      <formula>"seeker"</formula>
    </cfRule>
    <cfRule type="cellIs" dxfId="1330" priority="1334" operator="equal">
      <formula>"neutral"</formula>
    </cfRule>
    <cfRule type="cellIs" dxfId="1329" priority="1335" operator="equal">
      <formula>"rogue"</formula>
    </cfRule>
    <cfRule type="cellIs" dxfId="1328" priority="1336" operator="equal">
      <formula>"Guardian"</formula>
    </cfRule>
    <cfRule type="cellIs" dxfId="1327" priority="1337" operator="equal">
      <formula>"Survivor"</formula>
    </cfRule>
    <cfRule type="cellIs" dxfId="1326" priority="1338" operator="equal">
      <formula>"Mystic"</formula>
    </cfRule>
  </conditionalFormatting>
  <conditionalFormatting sqref="AM1220">
    <cfRule type="cellIs" dxfId="1325" priority="1327" operator="equal">
      <formula>"Seeker"</formula>
    </cfRule>
    <cfRule type="cellIs" dxfId="1324" priority="1328" operator="equal">
      <formula>"Neutral"</formula>
    </cfRule>
    <cfRule type="cellIs" dxfId="1323" priority="1329" operator="equal">
      <formula>"Rogue"</formula>
    </cfRule>
    <cfRule type="cellIs" dxfId="1322" priority="1330" operator="equal">
      <formula>"Guardian"</formula>
    </cfRule>
    <cfRule type="cellIs" dxfId="1321" priority="1331" operator="equal">
      <formula>"Survivor"</formula>
    </cfRule>
    <cfRule type="cellIs" dxfId="1320" priority="1332" operator="equal">
      <formula>"Mystic"</formula>
    </cfRule>
  </conditionalFormatting>
  <conditionalFormatting sqref="AM1275:AM1292 K1275:K1292 K1234:K1247 AM1247 AM1253:AM1254 K1251:K1254 AM1265:AM1273 K1259:K1273 AM1258:AM1263">
    <cfRule type="cellIs" dxfId="1319" priority="1201" operator="equal">
      <formula>"seeker"</formula>
    </cfRule>
    <cfRule type="cellIs" dxfId="1318" priority="1202" operator="equal">
      <formula>"neutral"</formula>
    </cfRule>
    <cfRule type="cellIs" dxfId="1317" priority="1203" operator="equal">
      <formula>"rogue"</formula>
    </cfRule>
    <cfRule type="cellIs" dxfId="1316" priority="1204" operator="equal">
      <formula>"Guardian"</formula>
    </cfRule>
    <cfRule type="cellIs" dxfId="1315" priority="1205" operator="equal">
      <formula>"Survivor"</formula>
    </cfRule>
    <cfRule type="cellIs" dxfId="1314" priority="1206" operator="equal">
      <formula>"Mystic"</formula>
    </cfRule>
  </conditionalFormatting>
  <conditionalFormatting sqref="AL1238:AL1244">
    <cfRule type="cellIs" dxfId="1313" priority="1195" operator="equal">
      <formula>"Seeker"</formula>
    </cfRule>
    <cfRule type="cellIs" dxfId="1312" priority="1196" operator="equal">
      <formula>"Neutral"</formula>
    </cfRule>
    <cfRule type="cellIs" dxfId="1311" priority="1197" operator="equal">
      <formula>"Rogue"</formula>
    </cfRule>
    <cfRule type="cellIs" dxfId="1310" priority="1198" operator="equal">
      <formula>"Guardian"</formula>
    </cfRule>
    <cfRule type="cellIs" dxfId="1309" priority="1199" operator="equal">
      <formula>"Survivor"</formula>
    </cfRule>
    <cfRule type="cellIs" dxfId="1308" priority="1200" operator="equal">
      <formula>"Mystic"</formula>
    </cfRule>
  </conditionalFormatting>
  <conditionalFormatting sqref="AM1257">
    <cfRule type="cellIs" dxfId="1307" priority="1189" operator="equal">
      <formula>"seeker"</formula>
    </cfRule>
    <cfRule type="cellIs" dxfId="1306" priority="1190" operator="equal">
      <formula>"neutral"</formula>
    </cfRule>
    <cfRule type="cellIs" dxfId="1305" priority="1191" operator="equal">
      <formula>"rogue"</formula>
    </cfRule>
    <cfRule type="cellIs" dxfId="1304" priority="1192" operator="equal">
      <formula>"Guardian"</formula>
    </cfRule>
    <cfRule type="cellIs" dxfId="1303" priority="1193" operator="equal">
      <formula>"Survivor"</formula>
    </cfRule>
    <cfRule type="cellIs" dxfId="1302" priority="1194" operator="equal">
      <formula>"Mystic"</formula>
    </cfRule>
  </conditionalFormatting>
  <conditionalFormatting sqref="K1233">
    <cfRule type="cellIs" dxfId="1301" priority="1183" operator="equal">
      <formula>"Seeker"</formula>
    </cfRule>
    <cfRule type="cellIs" dxfId="1300" priority="1184" operator="equal">
      <formula>"Neutral"</formula>
    </cfRule>
    <cfRule type="cellIs" dxfId="1299" priority="1185" operator="equal">
      <formula>"Rogue"</formula>
    </cfRule>
    <cfRule type="cellIs" dxfId="1298" priority="1186" operator="equal">
      <formula>"Guardian"</formula>
    </cfRule>
    <cfRule type="cellIs" dxfId="1297" priority="1187" operator="equal">
      <formula>"Survivor"</formula>
    </cfRule>
    <cfRule type="cellIs" dxfId="1296" priority="1188" operator="equal">
      <formula>"Mystic"</formula>
    </cfRule>
  </conditionalFormatting>
  <conditionalFormatting sqref="AM1234:AM1237">
    <cfRule type="cellIs" dxfId="1295" priority="1177" operator="equal">
      <formula>"seeker"</formula>
    </cfRule>
    <cfRule type="cellIs" dxfId="1294" priority="1178" operator="equal">
      <formula>"neutral"</formula>
    </cfRule>
    <cfRule type="cellIs" dxfId="1293" priority="1179" operator="equal">
      <formula>"rogue"</formula>
    </cfRule>
    <cfRule type="cellIs" dxfId="1292" priority="1180" operator="equal">
      <formula>"Guardian"</formula>
    </cfRule>
    <cfRule type="cellIs" dxfId="1291" priority="1181" operator="equal">
      <formula>"Survivor"</formula>
    </cfRule>
    <cfRule type="cellIs" dxfId="1290" priority="1182" operator="equal">
      <formula>"Mystic"</formula>
    </cfRule>
  </conditionalFormatting>
  <conditionalFormatting sqref="AM1233">
    <cfRule type="cellIs" dxfId="1289" priority="1171" operator="equal">
      <formula>"Seeker"</formula>
    </cfRule>
    <cfRule type="cellIs" dxfId="1288" priority="1172" operator="equal">
      <formula>"Neutral"</formula>
    </cfRule>
    <cfRule type="cellIs" dxfId="1287" priority="1173" operator="equal">
      <formula>"Rogue"</formula>
    </cfRule>
    <cfRule type="cellIs" dxfId="1286" priority="1174" operator="equal">
      <formula>"Guardian"</formula>
    </cfRule>
    <cfRule type="cellIs" dxfId="1285" priority="1175" operator="equal">
      <formula>"Survivor"</formula>
    </cfRule>
    <cfRule type="cellIs" dxfId="1284" priority="1176" operator="equal">
      <formula>"Mystic"</formula>
    </cfRule>
  </conditionalFormatting>
  <conditionalFormatting sqref="K1248">
    <cfRule type="cellIs" dxfId="1283" priority="1165" operator="equal">
      <formula>"Seeker"</formula>
    </cfRule>
    <cfRule type="cellIs" dxfId="1282" priority="1166" operator="equal">
      <formula>"Neutral"</formula>
    </cfRule>
    <cfRule type="cellIs" dxfId="1281" priority="1167" operator="equal">
      <formula>"Rogue"</formula>
    </cfRule>
    <cfRule type="cellIs" dxfId="1280" priority="1168" operator="equal">
      <formula>"Guardian"</formula>
    </cfRule>
    <cfRule type="cellIs" dxfId="1279" priority="1169" operator="equal">
      <formula>"Survivor"</formula>
    </cfRule>
    <cfRule type="cellIs" dxfId="1278" priority="1170" operator="equal">
      <formula>"Mystic"</formula>
    </cfRule>
  </conditionalFormatting>
  <conditionalFormatting sqref="AM1248">
    <cfRule type="cellIs" dxfId="1277" priority="1159" operator="equal">
      <formula>"Seeker"</formula>
    </cfRule>
    <cfRule type="cellIs" dxfId="1276" priority="1160" operator="equal">
      <formula>"Neutral"</formula>
    </cfRule>
    <cfRule type="cellIs" dxfId="1275" priority="1161" operator="equal">
      <formula>"Rogue"</formula>
    </cfRule>
    <cfRule type="cellIs" dxfId="1274" priority="1162" operator="equal">
      <formula>"Guardian"</formula>
    </cfRule>
    <cfRule type="cellIs" dxfId="1273" priority="1163" operator="equal">
      <formula>"Survivor"</formula>
    </cfRule>
    <cfRule type="cellIs" dxfId="1272" priority="1164" operator="equal">
      <formula>"Mystic"</formula>
    </cfRule>
  </conditionalFormatting>
  <conditionalFormatting sqref="K1249">
    <cfRule type="cellIs" dxfId="1271" priority="1153" operator="equal">
      <formula>"Seeker"</formula>
    </cfRule>
    <cfRule type="cellIs" dxfId="1270" priority="1154" operator="equal">
      <formula>"Neutral"</formula>
    </cfRule>
    <cfRule type="cellIs" dxfId="1269" priority="1155" operator="equal">
      <formula>"Rogue"</formula>
    </cfRule>
    <cfRule type="cellIs" dxfId="1268" priority="1156" operator="equal">
      <formula>"Guardian"</formula>
    </cfRule>
    <cfRule type="cellIs" dxfId="1267" priority="1157" operator="equal">
      <formula>"Survivor"</formula>
    </cfRule>
    <cfRule type="cellIs" dxfId="1266" priority="1158" operator="equal">
      <formula>"Mystic"</formula>
    </cfRule>
  </conditionalFormatting>
  <conditionalFormatting sqref="K1250">
    <cfRule type="cellIs" dxfId="1265" priority="1147" operator="equal">
      <formula>"Seeker"</formula>
    </cfRule>
    <cfRule type="cellIs" dxfId="1264" priority="1148" operator="equal">
      <formula>"Neutral"</formula>
    </cfRule>
    <cfRule type="cellIs" dxfId="1263" priority="1149" operator="equal">
      <formula>"Rogue"</formula>
    </cfRule>
    <cfRule type="cellIs" dxfId="1262" priority="1150" operator="equal">
      <formula>"Guardian"</formula>
    </cfRule>
    <cfRule type="cellIs" dxfId="1261" priority="1151" operator="equal">
      <formula>"Survivor"</formula>
    </cfRule>
    <cfRule type="cellIs" dxfId="1260" priority="1152" operator="equal">
      <formula>"Mystic"</formula>
    </cfRule>
  </conditionalFormatting>
  <conditionalFormatting sqref="K1255">
    <cfRule type="cellIs" dxfId="1259" priority="1141" operator="equal">
      <formula>"seeker"</formula>
    </cfRule>
    <cfRule type="cellIs" dxfId="1258" priority="1142" operator="equal">
      <formula>"neutral"</formula>
    </cfRule>
    <cfRule type="cellIs" dxfId="1257" priority="1143" operator="equal">
      <formula>"rogue"</formula>
    </cfRule>
    <cfRule type="cellIs" dxfId="1256" priority="1144" operator="equal">
      <formula>"Guardian"</formula>
    </cfRule>
    <cfRule type="cellIs" dxfId="1255" priority="1145" operator="equal">
      <formula>"Survivor"</formula>
    </cfRule>
    <cfRule type="cellIs" dxfId="1254" priority="1146" operator="equal">
      <formula>"Mystic"</formula>
    </cfRule>
  </conditionalFormatting>
  <conditionalFormatting sqref="AM1255">
    <cfRule type="cellIs" dxfId="1253" priority="1135" operator="equal">
      <formula>"seeker"</formula>
    </cfRule>
    <cfRule type="cellIs" dxfId="1252" priority="1136" operator="equal">
      <formula>"neutral"</formula>
    </cfRule>
    <cfRule type="cellIs" dxfId="1251" priority="1137" operator="equal">
      <formula>"rogue"</formula>
    </cfRule>
    <cfRule type="cellIs" dxfId="1250" priority="1138" operator="equal">
      <formula>"Guardian"</formula>
    </cfRule>
    <cfRule type="cellIs" dxfId="1249" priority="1139" operator="equal">
      <formula>"Survivor"</formula>
    </cfRule>
    <cfRule type="cellIs" dxfId="1248" priority="1140" operator="equal">
      <formula>"Mystic"</formula>
    </cfRule>
  </conditionalFormatting>
  <conditionalFormatting sqref="K1256">
    <cfRule type="cellIs" dxfId="1247" priority="1129" operator="equal">
      <formula>"seeker"</formula>
    </cfRule>
    <cfRule type="cellIs" dxfId="1246" priority="1130" operator="equal">
      <formula>"neutral"</formula>
    </cfRule>
    <cfRule type="cellIs" dxfId="1245" priority="1131" operator="equal">
      <formula>"rogue"</formula>
    </cfRule>
    <cfRule type="cellIs" dxfId="1244" priority="1132" operator="equal">
      <formula>"Guardian"</formula>
    </cfRule>
    <cfRule type="cellIs" dxfId="1243" priority="1133" operator="equal">
      <formula>"Survivor"</formula>
    </cfRule>
    <cfRule type="cellIs" dxfId="1242" priority="1134" operator="equal">
      <formula>"Mystic"</formula>
    </cfRule>
  </conditionalFormatting>
  <conditionalFormatting sqref="AM1256">
    <cfRule type="cellIs" dxfId="1241" priority="1123" operator="equal">
      <formula>"seeker"</formula>
    </cfRule>
    <cfRule type="cellIs" dxfId="1240" priority="1124" operator="equal">
      <formula>"neutral"</formula>
    </cfRule>
    <cfRule type="cellIs" dxfId="1239" priority="1125" operator="equal">
      <formula>"rogue"</formula>
    </cfRule>
    <cfRule type="cellIs" dxfId="1238" priority="1126" operator="equal">
      <formula>"Guardian"</formula>
    </cfRule>
    <cfRule type="cellIs" dxfId="1237" priority="1127" operator="equal">
      <formula>"Survivor"</formula>
    </cfRule>
    <cfRule type="cellIs" dxfId="1236" priority="1128" operator="equal">
      <formula>"Mystic"</formula>
    </cfRule>
  </conditionalFormatting>
  <conditionalFormatting sqref="K1257">
    <cfRule type="cellIs" dxfId="1235" priority="1117" operator="equal">
      <formula>"seeker"</formula>
    </cfRule>
    <cfRule type="cellIs" dxfId="1234" priority="1118" operator="equal">
      <formula>"neutral"</formula>
    </cfRule>
    <cfRule type="cellIs" dxfId="1233" priority="1119" operator="equal">
      <formula>"rogue"</formula>
    </cfRule>
    <cfRule type="cellIs" dxfId="1232" priority="1120" operator="equal">
      <formula>"Guardian"</formula>
    </cfRule>
    <cfRule type="cellIs" dxfId="1231" priority="1121" operator="equal">
      <formula>"Survivor"</formula>
    </cfRule>
    <cfRule type="cellIs" dxfId="1230" priority="1122" operator="equal">
      <formula>"Mystic"</formula>
    </cfRule>
  </conditionalFormatting>
  <conditionalFormatting sqref="K1258">
    <cfRule type="cellIs" dxfId="1229" priority="1111" operator="equal">
      <formula>"seeker"</formula>
    </cfRule>
    <cfRule type="cellIs" dxfId="1228" priority="1112" operator="equal">
      <formula>"neutral"</formula>
    </cfRule>
    <cfRule type="cellIs" dxfId="1227" priority="1113" operator="equal">
      <formula>"rogue"</formula>
    </cfRule>
    <cfRule type="cellIs" dxfId="1226" priority="1114" operator="equal">
      <formula>"Guardian"</formula>
    </cfRule>
    <cfRule type="cellIs" dxfId="1225" priority="1115" operator="equal">
      <formula>"Survivor"</formula>
    </cfRule>
    <cfRule type="cellIs" dxfId="1224" priority="1116" operator="equal">
      <formula>"Mystic"</formula>
    </cfRule>
  </conditionalFormatting>
  <conditionalFormatting sqref="AM1264">
    <cfRule type="cellIs" dxfId="1223" priority="1105" operator="equal">
      <formula>"seeker"</formula>
    </cfRule>
    <cfRule type="cellIs" dxfId="1222" priority="1106" operator="equal">
      <formula>"neutral"</formula>
    </cfRule>
    <cfRule type="cellIs" dxfId="1221" priority="1107" operator="equal">
      <formula>"rogue"</formula>
    </cfRule>
    <cfRule type="cellIs" dxfId="1220" priority="1108" operator="equal">
      <formula>"Guardian"</formula>
    </cfRule>
    <cfRule type="cellIs" dxfId="1219" priority="1109" operator="equal">
      <formula>"Survivor"</formula>
    </cfRule>
    <cfRule type="cellIs" dxfId="1218" priority="1110" operator="equal">
      <formula>"Mystic"</formula>
    </cfRule>
  </conditionalFormatting>
  <conditionalFormatting sqref="K1274">
    <cfRule type="cellIs" dxfId="1217" priority="1099" operator="equal">
      <formula>"seeker"</formula>
    </cfRule>
    <cfRule type="cellIs" dxfId="1216" priority="1100" operator="equal">
      <formula>"neutral"</formula>
    </cfRule>
    <cfRule type="cellIs" dxfId="1215" priority="1101" operator="equal">
      <formula>"rogue"</formula>
    </cfRule>
    <cfRule type="cellIs" dxfId="1214" priority="1102" operator="equal">
      <formula>"Guardian"</formula>
    </cfRule>
    <cfRule type="cellIs" dxfId="1213" priority="1103" operator="equal">
      <formula>"Survivor"</formula>
    </cfRule>
    <cfRule type="cellIs" dxfId="1212" priority="1104" operator="equal">
      <formula>"Mystic"</formula>
    </cfRule>
  </conditionalFormatting>
  <conditionalFormatting sqref="AL1274">
    <cfRule type="cellIs" dxfId="1211" priority="1093" operator="equal">
      <formula>"Seeker"</formula>
    </cfRule>
    <cfRule type="cellIs" dxfId="1210" priority="1094" operator="equal">
      <formula>"Neutral"</formula>
    </cfRule>
    <cfRule type="cellIs" dxfId="1209" priority="1095" operator="equal">
      <formula>"Rogue"</formula>
    </cfRule>
    <cfRule type="cellIs" dxfId="1208" priority="1096" operator="equal">
      <formula>"Guardian"</formula>
    </cfRule>
    <cfRule type="cellIs" dxfId="1207" priority="1097" operator="equal">
      <formula>"Survivor"</formula>
    </cfRule>
    <cfRule type="cellIs" dxfId="1206" priority="1098" operator="equal">
      <formula>"Mystic"</formula>
    </cfRule>
  </conditionalFormatting>
  <conditionalFormatting sqref="AM1252">
    <cfRule type="cellIs" dxfId="1205" priority="1087" operator="equal">
      <formula>"seeker"</formula>
    </cfRule>
    <cfRule type="cellIs" dxfId="1204" priority="1088" operator="equal">
      <formula>"neutral"</formula>
    </cfRule>
    <cfRule type="cellIs" dxfId="1203" priority="1089" operator="equal">
      <formula>"rogue"</formula>
    </cfRule>
    <cfRule type="cellIs" dxfId="1202" priority="1090" operator="equal">
      <formula>"Guardian"</formula>
    </cfRule>
    <cfRule type="cellIs" dxfId="1201" priority="1091" operator="equal">
      <formula>"Survivor"</formula>
    </cfRule>
    <cfRule type="cellIs" dxfId="1200" priority="1092" operator="equal">
      <formula>"Mystic"</formula>
    </cfRule>
  </conditionalFormatting>
  <conditionalFormatting sqref="K1294:K1307 AM1307 AM1313:AM1314 K1311:K1314 AM1325:AM1331 K1319:K1331 AM1318:AM1323">
    <cfRule type="cellIs" dxfId="1199" priority="1081" operator="equal">
      <formula>"seeker"</formula>
    </cfRule>
    <cfRule type="cellIs" dxfId="1198" priority="1082" operator="equal">
      <formula>"neutral"</formula>
    </cfRule>
    <cfRule type="cellIs" dxfId="1197" priority="1083" operator="equal">
      <formula>"rogue"</formula>
    </cfRule>
    <cfRule type="cellIs" dxfId="1196" priority="1084" operator="equal">
      <formula>"Guardian"</formula>
    </cfRule>
    <cfRule type="cellIs" dxfId="1195" priority="1085" operator="equal">
      <formula>"Survivor"</formula>
    </cfRule>
    <cfRule type="cellIs" dxfId="1194" priority="1086" operator="equal">
      <formula>"Mystic"</formula>
    </cfRule>
  </conditionalFormatting>
  <conditionalFormatting sqref="AL1298:AL1304">
    <cfRule type="cellIs" dxfId="1193" priority="1075" operator="equal">
      <formula>"Seeker"</formula>
    </cfRule>
    <cfRule type="cellIs" dxfId="1192" priority="1076" operator="equal">
      <formula>"Neutral"</formula>
    </cfRule>
    <cfRule type="cellIs" dxfId="1191" priority="1077" operator="equal">
      <formula>"Rogue"</formula>
    </cfRule>
    <cfRule type="cellIs" dxfId="1190" priority="1078" operator="equal">
      <formula>"Guardian"</formula>
    </cfRule>
    <cfRule type="cellIs" dxfId="1189" priority="1079" operator="equal">
      <formula>"Survivor"</formula>
    </cfRule>
    <cfRule type="cellIs" dxfId="1188" priority="1080" operator="equal">
      <formula>"Mystic"</formula>
    </cfRule>
  </conditionalFormatting>
  <conditionalFormatting sqref="AM1317">
    <cfRule type="cellIs" dxfId="1187" priority="1069" operator="equal">
      <formula>"seeker"</formula>
    </cfRule>
    <cfRule type="cellIs" dxfId="1186" priority="1070" operator="equal">
      <formula>"neutral"</formula>
    </cfRule>
    <cfRule type="cellIs" dxfId="1185" priority="1071" operator="equal">
      <formula>"rogue"</formula>
    </cfRule>
    <cfRule type="cellIs" dxfId="1184" priority="1072" operator="equal">
      <formula>"Guardian"</formula>
    </cfRule>
    <cfRule type="cellIs" dxfId="1183" priority="1073" operator="equal">
      <formula>"Survivor"</formula>
    </cfRule>
    <cfRule type="cellIs" dxfId="1182" priority="1074" operator="equal">
      <formula>"Mystic"</formula>
    </cfRule>
  </conditionalFormatting>
  <conditionalFormatting sqref="K1293">
    <cfRule type="cellIs" dxfId="1181" priority="1063" operator="equal">
      <formula>"Seeker"</formula>
    </cfRule>
    <cfRule type="cellIs" dxfId="1180" priority="1064" operator="equal">
      <formula>"Neutral"</formula>
    </cfRule>
    <cfRule type="cellIs" dxfId="1179" priority="1065" operator="equal">
      <formula>"Rogue"</formula>
    </cfRule>
    <cfRule type="cellIs" dxfId="1178" priority="1066" operator="equal">
      <formula>"Guardian"</formula>
    </cfRule>
    <cfRule type="cellIs" dxfId="1177" priority="1067" operator="equal">
      <formula>"Survivor"</formula>
    </cfRule>
    <cfRule type="cellIs" dxfId="1176" priority="1068" operator="equal">
      <formula>"Mystic"</formula>
    </cfRule>
  </conditionalFormatting>
  <conditionalFormatting sqref="AM1294:AM1297">
    <cfRule type="cellIs" dxfId="1175" priority="1057" operator="equal">
      <formula>"seeker"</formula>
    </cfRule>
    <cfRule type="cellIs" dxfId="1174" priority="1058" operator="equal">
      <formula>"neutral"</formula>
    </cfRule>
    <cfRule type="cellIs" dxfId="1173" priority="1059" operator="equal">
      <formula>"rogue"</formula>
    </cfRule>
    <cfRule type="cellIs" dxfId="1172" priority="1060" operator="equal">
      <formula>"Guardian"</formula>
    </cfRule>
    <cfRule type="cellIs" dxfId="1171" priority="1061" operator="equal">
      <formula>"Survivor"</formula>
    </cfRule>
    <cfRule type="cellIs" dxfId="1170" priority="1062" operator="equal">
      <formula>"Mystic"</formula>
    </cfRule>
  </conditionalFormatting>
  <conditionalFormatting sqref="AM1293">
    <cfRule type="cellIs" dxfId="1169" priority="1051" operator="equal">
      <formula>"Seeker"</formula>
    </cfRule>
    <cfRule type="cellIs" dxfId="1168" priority="1052" operator="equal">
      <formula>"Neutral"</formula>
    </cfRule>
    <cfRule type="cellIs" dxfId="1167" priority="1053" operator="equal">
      <formula>"Rogue"</formula>
    </cfRule>
    <cfRule type="cellIs" dxfId="1166" priority="1054" operator="equal">
      <formula>"Guardian"</formula>
    </cfRule>
    <cfRule type="cellIs" dxfId="1165" priority="1055" operator="equal">
      <formula>"Survivor"</formula>
    </cfRule>
    <cfRule type="cellIs" dxfId="1164" priority="1056" operator="equal">
      <formula>"Mystic"</formula>
    </cfRule>
  </conditionalFormatting>
  <conditionalFormatting sqref="K1308">
    <cfRule type="cellIs" dxfId="1163" priority="1045" operator="equal">
      <formula>"Seeker"</formula>
    </cfRule>
    <cfRule type="cellIs" dxfId="1162" priority="1046" operator="equal">
      <formula>"Neutral"</formula>
    </cfRule>
    <cfRule type="cellIs" dxfId="1161" priority="1047" operator="equal">
      <formula>"Rogue"</formula>
    </cfRule>
    <cfRule type="cellIs" dxfId="1160" priority="1048" operator="equal">
      <formula>"Guardian"</formula>
    </cfRule>
    <cfRule type="cellIs" dxfId="1159" priority="1049" operator="equal">
      <formula>"Survivor"</formula>
    </cfRule>
    <cfRule type="cellIs" dxfId="1158" priority="1050" operator="equal">
      <formula>"Mystic"</formula>
    </cfRule>
  </conditionalFormatting>
  <conditionalFormatting sqref="AM1308">
    <cfRule type="cellIs" dxfId="1157" priority="1039" operator="equal">
      <formula>"Seeker"</formula>
    </cfRule>
    <cfRule type="cellIs" dxfId="1156" priority="1040" operator="equal">
      <formula>"Neutral"</formula>
    </cfRule>
    <cfRule type="cellIs" dxfId="1155" priority="1041" operator="equal">
      <formula>"Rogue"</formula>
    </cfRule>
    <cfRule type="cellIs" dxfId="1154" priority="1042" operator="equal">
      <formula>"Guardian"</formula>
    </cfRule>
    <cfRule type="cellIs" dxfId="1153" priority="1043" operator="equal">
      <formula>"Survivor"</formula>
    </cfRule>
    <cfRule type="cellIs" dxfId="1152" priority="1044" operator="equal">
      <formula>"Mystic"</formula>
    </cfRule>
  </conditionalFormatting>
  <conditionalFormatting sqref="K1309">
    <cfRule type="cellIs" dxfId="1151" priority="1033" operator="equal">
      <formula>"Seeker"</formula>
    </cfRule>
    <cfRule type="cellIs" dxfId="1150" priority="1034" operator="equal">
      <formula>"Neutral"</formula>
    </cfRule>
    <cfRule type="cellIs" dxfId="1149" priority="1035" operator="equal">
      <formula>"Rogue"</formula>
    </cfRule>
    <cfRule type="cellIs" dxfId="1148" priority="1036" operator="equal">
      <formula>"Guardian"</formula>
    </cfRule>
    <cfRule type="cellIs" dxfId="1147" priority="1037" operator="equal">
      <formula>"Survivor"</formula>
    </cfRule>
    <cfRule type="cellIs" dxfId="1146" priority="1038" operator="equal">
      <formula>"Mystic"</formula>
    </cfRule>
  </conditionalFormatting>
  <conditionalFormatting sqref="K1310">
    <cfRule type="cellIs" dxfId="1145" priority="1027" operator="equal">
      <formula>"Seeker"</formula>
    </cfRule>
    <cfRule type="cellIs" dxfId="1144" priority="1028" operator="equal">
      <formula>"Neutral"</formula>
    </cfRule>
    <cfRule type="cellIs" dxfId="1143" priority="1029" operator="equal">
      <formula>"Rogue"</formula>
    </cfRule>
    <cfRule type="cellIs" dxfId="1142" priority="1030" operator="equal">
      <formula>"Guardian"</formula>
    </cfRule>
    <cfRule type="cellIs" dxfId="1141" priority="1031" operator="equal">
      <formula>"Survivor"</formula>
    </cfRule>
    <cfRule type="cellIs" dxfId="1140" priority="1032" operator="equal">
      <formula>"Mystic"</formula>
    </cfRule>
  </conditionalFormatting>
  <conditionalFormatting sqref="K1315">
    <cfRule type="cellIs" dxfId="1139" priority="1021" operator="equal">
      <formula>"seeker"</formula>
    </cfRule>
    <cfRule type="cellIs" dxfId="1138" priority="1022" operator="equal">
      <formula>"neutral"</formula>
    </cfRule>
    <cfRule type="cellIs" dxfId="1137" priority="1023" operator="equal">
      <formula>"rogue"</formula>
    </cfRule>
    <cfRule type="cellIs" dxfId="1136" priority="1024" operator="equal">
      <formula>"Guardian"</formula>
    </cfRule>
    <cfRule type="cellIs" dxfId="1135" priority="1025" operator="equal">
      <formula>"Survivor"</formula>
    </cfRule>
    <cfRule type="cellIs" dxfId="1134" priority="1026" operator="equal">
      <formula>"Mystic"</formula>
    </cfRule>
  </conditionalFormatting>
  <conditionalFormatting sqref="AM1315">
    <cfRule type="cellIs" dxfId="1133" priority="1015" operator="equal">
      <formula>"seeker"</formula>
    </cfRule>
    <cfRule type="cellIs" dxfId="1132" priority="1016" operator="equal">
      <formula>"neutral"</formula>
    </cfRule>
    <cfRule type="cellIs" dxfId="1131" priority="1017" operator="equal">
      <formula>"rogue"</formula>
    </cfRule>
    <cfRule type="cellIs" dxfId="1130" priority="1018" operator="equal">
      <formula>"Guardian"</formula>
    </cfRule>
    <cfRule type="cellIs" dxfId="1129" priority="1019" operator="equal">
      <formula>"Survivor"</formula>
    </cfRule>
    <cfRule type="cellIs" dxfId="1128" priority="1020" operator="equal">
      <formula>"Mystic"</formula>
    </cfRule>
  </conditionalFormatting>
  <conditionalFormatting sqref="K1316">
    <cfRule type="cellIs" dxfId="1127" priority="1009" operator="equal">
      <formula>"seeker"</formula>
    </cfRule>
    <cfRule type="cellIs" dxfId="1126" priority="1010" operator="equal">
      <formula>"neutral"</formula>
    </cfRule>
    <cfRule type="cellIs" dxfId="1125" priority="1011" operator="equal">
      <formula>"rogue"</formula>
    </cfRule>
    <cfRule type="cellIs" dxfId="1124" priority="1012" operator="equal">
      <formula>"Guardian"</formula>
    </cfRule>
    <cfRule type="cellIs" dxfId="1123" priority="1013" operator="equal">
      <formula>"Survivor"</formula>
    </cfRule>
    <cfRule type="cellIs" dxfId="1122" priority="1014" operator="equal">
      <formula>"Mystic"</formula>
    </cfRule>
  </conditionalFormatting>
  <conditionalFormatting sqref="AM1316">
    <cfRule type="cellIs" dxfId="1121" priority="1003" operator="equal">
      <formula>"seeker"</formula>
    </cfRule>
    <cfRule type="cellIs" dxfId="1120" priority="1004" operator="equal">
      <formula>"neutral"</formula>
    </cfRule>
    <cfRule type="cellIs" dxfId="1119" priority="1005" operator="equal">
      <formula>"rogue"</formula>
    </cfRule>
    <cfRule type="cellIs" dxfId="1118" priority="1006" operator="equal">
      <formula>"Guardian"</formula>
    </cfRule>
    <cfRule type="cellIs" dxfId="1117" priority="1007" operator="equal">
      <formula>"Survivor"</formula>
    </cfRule>
    <cfRule type="cellIs" dxfId="1116" priority="1008" operator="equal">
      <formula>"Mystic"</formula>
    </cfRule>
  </conditionalFormatting>
  <conditionalFormatting sqref="K1317">
    <cfRule type="cellIs" dxfId="1115" priority="997" operator="equal">
      <formula>"seeker"</formula>
    </cfRule>
    <cfRule type="cellIs" dxfId="1114" priority="998" operator="equal">
      <formula>"neutral"</formula>
    </cfRule>
    <cfRule type="cellIs" dxfId="1113" priority="999" operator="equal">
      <formula>"rogue"</formula>
    </cfRule>
    <cfRule type="cellIs" dxfId="1112" priority="1000" operator="equal">
      <formula>"Guardian"</formula>
    </cfRule>
    <cfRule type="cellIs" dxfId="1111" priority="1001" operator="equal">
      <formula>"Survivor"</formula>
    </cfRule>
    <cfRule type="cellIs" dxfId="1110" priority="1002" operator="equal">
      <formula>"Mystic"</formula>
    </cfRule>
  </conditionalFormatting>
  <conditionalFormatting sqref="K1318">
    <cfRule type="cellIs" dxfId="1109" priority="991" operator="equal">
      <formula>"seeker"</formula>
    </cfRule>
    <cfRule type="cellIs" dxfId="1108" priority="992" operator="equal">
      <formula>"neutral"</formula>
    </cfRule>
    <cfRule type="cellIs" dxfId="1107" priority="993" operator="equal">
      <formula>"rogue"</formula>
    </cfRule>
    <cfRule type="cellIs" dxfId="1106" priority="994" operator="equal">
      <formula>"Guardian"</formula>
    </cfRule>
    <cfRule type="cellIs" dxfId="1105" priority="995" operator="equal">
      <formula>"Survivor"</formula>
    </cfRule>
    <cfRule type="cellIs" dxfId="1104" priority="996" operator="equal">
      <formula>"Mystic"</formula>
    </cfRule>
  </conditionalFormatting>
  <conditionalFormatting sqref="AM1324">
    <cfRule type="cellIs" dxfId="1103" priority="985" operator="equal">
      <formula>"seeker"</formula>
    </cfRule>
    <cfRule type="cellIs" dxfId="1102" priority="986" operator="equal">
      <formula>"neutral"</formula>
    </cfRule>
    <cfRule type="cellIs" dxfId="1101" priority="987" operator="equal">
      <formula>"rogue"</formula>
    </cfRule>
    <cfRule type="cellIs" dxfId="1100" priority="988" operator="equal">
      <formula>"Guardian"</formula>
    </cfRule>
    <cfRule type="cellIs" dxfId="1099" priority="989" operator="equal">
      <formula>"Survivor"</formula>
    </cfRule>
    <cfRule type="cellIs" dxfId="1098" priority="990" operator="equal">
      <formula>"Mystic"</formula>
    </cfRule>
  </conditionalFormatting>
  <conditionalFormatting sqref="AM1312">
    <cfRule type="cellIs" dxfId="1097" priority="979" operator="equal">
      <formula>"seeker"</formula>
    </cfRule>
    <cfRule type="cellIs" dxfId="1096" priority="980" operator="equal">
      <formula>"neutral"</formula>
    </cfRule>
    <cfRule type="cellIs" dxfId="1095" priority="981" operator="equal">
      <formula>"rogue"</formula>
    </cfRule>
    <cfRule type="cellIs" dxfId="1094" priority="982" operator="equal">
      <formula>"Guardian"</formula>
    </cfRule>
    <cfRule type="cellIs" dxfId="1093" priority="983" operator="equal">
      <formula>"Survivor"</formula>
    </cfRule>
    <cfRule type="cellIs" dxfId="1092" priority="984" operator="equal">
      <formula>"Mystic"</formula>
    </cfRule>
  </conditionalFormatting>
  <conditionalFormatting sqref="AM1374:AM1421 K1374:K1421 AM1432:AM1436 K1333:K1346 AM1346 AM1352:AM1353 K1350:K1353 AM1364:AM1372 K1358:K1372 AM1357:AM1362">
    <cfRule type="cellIs" dxfId="1091" priority="775" operator="equal">
      <formula>"seeker"</formula>
    </cfRule>
    <cfRule type="cellIs" dxfId="1090" priority="776" operator="equal">
      <formula>"neutral"</formula>
    </cfRule>
    <cfRule type="cellIs" dxfId="1089" priority="777" operator="equal">
      <formula>"rogue"</formula>
    </cfRule>
    <cfRule type="cellIs" dxfId="1088" priority="778" operator="equal">
      <formula>"Guardian"</formula>
    </cfRule>
    <cfRule type="cellIs" dxfId="1087" priority="779" operator="equal">
      <formula>"Survivor"</formula>
    </cfRule>
    <cfRule type="cellIs" dxfId="1086" priority="780" operator="equal">
      <formula>"Mystic"</formula>
    </cfRule>
  </conditionalFormatting>
  <conditionalFormatting sqref="AL1337:AL1343">
    <cfRule type="cellIs" dxfId="1085" priority="769" operator="equal">
      <formula>"Seeker"</formula>
    </cfRule>
    <cfRule type="cellIs" dxfId="1084" priority="770" operator="equal">
      <formula>"Neutral"</formula>
    </cfRule>
    <cfRule type="cellIs" dxfId="1083" priority="771" operator="equal">
      <formula>"Rogue"</formula>
    </cfRule>
    <cfRule type="cellIs" dxfId="1082" priority="772" operator="equal">
      <formula>"Guardian"</formula>
    </cfRule>
    <cfRule type="cellIs" dxfId="1081" priority="773" operator="equal">
      <formula>"Survivor"</formula>
    </cfRule>
    <cfRule type="cellIs" dxfId="1080" priority="774" operator="equal">
      <formula>"Mystic"</formula>
    </cfRule>
  </conditionalFormatting>
  <conditionalFormatting sqref="AM1356">
    <cfRule type="cellIs" dxfId="1079" priority="763" operator="equal">
      <formula>"seeker"</formula>
    </cfRule>
    <cfRule type="cellIs" dxfId="1078" priority="764" operator="equal">
      <formula>"neutral"</formula>
    </cfRule>
    <cfRule type="cellIs" dxfId="1077" priority="765" operator="equal">
      <formula>"rogue"</formula>
    </cfRule>
    <cfRule type="cellIs" dxfId="1076" priority="766" operator="equal">
      <formula>"Guardian"</formula>
    </cfRule>
    <cfRule type="cellIs" dxfId="1075" priority="767" operator="equal">
      <formula>"Survivor"</formula>
    </cfRule>
    <cfRule type="cellIs" dxfId="1074" priority="768" operator="equal">
      <formula>"Mystic"</formula>
    </cfRule>
  </conditionalFormatting>
  <conditionalFormatting sqref="K1332">
    <cfRule type="cellIs" dxfId="1073" priority="757" operator="equal">
      <formula>"Seeker"</formula>
    </cfRule>
    <cfRule type="cellIs" dxfId="1072" priority="758" operator="equal">
      <formula>"Neutral"</formula>
    </cfRule>
    <cfRule type="cellIs" dxfId="1071" priority="759" operator="equal">
      <formula>"Rogue"</formula>
    </cfRule>
    <cfRule type="cellIs" dxfId="1070" priority="760" operator="equal">
      <formula>"Guardian"</formula>
    </cfRule>
    <cfRule type="cellIs" dxfId="1069" priority="761" operator="equal">
      <formula>"Survivor"</formula>
    </cfRule>
    <cfRule type="cellIs" dxfId="1068" priority="762" operator="equal">
      <formula>"Mystic"</formula>
    </cfRule>
  </conditionalFormatting>
  <conditionalFormatting sqref="AM1333:AM1336">
    <cfRule type="cellIs" dxfId="1067" priority="751" operator="equal">
      <formula>"seeker"</formula>
    </cfRule>
    <cfRule type="cellIs" dxfId="1066" priority="752" operator="equal">
      <formula>"neutral"</formula>
    </cfRule>
    <cfRule type="cellIs" dxfId="1065" priority="753" operator="equal">
      <formula>"rogue"</formula>
    </cfRule>
    <cfRule type="cellIs" dxfId="1064" priority="754" operator="equal">
      <formula>"Guardian"</formula>
    </cfRule>
    <cfRule type="cellIs" dxfId="1063" priority="755" operator="equal">
      <formula>"Survivor"</formula>
    </cfRule>
    <cfRule type="cellIs" dxfId="1062" priority="756" operator="equal">
      <formula>"Mystic"</formula>
    </cfRule>
  </conditionalFormatting>
  <conditionalFormatting sqref="AM1332">
    <cfRule type="cellIs" dxfId="1061" priority="745" operator="equal">
      <formula>"Seeker"</formula>
    </cfRule>
    <cfRule type="cellIs" dxfId="1060" priority="746" operator="equal">
      <formula>"Neutral"</formula>
    </cfRule>
    <cfRule type="cellIs" dxfId="1059" priority="747" operator="equal">
      <formula>"Rogue"</formula>
    </cfRule>
    <cfRule type="cellIs" dxfId="1058" priority="748" operator="equal">
      <formula>"Guardian"</formula>
    </cfRule>
    <cfRule type="cellIs" dxfId="1057" priority="749" operator="equal">
      <formula>"Survivor"</formula>
    </cfRule>
    <cfRule type="cellIs" dxfId="1056" priority="750" operator="equal">
      <formula>"Mystic"</formula>
    </cfRule>
  </conditionalFormatting>
  <conditionalFormatting sqref="K1347">
    <cfRule type="cellIs" dxfId="1055" priority="739" operator="equal">
      <formula>"Seeker"</formula>
    </cfRule>
    <cfRule type="cellIs" dxfId="1054" priority="740" operator="equal">
      <formula>"Neutral"</formula>
    </cfRule>
    <cfRule type="cellIs" dxfId="1053" priority="741" operator="equal">
      <formula>"Rogue"</formula>
    </cfRule>
    <cfRule type="cellIs" dxfId="1052" priority="742" operator="equal">
      <formula>"Guardian"</formula>
    </cfRule>
    <cfRule type="cellIs" dxfId="1051" priority="743" operator="equal">
      <formula>"Survivor"</formula>
    </cfRule>
    <cfRule type="cellIs" dxfId="1050" priority="744" operator="equal">
      <formula>"Mystic"</formula>
    </cfRule>
  </conditionalFormatting>
  <conditionalFormatting sqref="AM1347">
    <cfRule type="cellIs" dxfId="1049" priority="733" operator="equal">
      <formula>"Seeker"</formula>
    </cfRule>
    <cfRule type="cellIs" dxfId="1048" priority="734" operator="equal">
      <formula>"Neutral"</formula>
    </cfRule>
    <cfRule type="cellIs" dxfId="1047" priority="735" operator="equal">
      <formula>"Rogue"</formula>
    </cfRule>
    <cfRule type="cellIs" dxfId="1046" priority="736" operator="equal">
      <formula>"Guardian"</formula>
    </cfRule>
    <cfRule type="cellIs" dxfId="1045" priority="737" operator="equal">
      <formula>"Survivor"</formula>
    </cfRule>
    <cfRule type="cellIs" dxfId="1044" priority="738" operator="equal">
      <formula>"Mystic"</formula>
    </cfRule>
  </conditionalFormatting>
  <conditionalFormatting sqref="K1348">
    <cfRule type="cellIs" dxfId="1043" priority="727" operator="equal">
      <formula>"Seeker"</formula>
    </cfRule>
    <cfRule type="cellIs" dxfId="1042" priority="728" operator="equal">
      <formula>"Neutral"</formula>
    </cfRule>
    <cfRule type="cellIs" dxfId="1041" priority="729" operator="equal">
      <formula>"Rogue"</formula>
    </cfRule>
    <cfRule type="cellIs" dxfId="1040" priority="730" operator="equal">
      <formula>"Guardian"</formula>
    </cfRule>
    <cfRule type="cellIs" dxfId="1039" priority="731" operator="equal">
      <formula>"Survivor"</formula>
    </cfRule>
    <cfRule type="cellIs" dxfId="1038" priority="732" operator="equal">
      <formula>"Mystic"</formula>
    </cfRule>
  </conditionalFormatting>
  <conditionalFormatting sqref="K1349">
    <cfRule type="cellIs" dxfId="1037" priority="721" operator="equal">
      <formula>"Seeker"</formula>
    </cfRule>
    <cfRule type="cellIs" dxfId="1036" priority="722" operator="equal">
      <formula>"Neutral"</formula>
    </cfRule>
    <cfRule type="cellIs" dxfId="1035" priority="723" operator="equal">
      <formula>"Rogue"</formula>
    </cfRule>
    <cfRule type="cellIs" dxfId="1034" priority="724" operator="equal">
      <formula>"Guardian"</formula>
    </cfRule>
    <cfRule type="cellIs" dxfId="1033" priority="725" operator="equal">
      <formula>"Survivor"</formula>
    </cfRule>
    <cfRule type="cellIs" dxfId="1032" priority="726" operator="equal">
      <formula>"Mystic"</formula>
    </cfRule>
  </conditionalFormatting>
  <conditionalFormatting sqref="K1354">
    <cfRule type="cellIs" dxfId="1031" priority="715" operator="equal">
      <formula>"seeker"</formula>
    </cfRule>
    <cfRule type="cellIs" dxfId="1030" priority="716" operator="equal">
      <formula>"neutral"</formula>
    </cfRule>
    <cfRule type="cellIs" dxfId="1029" priority="717" operator="equal">
      <formula>"rogue"</formula>
    </cfRule>
    <cfRule type="cellIs" dxfId="1028" priority="718" operator="equal">
      <formula>"Guardian"</formula>
    </cfRule>
    <cfRule type="cellIs" dxfId="1027" priority="719" operator="equal">
      <formula>"Survivor"</formula>
    </cfRule>
    <cfRule type="cellIs" dxfId="1026" priority="720" operator="equal">
      <formula>"Mystic"</formula>
    </cfRule>
  </conditionalFormatting>
  <conditionalFormatting sqref="AM1354">
    <cfRule type="cellIs" dxfId="1025" priority="709" operator="equal">
      <formula>"seeker"</formula>
    </cfRule>
    <cfRule type="cellIs" dxfId="1024" priority="710" operator="equal">
      <formula>"neutral"</formula>
    </cfRule>
    <cfRule type="cellIs" dxfId="1023" priority="711" operator="equal">
      <formula>"rogue"</formula>
    </cfRule>
    <cfRule type="cellIs" dxfId="1022" priority="712" operator="equal">
      <formula>"Guardian"</formula>
    </cfRule>
    <cfRule type="cellIs" dxfId="1021" priority="713" operator="equal">
      <formula>"Survivor"</formula>
    </cfRule>
    <cfRule type="cellIs" dxfId="1020" priority="714" operator="equal">
      <formula>"Mystic"</formula>
    </cfRule>
  </conditionalFormatting>
  <conditionalFormatting sqref="K1355">
    <cfRule type="cellIs" dxfId="1019" priority="703" operator="equal">
      <formula>"seeker"</formula>
    </cfRule>
    <cfRule type="cellIs" dxfId="1018" priority="704" operator="equal">
      <formula>"neutral"</formula>
    </cfRule>
    <cfRule type="cellIs" dxfId="1017" priority="705" operator="equal">
      <formula>"rogue"</formula>
    </cfRule>
    <cfRule type="cellIs" dxfId="1016" priority="706" operator="equal">
      <formula>"Guardian"</formula>
    </cfRule>
    <cfRule type="cellIs" dxfId="1015" priority="707" operator="equal">
      <formula>"Survivor"</formula>
    </cfRule>
    <cfRule type="cellIs" dxfId="1014" priority="708" operator="equal">
      <formula>"Mystic"</formula>
    </cfRule>
  </conditionalFormatting>
  <conditionalFormatting sqref="AM1355">
    <cfRule type="cellIs" dxfId="1013" priority="697" operator="equal">
      <formula>"seeker"</formula>
    </cfRule>
    <cfRule type="cellIs" dxfId="1012" priority="698" operator="equal">
      <formula>"neutral"</formula>
    </cfRule>
    <cfRule type="cellIs" dxfId="1011" priority="699" operator="equal">
      <formula>"rogue"</formula>
    </cfRule>
    <cfRule type="cellIs" dxfId="1010" priority="700" operator="equal">
      <formula>"Guardian"</formula>
    </cfRule>
    <cfRule type="cellIs" dxfId="1009" priority="701" operator="equal">
      <formula>"Survivor"</formula>
    </cfRule>
    <cfRule type="cellIs" dxfId="1008" priority="702" operator="equal">
      <formula>"Mystic"</formula>
    </cfRule>
  </conditionalFormatting>
  <conditionalFormatting sqref="K1356">
    <cfRule type="cellIs" dxfId="1007" priority="691" operator="equal">
      <formula>"seeker"</formula>
    </cfRule>
    <cfRule type="cellIs" dxfId="1006" priority="692" operator="equal">
      <formula>"neutral"</formula>
    </cfRule>
    <cfRule type="cellIs" dxfId="1005" priority="693" operator="equal">
      <formula>"rogue"</formula>
    </cfRule>
    <cfRule type="cellIs" dxfId="1004" priority="694" operator="equal">
      <formula>"Guardian"</formula>
    </cfRule>
    <cfRule type="cellIs" dxfId="1003" priority="695" operator="equal">
      <formula>"Survivor"</formula>
    </cfRule>
    <cfRule type="cellIs" dxfId="1002" priority="696" operator="equal">
      <formula>"Mystic"</formula>
    </cfRule>
  </conditionalFormatting>
  <conditionalFormatting sqref="K1357">
    <cfRule type="cellIs" dxfId="1001" priority="685" operator="equal">
      <formula>"seeker"</formula>
    </cfRule>
    <cfRule type="cellIs" dxfId="1000" priority="686" operator="equal">
      <formula>"neutral"</formula>
    </cfRule>
    <cfRule type="cellIs" dxfId="999" priority="687" operator="equal">
      <formula>"rogue"</formula>
    </cfRule>
    <cfRule type="cellIs" dxfId="998" priority="688" operator="equal">
      <formula>"Guardian"</formula>
    </cfRule>
    <cfRule type="cellIs" dxfId="997" priority="689" operator="equal">
      <formula>"Survivor"</formula>
    </cfRule>
    <cfRule type="cellIs" dxfId="996" priority="690" operator="equal">
      <formula>"Mystic"</formula>
    </cfRule>
  </conditionalFormatting>
  <conditionalFormatting sqref="AM1363">
    <cfRule type="cellIs" dxfId="995" priority="679" operator="equal">
      <formula>"seeker"</formula>
    </cfRule>
    <cfRule type="cellIs" dxfId="994" priority="680" operator="equal">
      <formula>"neutral"</formula>
    </cfRule>
    <cfRule type="cellIs" dxfId="993" priority="681" operator="equal">
      <formula>"rogue"</formula>
    </cfRule>
    <cfRule type="cellIs" dxfId="992" priority="682" operator="equal">
      <formula>"Guardian"</formula>
    </cfRule>
    <cfRule type="cellIs" dxfId="991" priority="683" operator="equal">
      <formula>"Survivor"</formula>
    </cfRule>
    <cfRule type="cellIs" dxfId="990" priority="684" operator="equal">
      <formula>"Mystic"</formula>
    </cfRule>
  </conditionalFormatting>
  <conditionalFormatting sqref="K1373">
    <cfRule type="cellIs" dxfId="989" priority="673" operator="equal">
      <formula>"seeker"</formula>
    </cfRule>
    <cfRule type="cellIs" dxfId="988" priority="674" operator="equal">
      <formula>"neutral"</formula>
    </cfRule>
    <cfRule type="cellIs" dxfId="987" priority="675" operator="equal">
      <formula>"rogue"</formula>
    </cfRule>
    <cfRule type="cellIs" dxfId="986" priority="676" operator="equal">
      <formula>"Guardian"</formula>
    </cfRule>
    <cfRule type="cellIs" dxfId="985" priority="677" operator="equal">
      <formula>"Survivor"</formula>
    </cfRule>
    <cfRule type="cellIs" dxfId="984" priority="678" operator="equal">
      <formula>"Mystic"</formula>
    </cfRule>
  </conditionalFormatting>
  <conditionalFormatting sqref="AL1373">
    <cfRule type="cellIs" dxfId="983" priority="667" operator="equal">
      <formula>"Seeker"</formula>
    </cfRule>
    <cfRule type="cellIs" dxfId="982" priority="668" operator="equal">
      <formula>"Neutral"</formula>
    </cfRule>
    <cfRule type="cellIs" dxfId="981" priority="669" operator="equal">
      <formula>"Rogue"</formula>
    </cfRule>
    <cfRule type="cellIs" dxfId="980" priority="670" operator="equal">
      <formula>"Guardian"</formula>
    </cfRule>
    <cfRule type="cellIs" dxfId="979" priority="671" operator="equal">
      <formula>"Survivor"</formula>
    </cfRule>
    <cfRule type="cellIs" dxfId="978" priority="672" operator="equal">
      <formula>"Mystic"</formula>
    </cfRule>
  </conditionalFormatting>
  <conditionalFormatting sqref="AM1428:AM1431">
    <cfRule type="cellIs" dxfId="977" priority="661" operator="equal">
      <formula>"seeker"</formula>
    </cfRule>
    <cfRule type="cellIs" dxfId="976" priority="662" operator="equal">
      <formula>"neutral"</formula>
    </cfRule>
    <cfRule type="cellIs" dxfId="975" priority="663" operator="equal">
      <formula>"rogue"</formula>
    </cfRule>
    <cfRule type="cellIs" dxfId="974" priority="664" operator="equal">
      <formula>"Guardian"</formula>
    </cfRule>
    <cfRule type="cellIs" dxfId="973" priority="665" operator="equal">
      <formula>"Survivor"</formula>
    </cfRule>
    <cfRule type="cellIs" dxfId="972" priority="666" operator="equal">
      <formula>"Mystic"</formula>
    </cfRule>
  </conditionalFormatting>
  <conditionalFormatting sqref="AM1427">
    <cfRule type="cellIs" dxfId="971" priority="655" operator="equal">
      <formula>"Seeker"</formula>
    </cfRule>
    <cfRule type="cellIs" dxfId="970" priority="656" operator="equal">
      <formula>"Neutral"</formula>
    </cfRule>
    <cfRule type="cellIs" dxfId="969" priority="657" operator="equal">
      <formula>"Rogue"</formula>
    </cfRule>
    <cfRule type="cellIs" dxfId="968" priority="658" operator="equal">
      <formula>"Guardian"</formula>
    </cfRule>
    <cfRule type="cellIs" dxfId="967" priority="659" operator="equal">
      <formula>"Survivor"</formula>
    </cfRule>
    <cfRule type="cellIs" dxfId="966" priority="660" operator="equal">
      <formula>"Mystic"</formula>
    </cfRule>
  </conditionalFormatting>
  <conditionalFormatting sqref="K1428:K1431">
    <cfRule type="cellIs" dxfId="965" priority="649" operator="equal">
      <formula>"seeker"</formula>
    </cfRule>
    <cfRule type="cellIs" dxfId="964" priority="650" operator="equal">
      <formula>"neutral"</formula>
    </cfRule>
    <cfRule type="cellIs" dxfId="963" priority="651" operator="equal">
      <formula>"rogue"</formula>
    </cfRule>
    <cfRule type="cellIs" dxfId="962" priority="652" operator="equal">
      <formula>"Guardian"</formula>
    </cfRule>
    <cfRule type="cellIs" dxfId="961" priority="653" operator="equal">
      <formula>"Survivor"</formula>
    </cfRule>
    <cfRule type="cellIs" dxfId="960" priority="654" operator="equal">
      <formula>"Mystic"</formula>
    </cfRule>
  </conditionalFormatting>
  <conditionalFormatting sqref="K1427">
    <cfRule type="cellIs" dxfId="959" priority="643" operator="equal">
      <formula>"Seeker"</formula>
    </cfRule>
    <cfRule type="cellIs" dxfId="958" priority="644" operator="equal">
      <formula>"Neutral"</formula>
    </cfRule>
    <cfRule type="cellIs" dxfId="957" priority="645" operator="equal">
      <formula>"Rogue"</formula>
    </cfRule>
    <cfRule type="cellIs" dxfId="956" priority="646" operator="equal">
      <formula>"Guardian"</formula>
    </cfRule>
    <cfRule type="cellIs" dxfId="955" priority="647" operator="equal">
      <formula>"Survivor"</formula>
    </cfRule>
    <cfRule type="cellIs" dxfId="954" priority="648" operator="equal">
      <formula>"Mystic"</formula>
    </cfRule>
  </conditionalFormatting>
  <conditionalFormatting sqref="K1432">
    <cfRule type="cellIs" dxfId="953" priority="637" operator="equal">
      <formula>"Seeker"</formula>
    </cfRule>
    <cfRule type="cellIs" dxfId="952" priority="638" operator="equal">
      <formula>"Neutral"</formula>
    </cfRule>
    <cfRule type="cellIs" dxfId="951" priority="639" operator="equal">
      <formula>"Rogue"</formula>
    </cfRule>
    <cfRule type="cellIs" dxfId="950" priority="640" operator="equal">
      <formula>"Guardian"</formula>
    </cfRule>
    <cfRule type="cellIs" dxfId="949" priority="641" operator="equal">
      <formula>"Survivor"</formula>
    </cfRule>
    <cfRule type="cellIs" dxfId="948" priority="642" operator="equal">
      <formula>"Mystic"</formula>
    </cfRule>
  </conditionalFormatting>
  <conditionalFormatting sqref="K1433">
    <cfRule type="cellIs" dxfId="947" priority="631" operator="equal">
      <formula>"Seeker"</formula>
    </cfRule>
    <cfRule type="cellIs" dxfId="946" priority="632" operator="equal">
      <formula>"Neutral"</formula>
    </cfRule>
    <cfRule type="cellIs" dxfId="945" priority="633" operator="equal">
      <formula>"Rogue"</formula>
    </cfRule>
    <cfRule type="cellIs" dxfId="944" priority="634" operator="equal">
      <formula>"Guardian"</formula>
    </cfRule>
    <cfRule type="cellIs" dxfId="943" priority="635" operator="equal">
      <formula>"Survivor"</formula>
    </cfRule>
    <cfRule type="cellIs" dxfId="942" priority="636" operator="equal">
      <formula>"Mystic"</formula>
    </cfRule>
  </conditionalFormatting>
  <conditionalFormatting sqref="K1434">
    <cfRule type="cellIs" dxfId="941" priority="625" operator="equal">
      <formula>"seeker"</formula>
    </cfRule>
    <cfRule type="cellIs" dxfId="940" priority="626" operator="equal">
      <formula>"neutral"</formula>
    </cfRule>
    <cfRule type="cellIs" dxfId="939" priority="627" operator="equal">
      <formula>"rogue"</formula>
    </cfRule>
    <cfRule type="cellIs" dxfId="938" priority="628" operator="equal">
      <formula>"Guardian"</formula>
    </cfRule>
    <cfRule type="cellIs" dxfId="937" priority="629" operator="equal">
      <formula>"Survivor"</formula>
    </cfRule>
    <cfRule type="cellIs" dxfId="936" priority="630" operator="equal">
      <formula>"Mystic"</formula>
    </cfRule>
  </conditionalFormatting>
  <conditionalFormatting sqref="K1435">
    <cfRule type="cellIs" dxfId="935" priority="619" operator="equal">
      <formula>"seeker"</formula>
    </cfRule>
    <cfRule type="cellIs" dxfId="934" priority="620" operator="equal">
      <formula>"neutral"</formula>
    </cfRule>
    <cfRule type="cellIs" dxfId="933" priority="621" operator="equal">
      <formula>"rogue"</formula>
    </cfRule>
    <cfRule type="cellIs" dxfId="932" priority="622" operator="equal">
      <formula>"Guardian"</formula>
    </cfRule>
    <cfRule type="cellIs" dxfId="931" priority="623" operator="equal">
      <formula>"Survivor"</formula>
    </cfRule>
    <cfRule type="cellIs" dxfId="930" priority="624" operator="equal">
      <formula>"Mystic"</formula>
    </cfRule>
  </conditionalFormatting>
  <conditionalFormatting sqref="K1436">
    <cfRule type="cellIs" dxfId="929" priority="613" operator="equal">
      <formula>"seeker"</formula>
    </cfRule>
    <cfRule type="cellIs" dxfId="928" priority="614" operator="equal">
      <formula>"neutral"</formula>
    </cfRule>
    <cfRule type="cellIs" dxfId="927" priority="615" operator="equal">
      <formula>"rogue"</formula>
    </cfRule>
    <cfRule type="cellIs" dxfId="926" priority="616" operator="equal">
      <formula>"Guardian"</formula>
    </cfRule>
    <cfRule type="cellIs" dxfId="925" priority="617" operator="equal">
      <formula>"Survivor"</formula>
    </cfRule>
    <cfRule type="cellIs" dxfId="924" priority="618" operator="equal">
      <formula>"Mystic"</formula>
    </cfRule>
  </conditionalFormatting>
  <conditionalFormatting sqref="AM1423:AM1426">
    <cfRule type="cellIs" dxfId="923" priority="607" operator="equal">
      <formula>"seeker"</formula>
    </cfRule>
    <cfRule type="cellIs" dxfId="922" priority="608" operator="equal">
      <formula>"neutral"</formula>
    </cfRule>
    <cfRule type="cellIs" dxfId="921" priority="609" operator="equal">
      <formula>"rogue"</formula>
    </cfRule>
    <cfRule type="cellIs" dxfId="920" priority="610" operator="equal">
      <formula>"Guardian"</formula>
    </cfRule>
    <cfRule type="cellIs" dxfId="919" priority="611" operator="equal">
      <formula>"Survivor"</formula>
    </cfRule>
    <cfRule type="cellIs" dxfId="918" priority="612" operator="equal">
      <formula>"Mystic"</formula>
    </cfRule>
  </conditionalFormatting>
  <conditionalFormatting sqref="AM1422">
    <cfRule type="cellIs" dxfId="917" priority="601" operator="equal">
      <formula>"Seeker"</formula>
    </cfRule>
    <cfRule type="cellIs" dxfId="916" priority="602" operator="equal">
      <formula>"Neutral"</formula>
    </cfRule>
    <cfRule type="cellIs" dxfId="915" priority="603" operator="equal">
      <formula>"Rogue"</formula>
    </cfRule>
    <cfRule type="cellIs" dxfId="914" priority="604" operator="equal">
      <formula>"Guardian"</formula>
    </cfRule>
    <cfRule type="cellIs" dxfId="913" priority="605" operator="equal">
      <formula>"Survivor"</formula>
    </cfRule>
    <cfRule type="cellIs" dxfId="912" priority="606" operator="equal">
      <formula>"Mystic"</formula>
    </cfRule>
  </conditionalFormatting>
  <conditionalFormatting sqref="K1423:K1426">
    <cfRule type="cellIs" dxfId="911" priority="595" operator="equal">
      <formula>"seeker"</formula>
    </cfRule>
    <cfRule type="cellIs" dxfId="910" priority="596" operator="equal">
      <formula>"neutral"</formula>
    </cfRule>
    <cfRule type="cellIs" dxfId="909" priority="597" operator="equal">
      <formula>"rogue"</formula>
    </cfRule>
    <cfRule type="cellIs" dxfId="908" priority="598" operator="equal">
      <formula>"Guardian"</formula>
    </cfRule>
    <cfRule type="cellIs" dxfId="907" priority="599" operator="equal">
      <formula>"Survivor"</formula>
    </cfRule>
    <cfRule type="cellIs" dxfId="906" priority="600" operator="equal">
      <formula>"Mystic"</formula>
    </cfRule>
  </conditionalFormatting>
  <conditionalFormatting sqref="K1422">
    <cfRule type="cellIs" dxfId="905" priority="589" operator="equal">
      <formula>"Seeker"</formula>
    </cfRule>
    <cfRule type="cellIs" dxfId="904" priority="590" operator="equal">
      <formula>"Neutral"</formula>
    </cfRule>
    <cfRule type="cellIs" dxfId="903" priority="591" operator="equal">
      <formula>"Rogue"</formula>
    </cfRule>
    <cfRule type="cellIs" dxfId="902" priority="592" operator="equal">
      <formula>"Guardian"</formula>
    </cfRule>
    <cfRule type="cellIs" dxfId="901" priority="593" operator="equal">
      <formula>"Survivor"</formula>
    </cfRule>
    <cfRule type="cellIs" dxfId="900" priority="594" operator="equal">
      <formula>"Mystic"</formula>
    </cfRule>
  </conditionalFormatting>
  <conditionalFormatting sqref="AM1351">
    <cfRule type="cellIs" dxfId="899" priority="583" operator="equal">
      <formula>"seeker"</formula>
    </cfRule>
    <cfRule type="cellIs" dxfId="898" priority="584" operator="equal">
      <formula>"neutral"</formula>
    </cfRule>
    <cfRule type="cellIs" dxfId="897" priority="585" operator="equal">
      <formula>"rogue"</formula>
    </cfRule>
    <cfRule type="cellIs" dxfId="896" priority="586" operator="equal">
      <formula>"Guardian"</formula>
    </cfRule>
    <cfRule type="cellIs" dxfId="895" priority="587" operator="equal">
      <formula>"Survivor"</formula>
    </cfRule>
    <cfRule type="cellIs" dxfId="894" priority="588" operator="equal">
      <formula>"Mystic"</formula>
    </cfRule>
  </conditionalFormatting>
  <conditionalFormatting sqref="K1438:K1447">
    <cfRule type="cellIs" dxfId="893" priority="577" operator="equal">
      <formula>"seeker"</formula>
    </cfRule>
    <cfRule type="cellIs" dxfId="892" priority="578" operator="equal">
      <formula>"neutral"</formula>
    </cfRule>
    <cfRule type="cellIs" dxfId="891" priority="579" operator="equal">
      <formula>"rogue"</formula>
    </cfRule>
    <cfRule type="cellIs" dxfId="890" priority="580" operator="equal">
      <formula>"Guardian"</formula>
    </cfRule>
    <cfRule type="cellIs" dxfId="889" priority="581" operator="equal">
      <formula>"Survivor"</formula>
    </cfRule>
    <cfRule type="cellIs" dxfId="888" priority="582" operator="equal">
      <formula>"Mystic"</formula>
    </cfRule>
  </conditionalFormatting>
  <conditionalFormatting sqref="AL1442:AL1447">
    <cfRule type="cellIs" dxfId="887" priority="571" operator="equal">
      <formula>"Seeker"</formula>
    </cfRule>
    <cfRule type="cellIs" dxfId="886" priority="572" operator="equal">
      <formula>"Neutral"</formula>
    </cfRule>
    <cfRule type="cellIs" dxfId="885" priority="573" operator="equal">
      <formula>"Rogue"</formula>
    </cfRule>
    <cfRule type="cellIs" dxfId="884" priority="574" operator="equal">
      <formula>"Guardian"</formula>
    </cfRule>
    <cfRule type="cellIs" dxfId="883" priority="575" operator="equal">
      <formula>"Survivor"</formula>
    </cfRule>
    <cfRule type="cellIs" dxfId="882" priority="576" operator="equal">
      <formula>"Mystic"</formula>
    </cfRule>
  </conditionalFormatting>
  <conditionalFormatting sqref="K1437">
    <cfRule type="cellIs" dxfId="881" priority="565" operator="equal">
      <formula>"Seeker"</formula>
    </cfRule>
    <cfRule type="cellIs" dxfId="880" priority="566" operator="equal">
      <formula>"Neutral"</formula>
    </cfRule>
    <cfRule type="cellIs" dxfId="879" priority="567" operator="equal">
      <formula>"Rogue"</formula>
    </cfRule>
    <cfRule type="cellIs" dxfId="878" priority="568" operator="equal">
      <formula>"Guardian"</formula>
    </cfRule>
    <cfRule type="cellIs" dxfId="877" priority="569" operator="equal">
      <formula>"Survivor"</formula>
    </cfRule>
    <cfRule type="cellIs" dxfId="876" priority="570" operator="equal">
      <formula>"Mystic"</formula>
    </cfRule>
  </conditionalFormatting>
  <conditionalFormatting sqref="AM1438:AM1441">
    <cfRule type="cellIs" dxfId="875" priority="559" operator="equal">
      <formula>"seeker"</formula>
    </cfRule>
    <cfRule type="cellIs" dxfId="874" priority="560" operator="equal">
      <formula>"neutral"</formula>
    </cfRule>
    <cfRule type="cellIs" dxfId="873" priority="561" operator="equal">
      <formula>"rogue"</formula>
    </cfRule>
    <cfRule type="cellIs" dxfId="872" priority="562" operator="equal">
      <formula>"Guardian"</formula>
    </cfRule>
    <cfRule type="cellIs" dxfId="871" priority="563" operator="equal">
      <formula>"Survivor"</formula>
    </cfRule>
    <cfRule type="cellIs" dxfId="870" priority="564" operator="equal">
      <formula>"Mystic"</formula>
    </cfRule>
  </conditionalFormatting>
  <conditionalFormatting sqref="AM1437">
    <cfRule type="cellIs" dxfId="869" priority="553" operator="equal">
      <formula>"Seeker"</formula>
    </cfRule>
    <cfRule type="cellIs" dxfId="868" priority="554" operator="equal">
      <formula>"Neutral"</formula>
    </cfRule>
    <cfRule type="cellIs" dxfId="867" priority="555" operator="equal">
      <formula>"Rogue"</formula>
    </cfRule>
    <cfRule type="cellIs" dxfId="866" priority="556" operator="equal">
      <formula>"Guardian"</formula>
    </cfRule>
    <cfRule type="cellIs" dxfId="865" priority="557" operator="equal">
      <formula>"Survivor"</formula>
    </cfRule>
    <cfRule type="cellIs" dxfId="864" priority="558" operator="equal">
      <formula>"Mystic"</formula>
    </cfRule>
  </conditionalFormatting>
  <conditionalFormatting sqref="AM1490:AM1509 K1490:K1509 K1449:K1462 AM1462 AM1468:AM1469 K1466:K1469 AM1480:AM1488 K1474:K1488 AM1473:AM1478">
    <cfRule type="cellIs" dxfId="863" priority="427" operator="equal">
      <formula>"seeker"</formula>
    </cfRule>
    <cfRule type="cellIs" dxfId="862" priority="428" operator="equal">
      <formula>"neutral"</formula>
    </cfRule>
    <cfRule type="cellIs" dxfId="861" priority="429" operator="equal">
      <formula>"rogue"</formula>
    </cfRule>
    <cfRule type="cellIs" dxfId="860" priority="430" operator="equal">
      <formula>"Guardian"</formula>
    </cfRule>
    <cfRule type="cellIs" dxfId="859" priority="431" operator="equal">
      <formula>"Survivor"</formula>
    </cfRule>
    <cfRule type="cellIs" dxfId="858" priority="432" operator="equal">
      <formula>"Mystic"</formula>
    </cfRule>
  </conditionalFormatting>
  <conditionalFormatting sqref="AL1453:AL1459">
    <cfRule type="cellIs" dxfId="857" priority="421" operator="equal">
      <formula>"Seeker"</formula>
    </cfRule>
    <cfRule type="cellIs" dxfId="856" priority="422" operator="equal">
      <formula>"Neutral"</formula>
    </cfRule>
    <cfRule type="cellIs" dxfId="855" priority="423" operator="equal">
      <formula>"Rogue"</formula>
    </cfRule>
    <cfRule type="cellIs" dxfId="854" priority="424" operator="equal">
      <formula>"Guardian"</formula>
    </cfRule>
    <cfRule type="cellIs" dxfId="853" priority="425" operator="equal">
      <formula>"Survivor"</formula>
    </cfRule>
    <cfRule type="cellIs" dxfId="852" priority="426" operator="equal">
      <formula>"Mystic"</formula>
    </cfRule>
  </conditionalFormatting>
  <conditionalFormatting sqref="AM1472">
    <cfRule type="cellIs" dxfId="851" priority="415" operator="equal">
      <formula>"seeker"</formula>
    </cfRule>
    <cfRule type="cellIs" dxfId="850" priority="416" operator="equal">
      <formula>"neutral"</formula>
    </cfRule>
    <cfRule type="cellIs" dxfId="849" priority="417" operator="equal">
      <formula>"rogue"</formula>
    </cfRule>
    <cfRule type="cellIs" dxfId="848" priority="418" operator="equal">
      <formula>"Guardian"</formula>
    </cfRule>
    <cfRule type="cellIs" dxfId="847" priority="419" operator="equal">
      <formula>"Survivor"</formula>
    </cfRule>
    <cfRule type="cellIs" dxfId="846" priority="420" operator="equal">
      <formula>"Mystic"</formula>
    </cfRule>
  </conditionalFormatting>
  <conditionalFormatting sqref="K1448">
    <cfRule type="cellIs" dxfId="845" priority="409" operator="equal">
      <formula>"Seeker"</formula>
    </cfRule>
    <cfRule type="cellIs" dxfId="844" priority="410" operator="equal">
      <formula>"Neutral"</formula>
    </cfRule>
    <cfRule type="cellIs" dxfId="843" priority="411" operator="equal">
      <formula>"Rogue"</formula>
    </cfRule>
    <cfRule type="cellIs" dxfId="842" priority="412" operator="equal">
      <formula>"Guardian"</formula>
    </cfRule>
    <cfRule type="cellIs" dxfId="841" priority="413" operator="equal">
      <formula>"Survivor"</formula>
    </cfRule>
    <cfRule type="cellIs" dxfId="840" priority="414" operator="equal">
      <formula>"Mystic"</formula>
    </cfRule>
  </conditionalFormatting>
  <conditionalFormatting sqref="AM1449:AM1452">
    <cfRule type="cellIs" dxfId="839" priority="403" operator="equal">
      <formula>"seeker"</formula>
    </cfRule>
    <cfRule type="cellIs" dxfId="838" priority="404" operator="equal">
      <formula>"neutral"</formula>
    </cfRule>
    <cfRule type="cellIs" dxfId="837" priority="405" operator="equal">
      <formula>"rogue"</formula>
    </cfRule>
    <cfRule type="cellIs" dxfId="836" priority="406" operator="equal">
      <formula>"Guardian"</formula>
    </cfRule>
    <cfRule type="cellIs" dxfId="835" priority="407" operator="equal">
      <formula>"Survivor"</formula>
    </cfRule>
    <cfRule type="cellIs" dxfId="834" priority="408" operator="equal">
      <formula>"Mystic"</formula>
    </cfRule>
  </conditionalFormatting>
  <conditionalFormatting sqref="AM1448">
    <cfRule type="cellIs" dxfId="833" priority="397" operator="equal">
      <formula>"Seeker"</formula>
    </cfRule>
    <cfRule type="cellIs" dxfId="832" priority="398" operator="equal">
      <formula>"Neutral"</formula>
    </cfRule>
    <cfRule type="cellIs" dxfId="831" priority="399" operator="equal">
      <formula>"Rogue"</formula>
    </cfRule>
    <cfRule type="cellIs" dxfId="830" priority="400" operator="equal">
      <formula>"Guardian"</formula>
    </cfRule>
    <cfRule type="cellIs" dxfId="829" priority="401" operator="equal">
      <formula>"Survivor"</formula>
    </cfRule>
    <cfRule type="cellIs" dxfId="828" priority="402" operator="equal">
      <formula>"Mystic"</formula>
    </cfRule>
  </conditionalFormatting>
  <conditionalFormatting sqref="K1463">
    <cfRule type="cellIs" dxfId="827" priority="391" operator="equal">
      <formula>"Seeker"</formula>
    </cfRule>
    <cfRule type="cellIs" dxfId="826" priority="392" operator="equal">
      <formula>"Neutral"</formula>
    </cfRule>
    <cfRule type="cellIs" dxfId="825" priority="393" operator="equal">
      <formula>"Rogue"</formula>
    </cfRule>
    <cfRule type="cellIs" dxfId="824" priority="394" operator="equal">
      <formula>"Guardian"</formula>
    </cfRule>
    <cfRule type="cellIs" dxfId="823" priority="395" operator="equal">
      <formula>"Survivor"</formula>
    </cfRule>
    <cfRule type="cellIs" dxfId="822" priority="396" operator="equal">
      <formula>"Mystic"</formula>
    </cfRule>
  </conditionalFormatting>
  <conditionalFormatting sqref="AM1463">
    <cfRule type="cellIs" dxfId="821" priority="385" operator="equal">
      <formula>"Seeker"</formula>
    </cfRule>
    <cfRule type="cellIs" dxfId="820" priority="386" operator="equal">
      <formula>"Neutral"</formula>
    </cfRule>
    <cfRule type="cellIs" dxfId="819" priority="387" operator="equal">
      <formula>"Rogue"</formula>
    </cfRule>
    <cfRule type="cellIs" dxfId="818" priority="388" operator="equal">
      <formula>"Guardian"</formula>
    </cfRule>
    <cfRule type="cellIs" dxfId="817" priority="389" operator="equal">
      <formula>"Survivor"</formula>
    </cfRule>
    <cfRule type="cellIs" dxfId="816" priority="390" operator="equal">
      <formula>"Mystic"</formula>
    </cfRule>
  </conditionalFormatting>
  <conditionalFormatting sqref="K1464">
    <cfRule type="cellIs" dxfId="815" priority="379" operator="equal">
      <formula>"Seeker"</formula>
    </cfRule>
    <cfRule type="cellIs" dxfId="814" priority="380" operator="equal">
      <formula>"Neutral"</formula>
    </cfRule>
    <cfRule type="cellIs" dxfId="813" priority="381" operator="equal">
      <formula>"Rogue"</formula>
    </cfRule>
    <cfRule type="cellIs" dxfId="812" priority="382" operator="equal">
      <formula>"Guardian"</formula>
    </cfRule>
    <cfRule type="cellIs" dxfId="811" priority="383" operator="equal">
      <formula>"Survivor"</formula>
    </cfRule>
    <cfRule type="cellIs" dxfId="810" priority="384" operator="equal">
      <formula>"Mystic"</formula>
    </cfRule>
  </conditionalFormatting>
  <conditionalFormatting sqref="K1465">
    <cfRule type="cellIs" dxfId="809" priority="373" operator="equal">
      <formula>"Seeker"</formula>
    </cfRule>
    <cfRule type="cellIs" dxfId="808" priority="374" operator="equal">
      <formula>"Neutral"</formula>
    </cfRule>
    <cfRule type="cellIs" dxfId="807" priority="375" operator="equal">
      <formula>"Rogue"</formula>
    </cfRule>
    <cfRule type="cellIs" dxfId="806" priority="376" operator="equal">
      <formula>"Guardian"</formula>
    </cfRule>
    <cfRule type="cellIs" dxfId="805" priority="377" operator="equal">
      <formula>"Survivor"</formula>
    </cfRule>
    <cfRule type="cellIs" dxfId="804" priority="378" operator="equal">
      <formula>"Mystic"</formula>
    </cfRule>
  </conditionalFormatting>
  <conditionalFormatting sqref="K1470">
    <cfRule type="cellIs" dxfId="803" priority="367" operator="equal">
      <formula>"seeker"</formula>
    </cfRule>
    <cfRule type="cellIs" dxfId="802" priority="368" operator="equal">
      <formula>"neutral"</formula>
    </cfRule>
    <cfRule type="cellIs" dxfId="801" priority="369" operator="equal">
      <formula>"rogue"</formula>
    </cfRule>
    <cfRule type="cellIs" dxfId="800" priority="370" operator="equal">
      <formula>"Guardian"</formula>
    </cfRule>
    <cfRule type="cellIs" dxfId="799" priority="371" operator="equal">
      <formula>"Survivor"</formula>
    </cfRule>
    <cfRule type="cellIs" dxfId="798" priority="372" operator="equal">
      <formula>"Mystic"</formula>
    </cfRule>
  </conditionalFormatting>
  <conditionalFormatting sqref="AM1470">
    <cfRule type="cellIs" dxfId="797" priority="361" operator="equal">
      <formula>"seeker"</formula>
    </cfRule>
    <cfRule type="cellIs" dxfId="796" priority="362" operator="equal">
      <formula>"neutral"</formula>
    </cfRule>
    <cfRule type="cellIs" dxfId="795" priority="363" operator="equal">
      <formula>"rogue"</formula>
    </cfRule>
    <cfRule type="cellIs" dxfId="794" priority="364" operator="equal">
      <formula>"Guardian"</formula>
    </cfRule>
    <cfRule type="cellIs" dxfId="793" priority="365" operator="equal">
      <formula>"Survivor"</formula>
    </cfRule>
    <cfRule type="cellIs" dxfId="792" priority="366" operator="equal">
      <formula>"Mystic"</formula>
    </cfRule>
  </conditionalFormatting>
  <conditionalFormatting sqref="K1471">
    <cfRule type="cellIs" dxfId="791" priority="355" operator="equal">
      <formula>"seeker"</formula>
    </cfRule>
    <cfRule type="cellIs" dxfId="790" priority="356" operator="equal">
      <formula>"neutral"</formula>
    </cfRule>
    <cfRule type="cellIs" dxfId="789" priority="357" operator="equal">
      <formula>"rogue"</formula>
    </cfRule>
    <cfRule type="cellIs" dxfId="788" priority="358" operator="equal">
      <formula>"Guardian"</formula>
    </cfRule>
    <cfRule type="cellIs" dxfId="787" priority="359" operator="equal">
      <formula>"Survivor"</formula>
    </cfRule>
    <cfRule type="cellIs" dxfId="786" priority="360" operator="equal">
      <formula>"Mystic"</formula>
    </cfRule>
  </conditionalFormatting>
  <conditionalFormatting sqref="AM1471">
    <cfRule type="cellIs" dxfId="785" priority="349" operator="equal">
      <formula>"seeker"</formula>
    </cfRule>
    <cfRule type="cellIs" dxfId="784" priority="350" operator="equal">
      <formula>"neutral"</formula>
    </cfRule>
    <cfRule type="cellIs" dxfId="783" priority="351" operator="equal">
      <formula>"rogue"</formula>
    </cfRule>
    <cfRule type="cellIs" dxfId="782" priority="352" operator="equal">
      <formula>"Guardian"</formula>
    </cfRule>
    <cfRule type="cellIs" dxfId="781" priority="353" operator="equal">
      <formula>"Survivor"</formula>
    </cfRule>
    <cfRule type="cellIs" dxfId="780" priority="354" operator="equal">
      <formula>"Mystic"</formula>
    </cfRule>
  </conditionalFormatting>
  <conditionalFormatting sqref="K1472">
    <cfRule type="cellIs" dxfId="779" priority="343" operator="equal">
      <formula>"seeker"</formula>
    </cfRule>
    <cfRule type="cellIs" dxfId="778" priority="344" operator="equal">
      <formula>"neutral"</formula>
    </cfRule>
    <cfRule type="cellIs" dxfId="777" priority="345" operator="equal">
      <formula>"rogue"</formula>
    </cfRule>
    <cfRule type="cellIs" dxfId="776" priority="346" operator="equal">
      <formula>"Guardian"</formula>
    </cfRule>
    <cfRule type="cellIs" dxfId="775" priority="347" operator="equal">
      <formula>"Survivor"</formula>
    </cfRule>
    <cfRule type="cellIs" dxfId="774" priority="348" operator="equal">
      <formula>"Mystic"</formula>
    </cfRule>
  </conditionalFormatting>
  <conditionalFormatting sqref="K1473">
    <cfRule type="cellIs" dxfId="773" priority="337" operator="equal">
      <formula>"seeker"</formula>
    </cfRule>
    <cfRule type="cellIs" dxfId="772" priority="338" operator="equal">
      <formula>"neutral"</formula>
    </cfRule>
    <cfRule type="cellIs" dxfId="771" priority="339" operator="equal">
      <formula>"rogue"</formula>
    </cfRule>
    <cfRule type="cellIs" dxfId="770" priority="340" operator="equal">
      <formula>"Guardian"</formula>
    </cfRule>
    <cfRule type="cellIs" dxfId="769" priority="341" operator="equal">
      <formula>"Survivor"</formula>
    </cfRule>
    <cfRule type="cellIs" dxfId="768" priority="342" operator="equal">
      <formula>"Mystic"</formula>
    </cfRule>
  </conditionalFormatting>
  <conditionalFormatting sqref="AM1479">
    <cfRule type="cellIs" dxfId="767" priority="331" operator="equal">
      <formula>"seeker"</formula>
    </cfRule>
    <cfRule type="cellIs" dxfId="766" priority="332" operator="equal">
      <formula>"neutral"</formula>
    </cfRule>
    <cfRule type="cellIs" dxfId="765" priority="333" operator="equal">
      <formula>"rogue"</formula>
    </cfRule>
    <cfRule type="cellIs" dxfId="764" priority="334" operator="equal">
      <formula>"Guardian"</formula>
    </cfRule>
    <cfRule type="cellIs" dxfId="763" priority="335" operator="equal">
      <formula>"Survivor"</formula>
    </cfRule>
    <cfRule type="cellIs" dxfId="762" priority="336" operator="equal">
      <formula>"Mystic"</formula>
    </cfRule>
  </conditionalFormatting>
  <conditionalFormatting sqref="K1489">
    <cfRule type="cellIs" dxfId="761" priority="325" operator="equal">
      <formula>"seeker"</formula>
    </cfRule>
    <cfRule type="cellIs" dxfId="760" priority="326" operator="equal">
      <formula>"neutral"</formula>
    </cfRule>
    <cfRule type="cellIs" dxfId="759" priority="327" operator="equal">
      <formula>"rogue"</formula>
    </cfRule>
    <cfRule type="cellIs" dxfId="758" priority="328" operator="equal">
      <formula>"Guardian"</formula>
    </cfRule>
    <cfRule type="cellIs" dxfId="757" priority="329" operator="equal">
      <formula>"Survivor"</formula>
    </cfRule>
    <cfRule type="cellIs" dxfId="756" priority="330" operator="equal">
      <formula>"Mystic"</formula>
    </cfRule>
  </conditionalFormatting>
  <conditionalFormatting sqref="AL1489">
    <cfRule type="cellIs" dxfId="755" priority="319" operator="equal">
      <formula>"Seeker"</formula>
    </cfRule>
    <cfRule type="cellIs" dxfId="754" priority="320" operator="equal">
      <formula>"Neutral"</formula>
    </cfRule>
    <cfRule type="cellIs" dxfId="753" priority="321" operator="equal">
      <formula>"Rogue"</formula>
    </cfRule>
    <cfRule type="cellIs" dxfId="752" priority="322" operator="equal">
      <formula>"Guardian"</formula>
    </cfRule>
    <cfRule type="cellIs" dxfId="751" priority="323" operator="equal">
      <formula>"Survivor"</formula>
    </cfRule>
    <cfRule type="cellIs" dxfId="750" priority="324" operator="equal">
      <formula>"Mystic"</formula>
    </cfRule>
  </conditionalFormatting>
  <conditionalFormatting sqref="AM1467">
    <cfRule type="cellIs" dxfId="749" priority="313" operator="equal">
      <formula>"seeker"</formula>
    </cfRule>
    <cfRule type="cellIs" dxfId="748" priority="314" operator="equal">
      <formula>"neutral"</formula>
    </cfRule>
    <cfRule type="cellIs" dxfId="747" priority="315" operator="equal">
      <formula>"rogue"</formula>
    </cfRule>
    <cfRule type="cellIs" dxfId="746" priority="316" operator="equal">
      <formula>"Guardian"</formula>
    </cfRule>
    <cfRule type="cellIs" dxfId="745" priority="317" operator="equal">
      <formula>"Survivor"</formula>
    </cfRule>
    <cfRule type="cellIs" dxfId="744" priority="318" operator="equal">
      <formula>"Mystic"</formula>
    </cfRule>
  </conditionalFormatting>
  <conditionalFormatting sqref="K1511:K1524 AM1524 AM1530:AM1531 K1528:K1531 AM1542:AM1550 K1536:K1550 AM1535:AM1540">
    <cfRule type="cellIs" dxfId="311" priority="151" operator="equal">
      <formula>"seeker"</formula>
    </cfRule>
    <cfRule type="cellIs" dxfId="310" priority="152" operator="equal">
      <formula>"neutral"</formula>
    </cfRule>
    <cfRule type="cellIs" dxfId="309" priority="153" operator="equal">
      <formula>"rogue"</formula>
    </cfRule>
    <cfRule type="cellIs" dxfId="308" priority="154" operator="equal">
      <formula>"Guardian"</formula>
    </cfRule>
    <cfRule type="cellIs" dxfId="307" priority="155" operator="equal">
      <formula>"Survivor"</formula>
    </cfRule>
    <cfRule type="cellIs" dxfId="306" priority="156" operator="equal">
      <formula>"Mystic"</formula>
    </cfRule>
  </conditionalFormatting>
  <conditionalFormatting sqref="AL1515:AL1521">
    <cfRule type="cellIs" dxfId="299" priority="145" operator="equal">
      <formula>"Seeker"</formula>
    </cfRule>
    <cfRule type="cellIs" dxfId="298" priority="146" operator="equal">
      <formula>"Neutral"</formula>
    </cfRule>
    <cfRule type="cellIs" dxfId="297" priority="147" operator="equal">
      <formula>"Rogue"</formula>
    </cfRule>
    <cfRule type="cellIs" dxfId="296" priority="148" operator="equal">
      <formula>"Guardian"</formula>
    </cfRule>
    <cfRule type="cellIs" dxfId="295" priority="149" operator="equal">
      <formula>"Survivor"</formula>
    </cfRule>
    <cfRule type="cellIs" dxfId="294" priority="150" operator="equal">
      <formula>"Mystic"</formula>
    </cfRule>
  </conditionalFormatting>
  <conditionalFormatting sqref="AM1534">
    <cfRule type="cellIs" dxfId="287" priority="139" operator="equal">
      <formula>"seeker"</formula>
    </cfRule>
    <cfRule type="cellIs" dxfId="286" priority="140" operator="equal">
      <formula>"neutral"</formula>
    </cfRule>
    <cfRule type="cellIs" dxfId="285" priority="141" operator="equal">
      <formula>"rogue"</formula>
    </cfRule>
    <cfRule type="cellIs" dxfId="284" priority="142" operator="equal">
      <formula>"Guardian"</formula>
    </cfRule>
    <cfRule type="cellIs" dxfId="283" priority="143" operator="equal">
      <formula>"Survivor"</formula>
    </cfRule>
    <cfRule type="cellIs" dxfId="282" priority="144" operator="equal">
      <formula>"Mystic"</formula>
    </cfRule>
  </conditionalFormatting>
  <conditionalFormatting sqref="K1510">
    <cfRule type="cellIs" dxfId="275" priority="133" operator="equal">
      <formula>"Seeker"</formula>
    </cfRule>
    <cfRule type="cellIs" dxfId="274" priority="134" operator="equal">
      <formula>"Neutral"</formula>
    </cfRule>
    <cfRule type="cellIs" dxfId="273" priority="135" operator="equal">
      <formula>"Rogue"</formula>
    </cfRule>
    <cfRule type="cellIs" dxfId="272" priority="136" operator="equal">
      <formula>"Guardian"</formula>
    </cfRule>
    <cfRule type="cellIs" dxfId="271" priority="137" operator="equal">
      <formula>"Survivor"</formula>
    </cfRule>
    <cfRule type="cellIs" dxfId="270" priority="138" operator="equal">
      <formula>"Mystic"</formula>
    </cfRule>
  </conditionalFormatting>
  <conditionalFormatting sqref="AM1511:AM1514">
    <cfRule type="cellIs" dxfId="263" priority="127" operator="equal">
      <formula>"seeker"</formula>
    </cfRule>
    <cfRule type="cellIs" dxfId="262" priority="128" operator="equal">
      <formula>"neutral"</formula>
    </cfRule>
    <cfRule type="cellIs" dxfId="261" priority="129" operator="equal">
      <formula>"rogue"</formula>
    </cfRule>
    <cfRule type="cellIs" dxfId="260" priority="130" operator="equal">
      <formula>"Guardian"</formula>
    </cfRule>
    <cfRule type="cellIs" dxfId="259" priority="131" operator="equal">
      <formula>"Survivor"</formula>
    </cfRule>
    <cfRule type="cellIs" dxfId="258" priority="132" operator="equal">
      <formula>"Mystic"</formula>
    </cfRule>
  </conditionalFormatting>
  <conditionalFormatting sqref="AM1510">
    <cfRule type="cellIs" dxfId="251" priority="121" operator="equal">
      <formula>"Seeker"</formula>
    </cfRule>
    <cfRule type="cellIs" dxfId="250" priority="122" operator="equal">
      <formula>"Neutral"</formula>
    </cfRule>
    <cfRule type="cellIs" dxfId="249" priority="123" operator="equal">
      <formula>"Rogue"</formula>
    </cfRule>
    <cfRule type="cellIs" dxfId="248" priority="124" operator="equal">
      <formula>"Guardian"</formula>
    </cfRule>
    <cfRule type="cellIs" dxfId="247" priority="125" operator="equal">
      <formula>"Survivor"</formula>
    </cfRule>
    <cfRule type="cellIs" dxfId="246" priority="126" operator="equal">
      <formula>"Mystic"</formula>
    </cfRule>
  </conditionalFormatting>
  <conditionalFormatting sqref="K1525">
    <cfRule type="cellIs" dxfId="239" priority="115" operator="equal">
      <formula>"Seeker"</formula>
    </cfRule>
    <cfRule type="cellIs" dxfId="238" priority="116" operator="equal">
      <formula>"Neutral"</formula>
    </cfRule>
    <cfRule type="cellIs" dxfId="237" priority="117" operator="equal">
      <formula>"Rogue"</formula>
    </cfRule>
    <cfRule type="cellIs" dxfId="236" priority="118" operator="equal">
      <formula>"Guardian"</formula>
    </cfRule>
    <cfRule type="cellIs" dxfId="235" priority="119" operator="equal">
      <formula>"Survivor"</formula>
    </cfRule>
    <cfRule type="cellIs" dxfId="234" priority="120" operator="equal">
      <formula>"Mystic"</formula>
    </cfRule>
  </conditionalFormatting>
  <conditionalFormatting sqref="AM1525">
    <cfRule type="cellIs" dxfId="227" priority="109" operator="equal">
      <formula>"Seeker"</formula>
    </cfRule>
    <cfRule type="cellIs" dxfId="226" priority="110" operator="equal">
      <formula>"Neutral"</formula>
    </cfRule>
    <cfRule type="cellIs" dxfId="225" priority="111" operator="equal">
      <formula>"Rogue"</formula>
    </cfRule>
    <cfRule type="cellIs" dxfId="224" priority="112" operator="equal">
      <formula>"Guardian"</formula>
    </cfRule>
    <cfRule type="cellIs" dxfId="223" priority="113" operator="equal">
      <formula>"Survivor"</formula>
    </cfRule>
    <cfRule type="cellIs" dxfId="222" priority="114" operator="equal">
      <formula>"Mystic"</formula>
    </cfRule>
  </conditionalFormatting>
  <conditionalFormatting sqref="K1526">
    <cfRule type="cellIs" dxfId="215" priority="103" operator="equal">
      <formula>"Seeker"</formula>
    </cfRule>
    <cfRule type="cellIs" dxfId="214" priority="104" operator="equal">
      <formula>"Neutral"</formula>
    </cfRule>
    <cfRule type="cellIs" dxfId="213" priority="105" operator="equal">
      <formula>"Rogue"</formula>
    </cfRule>
    <cfRule type="cellIs" dxfId="212" priority="106" operator="equal">
      <formula>"Guardian"</formula>
    </cfRule>
    <cfRule type="cellIs" dxfId="211" priority="107" operator="equal">
      <formula>"Survivor"</formula>
    </cfRule>
    <cfRule type="cellIs" dxfId="210" priority="108" operator="equal">
      <formula>"Mystic"</formula>
    </cfRule>
  </conditionalFormatting>
  <conditionalFormatting sqref="K1527">
    <cfRule type="cellIs" dxfId="203" priority="97" operator="equal">
      <formula>"Seeker"</formula>
    </cfRule>
    <cfRule type="cellIs" dxfId="202" priority="98" operator="equal">
      <formula>"Neutral"</formula>
    </cfRule>
    <cfRule type="cellIs" dxfId="201" priority="99" operator="equal">
      <formula>"Rogue"</formula>
    </cfRule>
    <cfRule type="cellIs" dxfId="200" priority="100" operator="equal">
      <formula>"Guardian"</formula>
    </cfRule>
    <cfRule type="cellIs" dxfId="199" priority="101" operator="equal">
      <formula>"Survivor"</formula>
    </cfRule>
    <cfRule type="cellIs" dxfId="198" priority="102" operator="equal">
      <formula>"Mystic"</formula>
    </cfRule>
  </conditionalFormatting>
  <conditionalFormatting sqref="K1532">
    <cfRule type="cellIs" dxfId="191" priority="91" operator="equal">
      <formula>"seeker"</formula>
    </cfRule>
    <cfRule type="cellIs" dxfId="190" priority="92" operator="equal">
      <formula>"neutral"</formula>
    </cfRule>
    <cfRule type="cellIs" dxfId="189" priority="93" operator="equal">
      <formula>"rogue"</formula>
    </cfRule>
    <cfRule type="cellIs" dxfId="188" priority="94" operator="equal">
      <formula>"Guardian"</formula>
    </cfRule>
    <cfRule type="cellIs" dxfId="187" priority="95" operator="equal">
      <formula>"Survivor"</formula>
    </cfRule>
    <cfRule type="cellIs" dxfId="186" priority="96" operator="equal">
      <formula>"Mystic"</formula>
    </cfRule>
  </conditionalFormatting>
  <conditionalFormatting sqref="AM1532">
    <cfRule type="cellIs" dxfId="179" priority="85" operator="equal">
      <formula>"seeker"</formula>
    </cfRule>
    <cfRule type="cellIs" dxfId="178" priority="86" operator="equal">
      <formula>"neutral"</formula>
    </cfRule>
    <cfRule type="cellIs" dxfId="177" priority="87" operator="equal">
      <formula>"rogue"</formula>
    </cfRule>
    <cfRule type="cellIs" dxfId="176" priority="88" operator="equal">
      <formula>"Guardian"</formula>
    </cfRule>
    <cfRule type="cellIs" dxfId="175" priority="89" operator="equal">
      <formula>"Survivor"</formula>
    </cfRule>
    <cfRule type="cellIs" dxfId="174" priority="90" operator="equal">
      <formula>"Mystic"</formula>
    </cfRule>
  </conditionalFormatting>
  <conditionalFormatting sqref="K1533">
    <cfRule type="cellIs" dxfId="167" priority="79" operator="equal">
      <formula>"seeker"</formula>
    </cfRule>
    <cfRule type="cellIs" dxfId="166" priority="80" operator="equal">
      <formula>"neutral"</formula>
    </cfRule>
    <cfRule type="cellIs" dxfId="165" priority="81" operator="equal">
      <formula>"rogue"</formula>
    </cfRule>
    <cfRule type="cellIs" dxfId="164" priority="82" operator="equal">
      <formula>"Guardian"</formula>
    </cfRule>
    <cfRule type="cellIs" dxfId="163" priority="83" operator="equal">
      <formula>"Survivor"</formula>
    </cfRule>
    <cfRule type="cellIs" dxfId="162" priority="84" operator="equal">
      <formula>"Mystic"</formula>
    </cfRule>
  </conditionalFormatting>
  <conditionalFormatting sqref="AM1533">
    <cfRule type="cellIs" dxfId="155" priority="73" operator="equal">
      <formula>"seeker"</formula>
    </cfRule>
    <cfRule type="cellIs" dxfId="154" priority="74" operator="equal">
      <formula>"neutral"</formula>
    </cfRule>
    <cfRule type="cellIs" dxfId="153" priority="75" operator="equal">
      <formula>"rogue"</formula>
    </cfRule>
    <cfRule type="cellIs" dxfId="152" priority="76" operator="equal">
      <formula>"Guardian"</formula>
    </cfRule>
    <cfRule type="cellIs" dxfId="151" priority="77" operator="equal">
      <formula>"Survivor"</formula>
    </cfRule>
    <cfRule type="cellIs" dxfId="150" priority="78" operator="equal">
      <formula>"Mystic"</formula>
    </cfRule>
  </conditionalFormatting>
  <conditionalFormatting sqref="K1534">
    <cfRule type="cellIs" dxfId="143" priority="67" operator="equal">
      <formula>"seeker"</formula>
    </cfRule>
    <cfRule type="cellIs" dxfId="142" priority="68" operator="equal">
      <formula>"neutral"</formula>
    </cfRule>
    <cfRule type="cellIs" dxfId="141" priority="69" operator="equal">
      <formula>"rogue"</formula>
    </cfRule>
    <cfRule type="cellIs" dxfId="140" priority="70" operator="equal">
      <formula>"Guardian"</formula>
    </cfRule>
    <cfRule type="cellIs" dxfId="139" priority="71" operator="equal">
      <formula>"Survivor"</formula>
    </cfRule>
    <cfRule type="cellIs" dxfId="138" priority="72" operator="equal">
      <formula>"Mystic"</formula>
    </cfRule>
  </conditionalFormatting>
  <conditionalFormatting sqref="K1535">
    <cfRule type="cellIs" dxfId="131" priority="61" operator="equal">
      <formula>"seeker"</formula>
    </cfRule>
    <cfRule type="cellIs" dxfId="130" priority="62" operator="equal">
      <formula>"neutral"</formula>
    </cfRule>
    <cfRule type="cellIs" dxfId="129" priority="63" operator="equal">
      <formula>"rogue"</formula>
    </cfRule>
    <cfRule type="cellIs" dxfId="128" priority="64" operator="equal">
      <formula>"Guardian"</formula>
    </cfRule>
    <cfRule type="cellIs" dxfId="127" priority="65" operator="equal">
      <formula>"Survivor"</formula>
    </cfRule>
    <cfRule type="cellIs" dxfId="126" priority="66" operator="equal">
      <formula>"Mystic"</formula>
    </cfRule>
  </conditionalFormatting>
  <conditionalFormatting sqref="AM1541">
    <cfRule type="cellIs" dxfId="119" priority="55" operator="equal">
      <formula>"seeker"</formula>
    </cfRule>
    <cfRule type="cellIs" dxfId="118" priority="56" operator="equal">
      <formula>"neutral"</formula>
    </cfRule>
    <cfRule type="cellIs" dxfId="117" priority="57" operator="equal">
      <formula>"rogue"</formula>
    </cfRule>
    <cfRule type="cellIs" dxfId="116" priority="58" operator="equal">
      <formula>"Guardian"</formula>
    </cfRule>
    <cfRule type="cellIs" dxfId="115" priority="59" operator="equal">
      <formula>"Survivor"</formula>
    </cfRule>
    <cfRule type="cellIs" dxfId="114" priority="60" operator="equal">
      <formula>"Mystic"</formula>
    </cfRule>
  </conditionalFormatting>
  <conditionalFormatting sqref="K1551">
    <cfRule type="cellIs" dxfId="107" priority="49" operator="equal">
      <formula>"seeker"</formula>
    </cfRule>
    <cfRule type="cellIs" dxfId="106" priority="50" operator="equal">
      <formula>"neutral"</formula>
    </cfRule>
    <cfRule type="cellIs" dxfId="105" priority="51" operator="equal">
      <formula>"rogue"</formula>
    </cfRule>
    <cfRule type="cellIs" dxfId="104" priority="52" operator="equal">
      <formula>"Guardian"</formula>
    </cfRule>
    <cfRule type="cellIs" dxfId="103" priority="53" operator="equal">
      <formula>"Survivor"</formula>
    </cfRule>
    <cfRule type="cellIs" dxfId="102" priority="54" operator="equal">
      <formula>"Mystic"</formula>
    </cfRule>
  </conditionalFormatting>
  <conditionalFormatting sqref="AL1551">
    <cfRule type="cellIs" dxfId="95" priority="43" operator="equal">
      <formula>"Seeker"</formula>
    </cfRule>
    <cfRule type="cellIs" dxfId="94" priority="44" operator="equal">
      <formula>"Neutral"</formula>
    </cfRule>
    <cfRule type="cellIs" dxfId="93" priority="45" operator="equal">
      <formula>"Rogue"</formula>
    </cfRule>
    <cfRule type="cellIs" dxfId="92" priority="46" operator="equal">
      <formula>"Guardian"</formula>
    </cfRule>
    <cfRule type="cellIs" dxfId="91" priority="47" operator="equal">
      <formula>"Survivor"</formula>
    </cfRule>
    <cfRule type="cellIs" dxfId="90" priority="48" operator="equal">
      <formula>"Mystic"</formula>
    </cfRule>
  </conditionalFormatting>
  <conditionalFormatting sqref="AM1529">
    <cfRule type="cellIs" dxfId="83" priority="37" operator="equal">
      <formula>"seeker"</formula>
    </cfRule>
    <cfRule type="cellIs" dxfId="82" priority="38" operator="equal">
      <formula>"neutral"</formula>
    </cfRule>
    <cfRule type="cellIs" dxfId="81" priority="39" operator="equal">
      <formula>"rogue"</formula>
    </cfRule>
    <cfRule type="cellIs" dxfId="80" priority="40" operator="equal">
      <formula>"Guardian"</formula>
    </cfRule>
    <cfRule type="cellIs" dxfId="79" priority="41" operator="equal">
      <formula>"Survivor"</formula>
    </cfRule>
    <cfRule type="cellIs" dxfId="78" priority="42" operator="equal">
      <formula>"Mystic"</formula>
    </cfRule>
  </conditionalFormatting>
  <conditionalFormatting sqref="AM1553:AM1556">
    <cfRule type="cellIs" dxfId="71" priority="31" operator="equal">
      <formula>"seeker"</formula>
    </cfRule>
    <cfRule type="cellIs" dxfId="70" priority="32" operator="equal">
      <formula>"neutral"</formula>
    </cfRule>
    <cfRule type="cellIs" dxfId="69" priority="33" operator="equal">
      <formula>"rogue"</formula>
    </cfRule>
    <cfRule type="cellIs" dxfId="68" priority="34" operator="equal">
      <formula>"Guardian"</formula>
    </cfRule>
    <cfRule type="cellIs" dxfId="67" priority="35" operator="equal">
      <formula>"Survivor"</formula>
    </cfRule>
    <cfRule type="cellIs" dxfId="66" priority="36" operator="equal">
      <formula>"Mystic"</formula>
    </cfRule>
  </conditionalFormatting>
  <conditionalFormatting sqref="AM1552">
    <cfRule type="cellIs" dxfId="59" priority="25" operator="equal">
      <formula>"Seeker"</formula>
    </cfRule>
    <cfRule type="cellIs" dxfId="58" priority="26" operator="equal">
      <formula>"Neutral"</formula>
    </cfRule>
    <cfRule type="cellIs" dxfId="57" priority="27" operator="equal">
      <formula>"Rogue"</formula>
    </cfRule>
    <cfRule type="cellIs" dxfId="56" priority="28" operator="equal">
      <formula>"Guardian"</formula>
    </cfRule>
    <cfRule type="cellIs" dxfId="55" priority="29" operator="equal">
      <formula>"Survivor"</formula>
    </cfRule>
    <cfRule type="cellIs" dxfId="54" priority="30" operator="equal">
      <formula>"Mystic"</formula>
    </cfRule>
  </conditionalFormatting>
  <conditionalFormatting sqref="K1553:K1556">
    <cfRule type="cellIs" dxfId="47" priority="19" operator="equal">
      <formula>"seeker"</formula>
    </cfRule>
    <cfRule type="cellIs" dxfId="46" priority="20" operator="equal">
      <formula>"neutral"</formula>
    </cfRule>
    <cfRule type="cellIs" dxfId="45" priority="21" operator="equal">
      <formula>"rogue"</formula>
    </cfRule>
    <cfRule type="cellIs" dxfId="44" priority="22" operator="equal">
      <formula>"Guardian"</formula>
    </cfRule>
    <cfRule type="cellIs" dxfId="43" priority="23" operator="equal">
      <formula>"Survivor"</formula>
    </cfRule>
    <cfRule type="cellIs" dxfId="42" priority="24" operator="equal">
      <formula>"Mystic"</formula>
    </cfRule>
  </conditionalFormatting>
  <conditionalFormatting sqref="K1552">
    <cfRule type="cellIs" dxfId="35" priority="13" operator="equal">
      <formula>"Seeker"</formula>
    </cfRule>
    <cfRule type="cellIs" dxfId="34" priority="14" operator="equal">
      <formula>"Neutral"</formula>
    </cfRule>
    <cfRule type="cellIs" dxfId="33" priority="15" operator="equal">
      <formula>"Rogue"</formula>
    </cfRule>
    <cfRule type="cellIs" dxfId="32" priority="16" operator="equal">
      <formula>"Guardian"</formula>
    </cfRule>
    <cfRule type="cellIs" dxfId="31" priority="17" operator="equal">
      <formula>"Survivor"</formula>
    </cfRule>
    <cfRule type="cellIs" dxfId="30" priority="18" operator="equal">
      <formula>"Mystic"</formula>
    </cfRule>
  </conditionalFormatting>
  <conditionalFormatting sqref="K1557">
    <cfRule type="cellIs" dxfId="23" priority="7" operator="equal">
      <formula>"seeker"</formula>
    </cfRule>
    <cfRule type="cellIs" dxfId="22" priority="8" operator="equal">
      <formula>"neutral"</formula>
    </cfRule>
    <cfRule type="cellIs" dxfId="21" priority="9" operator="equal">
      <formula>"rogue"</formula>
    </cfRule>
    <cfRule type="cellIs" dxfId="20" priority="10" operator="equal">
      <formula>"Guardian"</formula>
    </cfRule>
    <cfRule type="cellIs" dxfId="19" priority="11" operator="equal">
      <formula>"Survivor"</formula>
    </cfRule>
    <cfRule type="cellIs" dxfId="18" priority="12" operator="equal">
      <formula>"Mystic"</formula>
    </cfRule>
  </conditionalFormatting>
  <conditionalFormatting sqref="AM1557">
    <cfRule type="cellIs" dxfId="11" priority="1" operator="equal">
      <formula>"seeker"</formula>
    </cfRule>
    <cfRule type="cellIs" dxfId="10" priority="2" operator="equal">
      <formula>"neutral"</formula>
    </cfRule>
    <cfRule type="cellIs" dxfId="9" priority="3" operator="equal">
      <formula>"rogue"</formula>
    </cfRule>
    <cfRule type="cellIs" dxfId="8" priority="4" operator="equal">
      <formula>"Guardian"</formula>
    </cfRule>
    <cfRule type="cellIs" dxfId="7" priority="5" operator="equal">
      <formula>"Survivor"</formula>
    </cfRule>
    <cfRule type="cellIs" dxfId="6" priority="6" operator="equal">
      <formula>"Mystic"</formula>
    </cfRule>
  </conditionalFormatting>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C22"/>
  <sheetViews>
    <sheetView workbookViewId="0">
      <selection activeCell="B4" sqref="B4"/>
    </sheetView>
  </sheetViews>
  <sheetFormatPr defaultColWidth="9.140625" defaultRowHeight="15"/>
  <cols>
    <col min="2" max="2" width="3.5703125" style="22" bestFit="1" customWidth="1"/>
    <col min="3" max="3" width="12.140625" bestFit="1" customWidth="1"/>
  </cols>
  <sheetData>
    <row r="2" spans="2:3">
      <c r="B2" s="21" t="s">
        <v>204</v>
      </c>
      <c r="C2" s="16" t="s">
        <v>163</v>
      </c>
    </row>
    <row r="3" spans="2:3">
      <c r="B3" s="17" t="s">
        <v>205</v>
      </c>
      <c r="C3" s="16" t="s">
        <v>185</v>
      </c>
    </row>
    <row r="4" spans="2:3">
      <c r="B4" s="21" t="s">
        <v>206</v>
      </c>
      <c r="C4" s="16" t="s">
        <v>186</v>
      </c>
    </row>
    <row r="5" spans="2:3">
      <c r="B5" s="21" t="s">
        <v>207</v>
      </c>
      <c r="C5" s="16" t="s">
        <v>187</v>
      </c>
    </row>
    <row r="6" spans="2:3">
      <c r="B6" s="21" t="s">
        <v>208</v>
      </c>
      <c r="C6" s="16" t="s">
        <v>188</v>
      </c>
    </row>
    <row r="7" spans="2:3">
      <c r="B7" s="21" t="s">
        <v>209</v>
      </c>
      <c r="C7" s="16" t="s">
        <v>189</v>
      </c>
    </row>
    <row r="8" spans="2:3">
      <c r="B8" s="21" t="s">
        <v>210</v>
      </c>
      <c r="C8" s="16" t="s">
        <v>190</v>
      </c>
    </row>
    <row r="9" spans="2:3">
      <c r="B9" s="21" t="s">
        <v>211</v>
      </c>
      <c r="C9" s="16" t="s">
        <v>191</v>
      </c>
    </row>
    <row r="10" spans="2:3">
      <c r="B10" s="21" t="s">
        <v>212</v>
      </c>
      <c r="C10" s="16" t="s">
        <v>192</v>
      </c>
    </row>
    <row r="11" spans="2:3">
      <c r="B11" s="21" t="s">
        <v>213</v>
      </c>
      <c r="C11" s="16" t="s">
        <v>193</v>
      </c>
    </row>
    <row r="12" spans="2:3">
      <c r="B12" s="21" t="s">
        <v>214</v>
      </c>
      <c r="C12" s="16" t="s">
        <v>194</v>
      </c>
    </row>
    <row r="13" spans="2:3">
      <c r="B13" s="17" t="s">
        <v>215</v>
      </c>
      <c r="C13" s="16" t="s">
        <v>195</v>
      </c>
    </row>
    <row r="14" spans="2:3">
      <c r="B14" s="17" t="s">
        <v>216</v>
      </c>
      <c r="C14" s="16" t="s">
        <v>196</v>
      </c>
    </row>
    <row r="15" spans="2:3">
      <c r="B15" s="17" t="s">
        <v>217</v>
      </c>
      <c r="C15" s="16" t="s">
        <v>197</v>
      </c>
    </row>
    <row r="16" spans="2:3">
      <c r="B16" s="17" t="s">
        <v>218</v>
      </c>
      <c r="C16" s="16" t="s">
        <v>198</v>
      </c>
    </row>
    <row r="17" spans="2:3">
      <c r="B17" s="17" t="s">
        <v>219</v>
      </c>
      <c r="C17" s="16" t="s">
        <v>199</v>
      </c>
    </row>
    <row r="18" spans="2:3">
      <c r="B18" s="17" t="s">
        <v>220</v>
      </c>
      <c r="C18" s="16" t="s">
        <v>200</v>
      </c>
    </row>
    <row r="19" spans="2:3">
      <c r="B19" s="17" t="s">
        <v>221</v>
      </c>
      <c r="C19" s="16" t="s">
        <v>201</v>
      </c>
    </row>
    <row r="20" spans="2:3">
      <c r="B20" s="17" t="s">
        <v>222</v>
      </c>
      <c r="C20" s="16" t="s">
        <v>202</v>
      </c>
    </row>
    <row r="21" spans="2:3">
      <c r="B21" s="17" t="s">
        <v>223</v>
      </c>
      <c r="C21" s="16" t="s">
        <v>3</v>
      </c>
    </row>
    <row r="22" spans="2:3">
      <c r="B22" s="17" t="s">
        <v>224</v>
      </c>
      <c r="C22" s="16" t="s">
        <v>203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ColWidth="9.140625" defaultRowHeight="15"/>
  <cols>
    <col min="3" max="3" width="4.85546875" bestFit="1" customWidth="1"/>
    <col min="4" max="4" width="12.140625" bestFit="1" customWidth="1"/>
  </cols>
  <sheetData>
    <row r="1" spans="1:4">
      <c r="A1" t="s">
        <v>53</v>
      </c>
      <c r="C1" s="1" t="s">
        <v>153</v>
      </c>
      <c r="D1" t="s">
        <v>163</v>
      </c>
    </row>
    <row r="2" spans="1:4">
      <c r="A2" t="s">
        <v>52</v>
      </c>
      <c r="C2" t="s">
        <v>154</v>
      </c>
      <c r="D2" t="s">
        <v>164</v>
      </c>
    </row>
    <row r="3" spans="1:4">
      <c r="C3" s="1" t="s">
        <v>155</v>
      </c>
      <c r="D3" t="s">
        <v>165</v>
      </c>
    </row>
    <row r="4" spans="1:4">
      <c r="C4" s="1" t="s">
        <v>156</v>
      </c>
      <c r="D4" t="s">
        <v>166</v>
      </c>
    </row>
    <row r="5" spans="1:4">
      <c r="C5" s="1" t="s">
        <v>157</v>
      </c>
      <c r="D5" t="s">
        <v>167</v>
      </c>
    </row>
    <row r="6" spans="1:4">
      <c r="C6" s="1" t="s">
        <v>158</v>
      </c>
      <c r="D6" t="s">
        <v>168</v>
      </c>
    </row>
    <row r="7" spans="1:4">
      <c r="C7" s="1" t="s">
        <v>159</v>
      </c>
      <c r="D7" t="s">
        <v>169</v>
      </c>
    </row>
    <row r="8" spans="1:4">
      <c r="C8" s="1" t="s">
        <v>160</v>
      </c>
      <c r="D8" t="s">
        <v>170</v>
      </c>
    </row>
    <row r="9" spans="1:4">
      <c r="C9" s="1" t="s">
        <v>161</v>
      </c>
      <c r="D9" t="s">
        <v>171</v>
      </c>
    </row>
    <row r="10" spans="1:4">
      <c r="C10" s="1" t="s">
        <v>162</v>
      </c>
      <c r="D10" t="s">
        <v>172</v>
      </c>
    </row>
    <row r="11" spans="1:4">
      <c r="C11" s="1" t="s">
        <v>23</v>
      </c>
      <c r="D11" t="s">
        <v>173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ColWidth="9.140625" defaultRowHeight="1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c r="A1" t="s">
        <v>0</v>
      </c>
      <c r="B1" t="s">
        <v>1</v>
      </c>
      <c r="C1" t="s">
        <v>55</v>
      </c>
      <c r="D1" t="s">
        <v>56</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c r="A8" t="s">
        <v>107</v>
      </c>
      <c r="B8" t="s">
        <v>134</v>
      </c>
      <c r="C8" t="s">
        <v>88</v>
      </c>
      <c r="D8">
        <v>9</v>
      </c>
      <c r="E8" t="s">
        <v>98</v>
      </c>
      <c r="G8" t="s">
        <v>28</v>
      </c>
      <c r="J8" t="s">
        <v>85</v>
      </c>
      <c r="K8" t="s">
        <v>24</v>
      </c>
      <c r="L8" t="s">
        <v>24</v>
      </c>
      <c r="M8" t="s">
        <v>24</v>
      </c>
      <c r="N8" t="s">
        <v>24</v>
      </c>
      <c r="O8" t="s">
        <v>24</v>
      </c>
      <c r="P8" t="s">
        <v>24</v>
      </c>
      <c r="Q8" t="s">
        <v>24</v>
      </c>
      <c r="S8">
        <v>3</v>
      </c>
      <c r="T8" t="s">
        <v>24</v>
      </c>
      <c r="U8" t="s">
        <v>100</v>
      </c>
      <c r="V8" t="s">
        <v>102</v>
      </c>
      <c r="W8" t="s">
        <v>150</v>
      </c>
    </row>
    <row r="9" spans="1:23">
      <c r="A9" t="s">
        <v>107</v>
      </c>
      <c r="B9" t="s">
        <v>133</v>
      </c>
      <c r="C9" t="s">
        <v>88</v>
      </c>
      <c r="D9">
        <v>8</v>
      </c>
      <c r="E9" t="s">
        <v>96</v>
      </c>
      <c r="G9" t="s">
        <v>28</v>
      </c>
      <c r="K9" t="s">
        <v>24</v>
      </c>
      <c r="L9" t="s">
        <v>24</v>
      </c>
      <c r="M9" t="s">
        <v>24</v>
      </c>
      <c r="N9" t="s">
        <v>24</v>
      </c>
      <c r="O9" t="s">
        <v>24</v>
      </c>
      <c r="P9" t="s">
        <v>24</v>
      </c>
      <c r="Q9" t="s">
        <v>24</v>
      </c>
      <c r="S9">
        <v>3</v>
      </c>
      <c r="T9" t="s">
        <v>24</v>
      </c>
      <c r="U9" t="s">
        <v>138</v>
      </c>
      <c r="V9" t="s">
        <v>139</v>
      </c>
      <c r="W9" t="s">
        <v>150</v>
      </c>
    </row>
    <row r="10" spans="1:23">
      <c r="A10" t="s">
        <v>107</v>
      </c>
      <c r="B10" t="s">
        <v>132</v>
      </c>
      <c r="C10" t="s">
        <v>88</v>
      </c>
      <c r="D10">
        <v>7</v>
      </c>
      <c r="E10" t="s">
        <v>93</v>
      </c>
      <c r="G10" t="s">
        <v>31</v>
      </c>
      <c r="I10" t="s">
        <v>41</v>
      </c>
      <c r="K10" t="s">
        <v>24</v>
      </c>
      <c r="L10" t="s">
        <v>24</v>
      </c>
      <c r="M10">
        <v>4</v>
      </c>
      <c r="N10" t="s">
        <v>24</v>
      </c>
      <c r="O10" t="s">
        <v>24</v>
      </c>
      <c r="P10" t="s">
        <v>24</v>
      </c>
      <c r="Q10" t="s">
        <v>24</v>
      </c>
      <c r="R10">
        <v>6</v>
      </c>
      <c r="S10">
        <v>4</v>
      </c>
      <c r="T10" t="s">
        <v>24</v>
      </c>
      <c r="U10" t="s">
        <v>94</v>
      </c>
      <c r="V10" t="s">
        <v>95</v>
      </c>
      <c r="W10" t="s">
        <v>150</v>
      </c>
    </row>
    <row r="11" spans="1:23">
      <c r="A11" t="s">
        <v>107</v>
      </c>
      <c r="B11" t="s">
        <v>131</v>
      </c>
      <c r="C11" t="s">
        <v>88</v>
      </c>
      <c r="D11">
        <v>6</v>
      </c>
      <c r="E11" t="s">
        <v>91</v>
      </c>
      <c r="G11" t="s">
        <v>29</v>
      </c>
      <c r="I11" t="s">
        <v>39</v>
      </c>
      <c r="K11" t="s">
        <v>24</v>
      </c>
      <c r="L11">
        <v>34</v>
      </c>
      <c r="M11" t="s">
        <v>32</v>
      </c>
      <c r="N11" t="s">
        <v>24</v>
      </c>
      <c r="O11" t="s">
        <v>32</v>
      </c>
      <c r="P11">
        <v>3</v>
      </c>
      <c r="Q11">
        <v>5</v>
      </c>
      <c r="S11">
        <v>3</v>
      </c>
      <c r="T11" t="s">
        <v>24</v>
      </c>
      <c r="U11" t="s">
        <v>92</v>
      </c>
      <c r="V11" t="s">
        <v>140</v>
      </c>
      <c r="W11" t="s">
        <v>150</v>
      </c>
    </row>
    <row r="12" spans="1:23">
      <c r="A12" t="s">
        <v>107</v>
      </c>
      <c r="B12" t="s">
        <v>130</v>
      </c>
      <c r="C12" t="s">
        <v>88</v>
      </c>
      <c r="D12">
        <v>5</v>
      </c>
      <c r="E12" t="s">
        <v>89</v>
      </c>
      <c r="G12" t="s">
        <v>29</v>
      </c>
      <c r="I12" t="s">
        <v>35</v>
      </c>
      <c r="J12" t="s">
        <v>34</v>
      </c>
      <c r="K12" t="s">
        <v>24</v>
      </c>
      <c r="L12">
        <v>10</v>
      </c>
      <c r="M12">
        <v>1</v>
      </c>
      <c r="N12" t="s">
        <v>24</v>
      </c>
      <c r="O12">
        <v>3</v>
      </c>
      <c r="P12">
        <v>1</v>
      </c>
      <c r="Q12">
        <v>6</v>
      </c>
      <c r="S12">
        <v>3</v>
      </c>
      <c r="T12" t="s">
        <v>24</v>
      </c>
      <c r="U12" t="s">
        <v>90</v>
      </c>
      <c r="W12" t="s">
        <v>150</v>
      </c>
    </row>
    <row r="13" spans="1:23">
      <c r="A13" t="s">
        <v>107</v>
      </c>
      <c r="B13" t="s">
        <v>129</v>
      </c>
      <c r="C13" t="s">
        <v>88</v>
      </c>
      <c r="D13">
        <v>4</v>
      </c>
      <c r="E13" t="s">
        <v>47</v>
      </c>
      <c r="G13" t="s">
        <v>33</v>
      </c>
      <c r="K13" t="s">
        <v>24</v>
      </c>
      <c r="L13" t="s">
        <v>24</v>
      </c>
      <c r="M13" t="s">
        <v>24</v>
      </c>
      <c r="N13" t="s">
        <v>24</v>
      </c>
      <c r="O13" t="s">
        <v>24</v>
      </c>
      <c r="P13" t="s">
        <v>24</v>
      </c>
      <c r="Q13" t="s">
        <v>24</v>
      </c>
      <c r="R13">
        <v>1</v>
      </c>
      <c r="S13">
        <v>1</v>
      </c>
      <c r="T13" t="s">
        <v>24</v>
      </c>
      <c r="U13" t="s">
        <v>48</v>
      </c>
      <c r="W13" t="s">
        <v>150</v>
      </c>
    </row>
    <row r="14" spans="1:23">
      <c r="A14" t="s">
        <v>107</v>
      </c>
      <c r="B14" t="s">
        <v>128</v>
      </c>
      <c r="C14" t="s">
        <v>88</v>
      </c>
      <c r="D14">
        <v>3</v>
      </c>
      <c r="E14" t="s">
        <v>47</v>
      </c>
      <c r="G14" t="s">
        <v>33</v>
      </c>
      <c r="K14" t="s">
        <v>24</v>
      </c>
      <c r="L14" t="s">
        <v>24</v>
      </c>
      <c r="M14" t="s">
        <v>24</v>
      </c>
      <c r="N14" t="s">
        <v>24</v>
      </c>
      <c r="O14" t="s">
        <v>24</v>
      </c>
      <c r="P14" t="s">
        <v>24</v>
      </c>
      <c r="Q14" t="s">
        <v>24</v>
      </c>
      <c r="R14" t="s">
        <v>38</v>
      </c>
      <c r="S14">
        <v>1</v>
      </c>
      <c r="T14" t="s">
        <v>24</v>
      </c>
      <c r="U14" t="s">
        <v>48</v>
      </c>
      <c r="W14" t="s">
        <v>150</v>
      </c>
    </row>
    <row r="15" spans="1:23">
      <c r="A15" t="s">
        <v>107</v>
      </c>
      <c r="B15" t="s">
        <v>127</v>
      </c>
      <c r="C15" t="s">
        <v>88</v>
      </c>
      <c r="D15">
        <v>2</v>
      </c>
      <c r="E15" t="s">
        <v>47</v>
      </c>
      <c r="G15" t="s">
        <v>33</v>
      </c>
      <c r="K15" t="s">
        <v>24</v>
      </c>
      <c r="L15" t="s">
        <v>24</v>
      </c>
      <c r="M15" t="s">
        <v>24</v>
      </c>
      <c r="N15" t="s">
        <v>24</v>
      </c>
      <c r="O15" t="s">
        <v>24</v>
      </c>
      <c r="P15" t="s">
        <v>24</v>
      </c>
      <c r="Q15" t="s">
        <v>24</v>
      </c>
      <c r="R15">
        <v>5</v>
      </c>
      <c r="S15">
        <v>1</v>
      </c>
      <c r="T15" t="s">
        <v>24</v>
      </c>
      <c r="U15" t="s">
        <v>48</v>
      </c>
      <c r="W15" t="s">
        <v>150</v>
      </c>
    </row>
    <row r="16" spans="1:23" ht="409.5">
      <c r="A16" t="s">
        <v>107</v>
      </c>
      <c r="B16" t="s">
        <v>126</v>
      </c>
      <c r="C16" t="s">
        <v>88</v>
      </c>
      <c r="D16">
        <v>1</v>
      </c>
      <c r="E16" t="s">
        <v>43</v>
      </c>
      <c r="G16" t="s">
        <v>37</v>
      </c>
      <c r="K16" t="s">
        <v>24</v>
      </c>
      <c r="L16" t="s">
        <v>24</v>
      </c>
      <c r="M16" t="s">
        <v>24</v>
      </c>
      <c r="N16" t="s">
        <v>24</v>
      </c>
      <c r="O16" t="s">
        <v>24</v>
      </c>
      <c r="P16" t="s">
        <v>24</v>
      </c>
      <c r="Q16" t="s">
        <v>24</v>
      </c>
      <c r="S16">
        <v>1</v>
      </c>
      <c r="T16" t="s">
        <v>24</v>
      </c>
      <c r="U16" s="12" t="s">
        <v>106</v>
      </c>
      <c r="W16" t="s">
        <v>150</v>
      </c>
    </row>
    <row r="17" spans="1:23">
      <c r="A17" t="s">
        <v>107</v>
      </c>
      <c r="B17" t="s">
        <v>125</v>
      </c>
      <c r="C17" t="s">
        <v>69</v>
      </c>
      <c r="D17">
        <v>10</v>
      </c>
      <c r="E17" t="s">
        <v>86</v>
      </c>
      <c r="G17" t="s">
        <v>28</v>
      </c>
      <c r="K17" t="s">
        <v>24</v>
      </c>
      <c r="L17" t="s">
        <v>24</v>
      </c>
      <c r="M17" t="s">
        <v>24</v>
      </c>
      <c r="N17" t="s">
        <v>24</v>
      </c>
      <c r="O17" t="s">
        <v>24</v>
      </c>
      <c r="P17" t="s">
        <v>24</v>
      </c>
      <c r="Q17" t="s">
        <v>24</v>
      </c>
      <c r="S17">
        <v>2</v>
      </c>
      <c r="T17" t="s">
        <v>24</v>
      </c>
      <c r="U17" t="s">
        <v>87</v>
      </c>
      <c r="W17" t="s">
        <v>152</v>
      </c>
    </row>
    <row r="18" spans="1:23">
      <c r="A18" t="s">
        <v>107</v>
      </c>
      <c r="B18" t="s">
        <v>124</v>
      </c>
      <c r="C18" t="s">
        <v>69</v>
      </c>
      <c r="D18">
        <v>9</v>
      </c>
      <c r="E18" t="s">
        <v>83</v>
      </c>
      <c r="G18" t="s">
        <v>28</v>
      </c>
      <c r="J18" t="s">
        <v>85</v>
      </c>
      <c r="K18" t="s">
        <v>24</v>
      </c>
      <c r="L18" t="s">
        <v>24</v>
      </c>
      <c r="M18" t="s">
        <v>24</v>
      </c>
      <c r="N18" t="s">
        <v>24</v>
      </c>
      <c r="O18" t="s">
        <v>24</v>
      </c>
      <c r="P18" t="s">
        <v>24</v>
      </c>
      <c r="Q18" t="s">
        <v>24</v>
      </c>
      <c r="S18">
        <v>3</v>
      </c>
      <c r="T18" t="s">
        <v>24</v>
      </c>
      <c r="U18" t="s">
        <v>84</v>
      </c>
      <c r="V18" t="s">
        <v>79</v>
      </c>
      <c r="W18" t="s">
        <v>152</v>
      </c>
    </row>
    <row r="19" spans="1:23" ht="345">
      <c r="A19" t="s">
        <v>107</v>
      </c>
      <c r="B19" t="s">
        <v>123</v>
      </c>
      <c r="C19" t="s">
        <v>69</v>
      </c>
      <c r="D19">
        <v>8</v>
      </c>
      <c r="E19" t="s">
        <v>82</v>
      </c>
      <c r="G19" t="s">
        <v>31</v>
      </c>
      <c r="I19" t="s">
        <v>40</v>
      </c>
      <c r="K19" t="s">
        <v>24</v>
      </c>
      <c r="L19" t="s">
        <v>24</v>
      </c>
      <c r="M19">
        <v>4</v>
      </c>
      <c r="N19" t="s">
        <v>24</v>
      </c>
      <c r="O19" t="s">
        <v>24</v>
      </c>
      <c r="P19" t="s">
        <v>24</v>
      </c>
      <c r="Q19" t="s">
        <v>24</v>
      </c>
      <c r="R19">
        <v>4</v>
      </c>
      <c r="S19">
        <v>2</v>
      </c>
      <c r="T19" t="s">
        <v>24</v>
      </c>
      <c r="U19" s="12" t="s">
        <v>149</v>
      </c>
      <c r="W19" t="s">
        <v>152</v>
      </c>
    </row>
    <row r="20" spans="1:23">
      <c r="A20" t="s">
        <v>107</v>
      </c>
      <c r="B20" t="s">
        <v>122</v>
      </c>
      <c r="C20" t="s">
        <v>69</v>
      </c>
      <c r="D20">
        <v>7</v>
      </c>
      <c r="E20" t="s">
        <v>80</v>
      </c>
      <c r="G20" t="s">
        <v>31</v>
      </c>
      <c r="I20" t="s">
        <v>40</v>
      </c>
      <c r="K20" t="s">
        <v>24</v>
      </c>
      <c r="L20" t="s">
        <v>24</v>
      </c>
      <c r="M20">
        <v>2</v>
      </c>
      <c r="N20" t="s">
        <v>24</v>
      </c>
      <c r="O20" t="s">
        <v>24</v>
      </c>
      <c r="P20" t="s">
        <v>24</v>
      </c>
      <c r="Q20" t="s">
        <v>24</v>
      </c>
      <c r="R20">
        <v>6</v>
      </c>
      <c r="S20">
        <v>3</v>
      </c>
      <c r="T20" t="s">
        <v>24</v>
      </c>
      <c r="U20" t="s">
        <v>81</v>
      </c>
      <c r="V20" t="s">
        <v>141</v>
      </c>
      <c r="W20" t="s">
        <v>152</v>
      </c>
    </row>
    <row r="21" spans="1:23">
      <c r="A21" t="s">
        <v>107</v>
      </c>
      <c r="B21" t="s">
        <v>121</v>
      </c>
      <c r="C21" t="s">
        <v>69</v>
      </c>
      <c r="D21">
        <v>6</v>
      </c>
      <c r="E21" t="s">
        <v>77</v>
      </c>
      <c r="G21" t="s">
        <v>29</v>
      </c>
      <c r="I21" t="s">
        <v>35</v>
      </c>
      <c r="K21" t="s">
        <v>24</v>
      </c>
      <c r="L21">
        <v>36</v>
      </c>
      <c r="M21">
        <v>3</v>
      </c>
      <c r="N21" t="s">
        <v>24</v>
      </c>
      <c r="O21">
        <v>2</v>
      </c>
      <c r="P21">
        <v>1</v>
      </c>
      <c r="Q21">
        <v>4</v>
      </c>
      <c r="S21">
        <v>2</v>
      </c>
      <c r="T21" t="s">
        <v>24</v>
      </c>
      <c r="U21" t="s">
        <v>78</v>
      </c>
      <c r="V21" t="s">
        <v>79</v>
      </c>
      <c r="W21" t="s">
        <v>152</v>
      </c>
    </row>
    <row r="22" spans="1:23">
      <c r="A22" t="s">
        <v>107</v>
      </c>
      <c r="B22" t="s">
        <v>120</v>
      </c>
      <c r="C22" t="s">
        <v>69</v>
      </c>
      <c r="D22">
        <v>5</v>
      </c>
      <c r="E22" t="s">
        <v>75</v>
      </c>
      <c r="G22" t="s">
        <v>29</v>
      </c>
      <c r="I22" t="s">
        <v>35</v>
      </c>
      <c r="K22" t="s">
        <v>24</v>
      </c>
      <c r="L22">
        <v>15</v>
      </c>
      <c r="M22">
        <v>2</v>
      </c>
      <c r="N22" t="s">
        <v>24</v>
      </c>
      <c r="O22">
        <v>4</v>
      </c>
      <c r="P22">
        <v>2</v>
      </c>
      <c r="Q22">
        <v>3</v>
      </c>
      <c r="S22">
        <v>3</v>
      </c>
      <c r="T22" t="s">
        <v>24</v>
      </c>
      <c r="U22" t="s">
        <v>137</v>
      </c>
      <c r="V22" t="s">
        <v>76</v>
      </c>
      <c r="W22" t="s">
        <v>152</v>
      </c>
    </row>
    <row r="23" spans="1:23" ht="409.5">
      <c r="A23" t="s">
        <v>107</v>
      </c>
      <c r="B23" t="s">
        <v>119</v>
      </c>
      <c r="C23" t="s">
        <v>69</v>
      </c>
      <c r="D23">
        <v>4</v>
      </c>
      <c r="E23" t="s">
        <v>73</v>
      </c>
      <c r="G23" t="s">
        <v>29</v>
      </c>
      <c r="I23" t="s">
        <v>42</v>
      </c>
      <c r="K23" t="s">
        <v>24</v>
      </c>
      <c r="L23">
        <v>44</v>
      </c>
      <c r="M23">
        <v>1</v>
      </c>
      <c r="N23" t="s">
        <v>24</v>
      </c>
      <c r="O23">
        <v>4</v>
      </c>
      <c r="P23">
        <v>4</v>
      </c>
      <c r="Q23">
        <v>6</v>
      </c>
      <c r="S23">
        <v>2</v>
      </c>
      <c r="T23" t="s">
        <v>24</v>
      </c>
      <c r="U23" s="12" t="s">
        <v>74</v>
      </c>
      <c r="W23" t="s">
        <v>152</v>
      </c>
    </row>
    <row r="24" spans="1:23" ht="360">
      <c r="A24" t="s">
        <v>107</v>
      </c>
      <c r="B24" t="s">
        <v>118</v>
      </c>
      <c r="C24" t="s">
        <v>69</v>
      </c>
      <c r="D24">
        <v>3</v>
      </c>
      <c r="E24" t="s">
        <v>71</v>
      </c>
      <c r="F24" t="s">
        <v>23</v>
      </c>
      <c r="G24" t="s">
        <v>31</v>
      </c>
      <c r="I24" t="s">
        <v>40</v>
      </c>
      <c r="K24" t="s">
        <v>24</v>
      </c>
      <c r="L24" t="s">
        <v>24</v>
      </c>
      <c r="M24">
        <v>5</v>
      </c>
      <c r="N24" t="s">
        <v>24</v>
      </c>
      <c r="O24" t="s">
        <v>24</v>
      </c>
      <c r="P24" t="s">
        <v>24</v>
      </c>
      <c r="Q24" t="s">
        <v>24</v>
      </c>
      <c r="R24">
        <v>8</v>
      </c>
      <c r="S24">
        <v>1</v>
      </c>
      <c r="T24">
        <v>5</v>
      </c>
      <c r="U24" s="12" t="s">
        <v>72</v>
      </c>
      <c r="W24" t="s">
        <v>152</v>
      </c>
    </row>
    <row r="25" spans="1:23" ht="390">
      <c r="A25" t="s">
        <v>107</v>
      </c>
      <c r="B25" t="s">
        <v>117</v>
      </c>
      <c r="C25" t="s">
        <v>69</v>
      </c>
      <c r="D25">
        <v>2</v>
      </c>
      <c r="E25" t="s">
        <v>70</v>
      </c>
      <c r="F25" t="s">
        <v>23</v>
      </c>
      <c r="G25" t="s">
        <v>29</v>
      </c>
      <c r="I25" t="s">
        <v>42</v>
      </c>
      <c r="K25" t="s">
        <v>24</v>
      </c>
      <c r="L25">
        <v>20</v>
      </c>
      <c r="M25">
        <v>3</v>
      </c>
      <c r="N25" t="s">
        <v>24</v>
      </c>
      <c r="O25">
        <v>3</v>
      </c>
      <c r="P25">
        <v>3</v>
      </c>
      <c r="Q25">
        <v>12</v>
      </c>
      <c r="S25">
        <v>1</v>
      </c>
      <c r="T25">
        <v>5</v>
      </c>
      <c r="U25" s="12" t="s">
        <v>136</v>
      </c>
      <c r="W25" t="s">
        <v>152</v>
      </c>
    </row>
    <row r="26" spans="1:23" ht="409.5">
      <c r="A26" t="s">
        <v>107</v>
      </c>
      <c r="B26" t="s">
        <v>116</v>
      </c>
      <c r="C26" t="s">
        <v>69</v>
      </c>
      <c r="D26">
        <v>1</v>
      </c>
      <c r="E26" t="s">
        <v>45</v>
      </c>
      <c r="G26" t="s">
        <v>37</v>
      </c>
      <c r="K26" t="s">
        <v>24</v>
      </c>
      <c r="L26" t="s">
        <v>24</v>
      </c>
      <c r="M26" t="s">
        <v>24</v>
      </c>
      <c r="N26" t="s">
        <v>24</v>
      </c>
      <c r="O26" t="s">
        <v>24</v>
      </c>
      <c r="P26" t="s">
        <v>24</v>
      </c>
      <c r="Q26" t="s">
        <v>24</v>
      </c>
      <c r="S26">
        <v>1</v>
      </c>
      <c r="T26" t="s">
        <v>24</v>
      </c>
      <c r="U26" s="12" t="s">
        <v>105</v>
      </c>
      <c r="W26" t="s">
        <v>152</v>
      </c>
    </row>
    <row r="27" spans="1:23">
      <c r="A27" t="s">
        <v>107</v>
      </c>
      <c r="B27" t="s">
        <v>115</v>
      </c>
      <c r="C27" t="s">
        <v>58</v>
      </c>
      <c r="D27">
        <v>8</v>
      </c>
      <c r="E27" t="s">
        <v>67</v>
      </c>
      <c r="G27" t="s">
        <v>28</v>
      </c>
      <c r="J27" t="s">
        <v>34</v>
      </c>
      <c r="K27" t="s">
        <v>24</v>
      </c>
      <c r="L27" t="s">
        <v>24</v>
      </c>
      <c r="M27" t="s">
        <v>24</v>
      </c>
      <c r="N27" t="s">
        <v>24</v>
      </c>
      <c r="O27" t="s">
        <v>24</v>
      </c>
      <c r="P27" t="s">
        <v>24</v>
      </c>
      <c r="Q27" t="s">
        <v>24</v>
      </c>
      <c r="S27">
        <v>3</v>
      </c>
      <c r="T27" t="s">
        <v>24</v>
      </c>
      <c r="U27" t="s">
        <v>68</v>
      </c>
      <c r="V27" t="s">
        <v>142</v>
      </c>
      <c r="W27" t="s">
        <v>151</v>
      </c>
    </row>
    <row r="28" spans="1:23" ht="270">
      <c r="A28" t="s">
        <v>107</v>
      </c>
      <c r="B28" t="s">
        <v>114</v>
      </c>
      <c r="C28" t="s">
        <v>58</v>
      </c>
      <c r="D28">
        <v>7</v>
      </c>
      <c r="E28" t="s">
        <v>65</v>
      </c>
      <c r="G28" t="s">
        <v>31</v>
      </c>
      <c r="I28" t="s">
        <v>46</v>
      </c>
      <c r="J28" t="s">
        <v>36</v>
      </c>
      <c r="K28" t="s">
        <v>24</v>
      </c>
      <c r="L28" t="s">
        <v>24</v>
      </c>
      <c r="M28">
        <v>3</v>
      </c>
      <c r="N28" t="s">
        <v>24</v>
      </c>
      <c r="O28" t="s">
        <v>24</v>
      </c>
      <c r="P28" t="s">
        <v>24</v>
      </c>
      <c r="Q28" t="s">
        <v>24</v>
      </c>
      <c r="R28">
        <v>1</v>
      </c>
      <c r="S28">
        <v>3</v>
      </c>
      <c r="T28" t="s">
        <v>24</v>
      </c>
      <c r="U28" s="12" t="s">
        <v>66</v>
      </c>
      <c r="W28" t="s">
        <v>151</v>
      </c>
    </row>
    <row r="29" spans="1:23" ht="240">
      <c r="A29" t="s">
        <v>107</v>
      </c>
      <c r="B29" t="s">
        <v>113</v>
      </c>
      <c r="C29" t="s">
        <v>58</v>
      </c>
      <c r="D29">
        <v>6</v>
      </c>
      <c r="E29" t="s">
        <v>63</v>
      </c>
      <c r="G29" t="s">
        <v>31</v>
      </c>
      <c r="I29" t="s">
        <v>41</v>
      </c>
      <c r="K29" t="s">
        <v>24</v>
      </c>
      <c r="L29" t="s">
        <v>24</v>
      </c>
      <c r="M29" t="s">
        <v>32</v>
      </c>
      <c r="N29" t="s">
        <v>24</v>
      </c>
      <c r="O29" t="s">
        <v>24</v>
      </c>
      <c r="P29" t="s">
        <v>24</v>
      </c>
      <c r="Q29" t="s">
        <v>24</v>
      </c>
      <c r="R29" t="s">
        <v>32</v>
      </c>
      <c r="S29">
        <v>3</v>
      </c>
      <c r="T29" t="s">
        <v>24</v>
      </c>
      <c r="U29" s="12" t="s">
        <v>64</v>
      </c>
      <c r="V29" t="s">
        <v>144</v>
      </c>
      <c r="W29" t="s">
        <v>151</v>
      </c>
    </row>
    <row r="30" spans="1:23">
      <c r="A30" t="s">
        <v>107</v>
      </c>
      <c r="B30" t="s">
        <v>112</v>
      </c>
      <c r="C30" t="s">
        <v>58</v>
      </c>
      <c r="D30">
        <v>5</v>
      </c>
      <c r="E30" t="s">
        <v>60</v>
      </c>
      <c r="G30" t="s">
        <v>29</v>
      </c>
      <c r="I30" t="s">
        <v>30</v>
      </c>
      <c r="J30" t="s">
        <v>34</v>
      </c>
      <c r="K30" t="s">
        <v>24</v>
      </c>
      <c r="L30">
        <v>0</v>
      </c>
      <c r="M30">
        <v>1</v>
      </c>
      <c r="N30" t="s">
        <v>24</v>
      </c>
      <c r="O30">
        <v>7</v>
      </c>
      <c r="P30">
        <v>7</v>
      </c>
      <c r="Q30">
        <v>8</v>
      </c>
      <c r="S30">
        <v>2</v>
      </c>
      <c r="T30" t="s">
        <v>24</v>
      </c>
      <c r="U30" t="s">
        <v>61</v>
      </c>
      <c r="V30" t="s">
        <v>62</v>
      </c>
      <c r="W30" t="s">
        <v>151</v>
      </c>
    </row>
    <row r="31" spans="1:23" ht="240">
      <c r="A31" t="s">
        <v>107</v>
      </c>
      <c r="B31" t="s">
        <v>111</v>
      </c>
      <c r="C31" t="s">
        <v>58</v>
      </c>
      <c r="D31">
        <v>4</v>
      </c>
      <c r="E31" t="s">
        <v>59</v>
      </c>
      <c r="G31" t="s">
        <v>29</v>
      </c>
      <c r="I31" t="s">
        <v>35</v>
      </c>
      <c r="K31" t="s">
        <v>24</v>
      </c>
      <c r="L31">
        <v>50</v>
      </c>
      <c r="M31">
        <v>3</v>
      </c>
      <c r="N31" t="s">
        <v>24</v>
      </c>
      <c r="O31">
        <v>2</v>
      </c>
      <c r="P31">
        <v>2</v>
      </c>
      <c r="Q31">
        <v>4</v>
      </c>
      <c r="S31">
        <v>3</v>
      </c>
      <c r="T31" t="s">
        <v>24</v>
      </c>
      <c r="U31" s="12" t="s">
        <v>135</v>
      </c>
      <c r="V31" t="s">
        <v>143</v>
      </c>
      <c r="W31" t="s">
        <v>151</v>
      </c>
    </row>
    <row r="32" spans="1:23">
      <c r="A32" t="s">
        <v>107</v>
      </c>
      <c r="B32" t="s">
        <v>110</v>
      </c>
      <c r="C32" t="s">
        <v>58</v>
      </c>
      <c r="D32">
        <v>3</v>
      </c>
      <c r="E32" t="s">
        <v>97</v>
      </c>
      <c r="G32" t="s">
        <v>29</v>
      </c>
      <c r="I32" t="s">
        <v>35</v>
      </c>
      <c r="K32" t="s">
        <v>24</v>
      </c>
      <c r="L32">
        <v>20</v>
      </c>
      <c r="M32">
        <v>1</v>
      </c>
      <c r="N32" t="s">
        <v>24</v>
      </c>
      <c r="O32">
        <v>4</v>
      </c>
      <c r="P32">
        <v>3</v>
      </c>
      <c r="Q32">
        <v>5</v>
      </c>
      <c r="S32">
        <v>4</v>
      </c>
      <c r="T32" t="s">
        <v>24</v>
      </c>
      <c r="U32" t="s">
        <v>99</v>
      </c>
      <c r="V32" t="s">
        <v>101</v>
      </c>
      <c r="W32" t="s">
        <v>151</v>
      </c>
    </row>
    <row r="33" spans="1:23">
      <c r="A33" t="s">
        <v>107</v>
      </c>
      <c r="B33" t="s">
        <v>109</v>
      </c>
      <c r="C33" t="s">
        <v>58</v>
      </c>
      <c r="D33">
        <v>2</v>
      </c>
      <c r="E33" t="s">
        <v>148</v>
      </c>
      <c r="G33" t="s">
        <v>33</v>
      </c>
      <c r="K33" t="s">
        <v>24</v>
      </c>
      <c r="L33" t="s">
        <v>24</v>
      </c>
      <c r="M33" t="s">
        <v>24</v>
      </c>
      <c r="N33" t="s">
        <v>24</v>
      </c>
      <c r="O33" t="s">
        <v>24</v>
      </c>
      <c r="P33" t="s">
        <v>24</v>
      </c>
      <c r="Q33" t="s">
        <v>24</v>
      </c>
      <c r="R33" t="s">
        <v>32</v>
      </c>
      <c r="S33">
        <v>1</v>
      </c>
      <c r="T33" t="s">
        <v>24</v>
      </c>
      <c r="U33" t="s">
        <v>104</v>
      </c>
      <c r="W33" t="s">
        <v>151</v>
      </c>
    </row>
    <row r="34" spans="1:23" ht="409.5">
      <c r="A34" t="s">
        <v>107</v>
      </c>
      <c r="B34" t="s">
        <v>108</v>
      </c>
      <c r="C34" t="s">
        <v>58</v>
      </c>
      <c r="D34">
        <v>1</v>
      </c>
      <c r="E34" t="s">
        <v>44</v>
      </c>
      <c r="G34" t="s">
        <v>37</v>
      </c>
      <c r="K34" t="s">
        <v>24</v>
      </c>
      <c r="L34" t="s">
        <v>24</v>
      </c>
      <c r="M34" t="s">
        <v>24</v>
      </c>
      <c r="N34" t="s">
        <v>24</v>
      </c>
      <c r="O34" t="s">
        <v>24</v>
      </c>
      <c r="P34" t="s">
        <v>24</v>
      </c>
      <c r="Q34" t="s">
        <v>24</v>
      </c>
      <c r="S34">
        <v>1</v>
      </c>
      <c r="T34" t="s">
        <v>24</v>
      </c>
      <c r="U34" s="12" t="s">
        <v>103</v>
      </c>
      <c r="W34" t="s">
        <v>151</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4</vt:i4>
      </vt:variant>
    </vt:vector>
  </HeadingPairs>
  <TitlesOfParts>
    <vt:vector size="9" baseType="lpstr">
      <vt:lpstr>Sets</vt:lpstr>
      <vt:lpstr>Card Data</vt:lpstr>
      <vt:lpstr>Special Characters</vt:lpstr>
      <vt:lpstr>Tables</vt:lpstr>
      <vt:lpstr>Sheet2</vt:lpstr>
      <vt:lpstr>GameGUID</vt:lpstr>
      <vt:lpstr>GameVersion</vt:lpstr>
      <vt:lpstr>SymbolTable</vt:lpstr>
      <vt:lpstr>YesNo</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datacard</cp:lastModifiedBy>
  <cp:lastPrinted>2014-08-03T08:06:29Z</cp:lastPrinted>
  <dcterms:created xsi:type="dcterms:W3CDTF">2014-06-30T14:14:02Z</dcterms:created>
  <dcterms:modified xsi:type="dcterms:W3CDTF">2019-02-01T22:08:39Z</dcterms:modified>
</cp:coreProperties>
</file>