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7A2D7E96-6E34-419A-AE5F-296B3A7E7977}"/>
  <workbookPr codeName="ThisWorkbook" defaultThemeVersion="124226"/>
  <bookViews>
    <workbookView xWindow="45" yWindow="-45" windowWidth="20445" windowHeight="8175" activeTab="1"/>
  </bookViews>
  <sheets>
    <sheet name="Sets" sheetId="2" r:id="rId1"/>
    <sheet name="Card Data" sheetId="1" r:id="rId2"/>
    <sheet name="FAQ" sheetId="3" r:id="rId3"/>
    <sheet name="Special Characters" sheetId="7" r:id="rId4"/>
    <sheet name="Tables" sheetId="4" state="hidden" r:id="rId5"/>
    <sheet name="Sheet2" sheetId="6" state="hidden" r:id="rId6"/>
  </sheets>
  <definedNames>
    <definedName name="_xlnm._FilterDatabase" localSheetId="1" hidden="1">'Card Data'!$A$1:$BH$5</definedName>
    <definedName name="GameGUID">Sets!$A$2</definedName>
    <definedName name="GameVersion">Sets!$C$2</definedName>
    <definedName name="_xlnm.Print_Titles" localSheetId="2">FAQ!$4:$4</definedName>
    <definedName name="SymbolTable">Tables!$C$1:$D$11</definedName>
    <definedName name="UseSymbols">FAQ!$B$2</definedName>
    <definedName name="YesNo">Tables!$A$1:$A$2</definedName>
    <definedName name="_xlnm.Print_Area" localSheetId="2">FAQ!$A$4:$C$1812</definedName>
  </definedNames>
  <calcPr calcId="152511"/>
</workbook>
</file>

<file path=xl/calcChain.xml><?xml version="1.0" encoding="utf-8"?>
<calcChain xmlns="http://schemas.openxmlformats.org/spreadsheetml/2006/main">
  <c r="J15" i="2"/>
  <c r="I15"/>
  <c r="I12"/>
  <c r="I13"/>
  <c r="I14"/>
  <c r="G15"/>
  <c r="H15"/>
  <c r="AA15"/>
  <c r="Z15"/>
  <c r="Y15"/>
  <c r="X15"/>
  <c r="W15"/>
  <c r="V15"/>
  <c r="T15"/>
  <c r="S15"/>
  <c r="R15"/>
  <c r="Q15"/>
  <c r="P15"/>
  <c r="O15"/>
  <c r="N15"/>
  <c r="L15"/>
  <c r="K15"/>
  <c r="H10" l="1"/>
  <c r="H11"/>
  <c r="H12"/>
  <c r="H13"/>
  <c r="H14"/>
  <c r="G14"/>
  <c r="J14"/>
  <c r="K14"/>
  <c r="L14"/>
  <c r="N14"/>
  <c r="O14"/>
  <c r="P14"/>
  <c r="Q14"/>
  <c r="R14"/>
  <c r="S14"/>
  <c r="T14"/>
  <c r="V14"/>
  <c r="W14"/>
  <c r="X14"/>
  <c r="Y14"/>
  <c r="Z14"/>
  <c r="AA14"/>
  <c r="H3" l="1"/>
  <c r="H9"/>
  <c r="G9"/>
  <c r="H8"/>
  <c r="H7"/>
  <c r="H6"/>
  <c r="H5"/>
  <c r="H4"/>
  <c r="J3"/>
  <c r="I3" s="1"/>
  <c r="G3"/>
  <c r="G8" l="1"/>
  <c r="J8"/>
  <c r="I8" s="1"/>
  <c r="K8"/>
  <c r="L8"/>
  <c r="N8"/>
  <c r="O8"/>
  <c r="P8"/>
  <c r="Q8"/>
  <c r="R8"/>
  <c r="S8"/>
  <c r="T8"/>
  <c r="V8"/>
  <c r="W8"/>
  <c r="X8"/>
  <c r="Y8"/>
  <c r="Z8"/>
  <c r="AA8"/>
  <c r="J9"/>
  <c r="I9" s="1"/>
  <c r="K9"/>
  <c r="L9"/>
  <c r="N9"/>
  <c r="O9"/>
  <c r="P9"/>
  <c r="Q9"/>
  <c r="R9"/>
  <c r="S9"/>
  <c r="T9"/>
  <c r="V9"/>
  <c r="W9"/>
  <c r="X9"/>
  <c r="Y9"/>
  <c r="Z9"/>
  <c r="AA9"/>
  <c r="G6" l="1"/>
  <c r="J6"/>
  <c r="I6" s="1"/>
  <c r="K6"/>
  <c r="L6"/>
  <c r="N6"/>
  <c r="O6"/>
  <c r="P6"/>
  <c r="Q6"/>
  <c r="R6"/>
  <c r="S6"/>
  <c r="T6"/>
  <c r="V6"/>
  <c r="W6"/>
  <c r="X6"/>
  <c r="Y6"/>
  <c r="Z6"/>
  <c r="AA6"/>
  <c r="G7"/>
  <c r="J7"/>
  <c r="I7" s="1"/>
  <c r="K7"/>
  <c r="L7"/>
  <c r="N7"/>
  <c r="O7"/>
  <c r="P7"/>
  <c r="Q7"/>
  <c r="R7"/>
  <c r="S7"/>
  <c r="T7"/>
  <c r="V7"/>
  <c r="W7"/>
  <c r="X7"/>
  <c r="Y7"/>
  <c r="Z7"/>
  <c r="AA7"/>
  <c r="G10"/>
  <c r="J10"/>
  <c r="I10" s="1"/>
  <c r="K10"/>
  <c r="L10"/>
  <c r="N10"/>
  <c r="O10"/>
  <c r="P10"/>
  <c r="Q10"/>
  <c r="R10"/>
  <c r="S10"/>
  <c r="T10"/>
  <c r="V10"/>
  <c r="W10"/>
  <c r="X10"/>
  <c r="Y10"/>
  <c r="Z10"/>
  <c r="AA10"/>
  <c r="G11"/>
  <c r="J11"/>
  <c r="I11" s="1"/>
  <c r="K11"/>
  <c r="L11"/>
  <c r="N11"/>
  <c r="O11"/>
  <c r="P11"/>
  <c r="Q11"/>
  <c r="R11"/>
  <c r="S11"/>
  <c r="T11"/>
  <c r="V11"/>
  <c r="W11"/>
  <c r="X11"/>
  <c r="Y11"/>
  <c r="Z11"/>
  <c r="AA11"/>
  <c r="G12"/>
  <c r="J12"/>
  <c r="K12"/>
  <c r="L12"/>
  <c r="N12"/>
  <c r="O12"/>
  <c r="P12"/>
  <c r="Q12"/>
  <c r="R12"/>
  <c r="S12"/>
  <c r="T12"/>
  <c r="V12"/>
  <c r="W12"/>
  <c r="X12"/>
  <c r="Y12"/>
  <c r="Z12"/>
  <c r="AA12"/>
  <c r="G13"/>
  <c r="J13"/>
  <c r="K13"/>
  <c r="L13"/>
  <c r="N13"/>
  <c r="O13"/>
  <c r="P13"/>
  <c r="Q13"/>
  <c r="R13"/>
  <c r="S13"/>
  <c r="T13"/>
  <c r="V13"/>
  <c r="W13"/>
  <c r="X13"/>
  <c r="Y13"/>
  <c r="Z13"/>
  <c r="AA13"/>
  <c r="J5"/>
  <c r="I5" s="1"/>
  <c r="K5"/>
  <c r="L5"/>
  <c r="N5"/>
  <c r="O5"/>
  <c r="P5"/>
  <c r="Q5"/>
  <c r="R5"/>
  <c r="S5"/>
  <c r="T5"/>
  <c r="V5"/>
  <c r="W5"/>
  <c r="X5"/>
  <c r="Y5"/>
  <c r="Z5"/>
  <c r="AA5"/>
  <c r="G5"/>
  <c r="AA4" l="1"/>
  <c r="Z4"/>
  <c r="Y4"/>
  <c r="X4"/>
  <c r="W4"/>
  <c r="V4"/>
  <c r="T4"/>
  <c r="S4"/>
  <c r="R4"/>
  <c r="Q4"/>
  <c r="P4"/>
  <c r="O4"/>
  <c r="N4"/>
  <c r="L4"/>
  <c r="K4"/>
  <c r="J4"/>
  <c r="I4" s="1"/>
  <c r="G4"/>
  <c r="L3"/>
  <c r="K3"/>
  <c r="Z3"/>
  <c r="Y3"/>
  <c r="X3"/>
  <c r="W3"/>
  <c r="V3"/>
  <c r="Q3" l="1"/>
  <c r="P3"/>
  <c r="O3"/>
  <c r="N3"/>
  <c r="AA3" l="1"/>
  <c r="T3"/>
  <c r="S3"/>
  <c r="R3"/>
</calcChain>
</file>

<file path=xl/sharedStrings.xml><?xml version="1.0" encoding="utf-8"?>
<sst xmlns="http://schemas.openxmlformats.org/spreadsheetml/2006/main" count="12315" uniqueCount="6932">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</sst>
</file>

<file path=xl/styles.xml><?xml version="1.0" encoding="utf-8"?>
<styleSheet xmlns="http://schemas.openxmlformats.org/spreadsheetml/2006/main">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scheme val="minor"/>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5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42">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sheetPr codeName="Sheet2"/>
  <dimension ref="A1:AA15"/>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B15" sqref="B15"/>
    </sheetView>
  </sheetViews>
  <sheetFormatPr baseColWidth="10"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51" t="s">
        <v>3303</v>
      </c>
      <c r="H1" s="152"/>
      <c r="I1" s="152"/>
      <c r="J1" s="153"/>
      <c r="K1" s="27"/>
      <c r="L1" s="35"/>
      <c r="M1" s="23"/>
      <c r="N1" s="154" t="s">
        <v>4</v>
      </c>
      <c r="O1" s="154"/>
      <c r="P1" s="154"/>
      <c r="Q1" s="154"/>
      <c r="R1" s="154"/>
      <c r="S1" s="154"/>
      <c r="T1" s="154"/>
      <c r="U1" s="21"/>
      <c r="V1" s="154" t="s">
        <v>4079</v>
      </c>
      <c r="W1" s="154"/>
      <c r="X1" s="154"/>
      <c r="Y1" s="154"/>
      <c r="Z1" s="154"/>
      <c r="AA1" s="154"/>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Data'!$K:$K,"Burden")-J12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Data'!$K:$K,"Burden")-J13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14" t="s">
        <v>6791</v>
      </c>
      <c r="B14" s="14" t="s">
        <v>6792</v>
      </c>
      <c r="C14" s="16" t="s">
        <v>2107</v>
      </c>
      <c r="E14" s="14" t="s">
        <v>6793</v>
      </c>
      <c r="G14" s="24">
        <f>SUMIF('Card Data'!$A:$A,$A14,'Card Data'!$E:$E)</f>
        <v>156</v>
      </c>
      <c r="H14" s="24">
        <f>SUMIFS('Card Data'!$E:$E,'Card Data'!$A:$A,$A14,'Card Data'!$K:$K,"&lt;&gt;",'Card Data'!$J:$J,"&lt;&gt;Investigator")-SUMIFS('Card Data'!$E:$E,'Card Data'!$A:$A,$A14,'Card Data'!$K:$K,"&lt;&gt;",'Card Data'!$J:$J,"Mini")</f>
        <v>66</v>
      </c>
      <c r="I14" s="24">
        <f>SUMIFS('Card Data'!$E:$E,'Card Data'!$A:$A,$A14,'Card Data'!$K:$K,"",'Card Data'!$J:$J,"&lt;&gt;Campaign")+SUMIFS('Card Data'!$E:$E,'Card Data'!$A:$A,$A14,'Card Data'!$K:$K,"Burden")-J14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5</v>
      </c>
      <c r="W14" s="24">
        <f>COUNTIFS('Card Data'!$K:$K,W$2,'Card Data'!$A:$A,$A14)</f>
        <v>5</v>
      </c>
      <c r="X14" s="24">
        <f>COUNTIFS('Card Data'!$K:$K,X$2,'Card Data'!$A:$A,$A14)</f>
        <v>5</v>
      </c>
      <c r="Y14" s="24">
        <f>COUNTIFS('Card Data'!$K:$K,Y$2,'Card Data'!$A:$A,$A14)</f>
        <v>5</v>
      </c>
      <c r="Z14" s="24">
        <f>COUNTIFS('Card Data'!$K:$K,Z$2,'Card Data'!$A:$A,$A14)</f>
        <v>5</v>
      </c>
      <c r="AA14" s="24">
        <f>COUNTIFS('Card Data'!$K:$K,AA$2,'Card Data'!$A:$A,$A14)</f>
        <v>22</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Data'!$K:$K,"Burden")-J15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sheetData>
  <mergeCells count="3">
    <mergeCell ref="G1:J1"/>
    <mergeCell ref="N1:T1"/>
    <mergeCell ref="V1:AA1"/>
  </mergeCells>
  <conditionalFormatting sqref="V2">
    <cfRule type="cellIs" dxfId="341" priority="29" operator="equal">
      <formula>"Fellowship"</formula>
    </cfRule>
    <cfRule type="cellIs" dxfId="340" priority="30" operator="equal">
      <formula>"Neutral"</formula>
    </cfRule>
    <cfRule type="cellIs" dxfId="339" priority="31" operator="equal">
      <formula>"Baggins"</formula>
    </cfRule>
    <cfRule type="cellIs" dxfId="338" priority="32" operator="equal">
      <formula>"Lore"</formula>
    </cfRule>
    <cfRule type="cellIs" dxfId="337" priority="33" operator="equal">
      <formula>"Spirit"</formula>
    </cfRule>
    <cfRule type="cellIs" dxfId="336" priority="34" operator="equal">
      <formula>"Tactics"</formula>
    </cfRule>
    <cfRule type="cellIs" dxfId="335" priority="35" operator="equal">
      <formula>"Leadership"</formula>
    </cfRule>
  </conditionalFormatting>
  <conditionalFormatting sqref="W2">
    <cfRule type="cellIs" dxfId="334" priority="22" operator="equal">
      <formula>"Fellowship"</formula>
    </cfRule>
    <cfRule type="cellIs" dxfId="333" priority="23" operator="equal">
      <formula>"Neutral"</formula>
    </cfRule>
    <cfRule type="cellIs" dxfId="332" priority="24" operator="equal">
      <formula>"Baggins"</formula>
    </cfRule>
    <cfRule type="cellIs" dxfId="331" priority="25" operator="equal">
      <formula>"Lore"</formula>
    </cfRule>
    <cfRule type="cellIs" dxfId="330" priority="26" operator="equal">
      <formula>"Spirit"</formula>
    </cfRule>
    <cfRule type="cellIs" dxfId="329" priority="27" operator="equal">
      <formula>"Tactics"</formula>
    </cfRule>
    <cfRule type="cellIs" dxfId="328" priority="28" operator="equal">
      <formula>"Leadership"</formula>
    </cfRule>
  </conditionalFormatting>
  <conditionalFormatting sqref="X2">
    <cfRule type="cellIs" dxfId="327" priority="15" operator="equal">
      <formula>"Fellowship"</formula>
    </cfRule>
    <cfRule type="cellIs" dxfId="326" priority="16" operator="equal">
      <formula>"Neutral"</formula>
    </cfRule>
    <cfRule type="cellIs" dxfId="325" priority="17" operator="equal">
      <formula>"Baggins"</formula>
    </cfRule>
    <cfRule type="cellIs" dxfId="324" priority="18" operator="equal">
      <formula>"Lore"</formula>
    </cfRule>
    <cfRule type="cellIs" dxfId="323" priority="19" operator="equal">
      <formula>"Spirit"</formula>
    </cfRule>
    <cfRule type="cellIs" dxfId="322" priority="20" operator="equal">
      <formula>"Tactics"</formula>
    </cfRule>
    <cfRule type="cellIs" dxfId="321" priority="21" operator="equal">
      <formula>"Leadership"</formula>
    </cfRule>
  </conditionalFormatting>
  <conditionalFormatting sqref="Y2:Z2">
    <cfRule type="cellIs" dxfId="320" priority="8" operator="equal">
      <formula>"Fellowship"</formula>
    </cfRule>
    <cfRule type="cellIs" dxfId="319" priority="9" operator="equal">
      <formula>"Neutral"</formula>
    </cfRule>
    <cfRule type="cellIs" dxfId="318" priority="10" operator="equal">
      <formula>"Baggins"</formula>
    </cfRule>
    <cfRule type="cellIs" dxfId="317" priority="11" operator="equal">
      <formula>"Lore"</formula>
    </cfRule>
    <cfRule type="cellIs" dxfId="316" priority="12" operator="equal">
      <formula>"Spirit"</formula>
    </cfRule>
    <cfRule type="cellIs" dxfId="315" priority="13" operator="equal">
      <formula>"Tactics"</formula>
    </cfRule>
    <cfRule type="cellIs" dxfId="314" priority="14" operator="equal">
      <formula>"Leadership"</formula>
    </cfRule>
  </conditionalFormatting>
  <conditionalFormatting sqref="AA2">
    <cfRule type="cellIs" dxfId="313" priority="1" operator="equal">
      <formula>"Fellowship"</formula>
    </cfRule>
    <cfRule type="cellIs" dxfId="312" priority="2" operator="equal">
      <formula>"Neutral"</formula>
    </cfRule>
    <cfRule type="cellIs" dxfId="311" priority="3" operator="equal">
      <formula>"Baggins"</formula>
    </cfRule>
    <cfRule type="cellIs" dxfId="310" priority="4" operator="equal">
      <formula>"Lore"</formula>
    </cfRule>
    <cfRule type="cellIs" dxfId="309" priority="5" operator="equal">
      <formula>"Spirit"</formula>
    </cfRule>
    <cfRule type="cellIs" dxfId="308" priority="6" operator="equal">
      <formula>"Tactics"</formula>
    </cfRule>
    <cfRule type="cellIs" dxfId="307" priority="7" operator="equal">
      <formula>"Leadership"</formula>
    </cfRule>
  </conditionalFormatting>
  <pageMargins left="0.7" right="0.7" top="0.75" bottom="0.75" header="0.3" footer="0.3"/>
  <pageSetup paperSize="9" orientation="portrait" horizontalDpi="4294967293" verticalDpi="1200" r:id="rId1"/>
  <legacyDrawing r:id="rId2"/>
</worksheet>
</file>

<file path=xl/worksheets/sheet2.xml><?xml version="1.0" encoding="utf-8"?>
<worksheet xmlns="http://schemas.openxmlformats.org/spreadsheetml/2006/main" xmlns:r="http://schemas.openxmlformats.org/officeDocument/2006/relationships">
  <sheetPr codeName="Sheet1"/>
  <dimension ref="A1:BP1023"/>
  <sheetViews>
    <sheetView tabSelected="1" zoomScale="85" zoomScaleNormal="85" workbookViewId="0">
      <pane xSplit="7" ySplit="1" topLeftCell="H721" activePane="bottomRight" state="frozen"/>
      <selection activeCell="E1" sqref="E1"/>
      <selection pane="topRight" activeCell="F1" sqref="F1"/>
      <selection pane="bottomLeft" activeCell="E2" sqref="E2"/>
      <selection pane="bottomRight" activeCell="G727" sqref="G727"/>
    </sheetView>
  </sheetViews>
  <sheetFormatPr baseColWidth="10"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36" t="s">
        <v>6791</v>
      </c>
      <c r="B617" s="36" t="s">
        <v>6681</v>
      </c>
      <c r="C617" s="36" t="s">
        <v>6214</v>
      </c>
      <c r="D617" s="37">
        <v>1</v>
      </c>
      <c r="E617" s="36">
        <v>1</v>
      </c>
      <c r="G617" s="36"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58"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58"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58"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58"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58"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58"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58" ht="15" customHeight="1">
      <c r="A727" s="41" t="s">
        <v>6794</v>
      </c>
      <c r="B727" s="41" t="s">
        <v>6797</v>
      </c>
      <c r="C727" s="41" t="s">
        <v>6215</v>
      </c>
      <c r="D727" s="44">
        <v>106</v>
      </c>
      <c r="E727" s="41">
        <v>2</v>
      </c>
      <c r="F727" s="41"/>
      <c r="G727" s="41" t="s">
        <v>6798</v>
      </c>
      <c r="H727" s="41"/>
      <c r="J727" s="36" t="s">
        <v>27</v>
      </c>
      <c r="K727" s="36" t="s">
        <v>4052</v>
      </c>
      <c r="L727" s="36">
        <v>0</v>
      </c>
      <c r="N727" s="37">
        <v>1</v>
      </c>
      <c r="O727" s="131">
        <v>1</v>
      </c>
      <c r="P727" s="132"/>
      <c r="Q727" s="133">
        <v>1</v>
      </c>
      <c r="R727" s="42"/>
      <c r="S727" s="134"/>
      <c r="T727" s="135"/>
      <c r="U727" s="131"/>
      <c r="V727" s="136"/>
      <c r="W727" s="137"/>
      <c r="X727" s="138"/>
      <c r="Y727" s="42"/>
      <c r="Z727" s="135"/>
      <c r="AA727" s="139"/>
      <c r="AB727" s="28" t="s">
        <v>4937</v>
      </c>
      <c r="AD727" s="36" t="s">
        <v>6799</v>
      </c>
      <c r="AF727" s="36" t="s">
        <v>6800</v>
      </c>
      <c r="AI727" s="41"/>
      <c r="AJ727" s="41"/>
      <c r="AO727" s="37"/>
      <c r="AP727" s="37"/>
      <c r="AQ727" s="131"/>
      <c r="AR727" s="132"/>
      <c r="AS727" s="133"/>
      <c r="AT727" s="42"/>
      <c r="AU727" s="135"/>
      <c r="AV727" s="131"/>
      <c r="AW727" s="136"/>
      <c r="AX727" s="137"/>
      <c r="AY727" s="138"/>
      <c r="AZ727" s="42"/>
      <c r="BA727" s="135"/>
      <c r="BB727" s="139"/>
      <c r="BE727" s="37"/>
      <c r="BF727" s="36"/>
    </row>
    <row r="728" spans="1:58" ht="15" customHeight="1">
      <c r="A728" s="41" t="s">
        <v>6794</v>
      </c>
      <c r="B728" s="36" t="s">
        <v>6801</v>
      </c>
      <c r="C728" s="36" t="s">
        <v>6215</v>
      </c>
      <c r="D728" s="37">
        <v>107</v>
      </c>
      <c r="E728" s="36">
        <v>2</v>
      </c>
      <c r="G728" s="36" t="s">
        <v>6802</v>
      </c>
      <c r="J728" s="36" t="s">
        <v>4111</v>
      </c>
      <c r="K728" s="36" t="s">
        <v>4052</v>
      </c>
      <c r="L728" s="36">
        <v>1</v>
      </c>
      <c r="N728" s="37">
        <v>1</v>
      </c>
      <c r="O728" s="131"/>
      <c r="P728" s="132"/>
      <c r="Q728" s="133">
        <v>1</v>
      </c>
      <c r="R728" s="42">
        <v>1</v>
      </c>
      <c r="S728" s="134"/>
      <c r="T728" s="135"/>
      <c r="U728" s="131">
        <v>1</v>
      </c>
      <c r="V728" s="136"/>
      <c r="W728" s="137"/>
      <c r="X728" s="138"/>
      <c r="Y728" s="42"/>
      <c r="Z728" s="135"/>
      <c r="AA728" s="139"/>
      <c r="AB728" s="28" t="s">
        <v>4941</v>
      </c>
      <c r="AD728" s="36" t="s">
        <v>6803</v>
      </c>
      <c r="AF728" s="36" t="s">
        <v>6804</v>
      </c>
      <c r="AO728" s="37"/>
      <c r="AP728" s="37"/>
      <c r="AQ728" s="131"/>
      <c r="AR728" s="132"/>
      <c r="AS728" s="133"/>
      <c r="AT728" s="42"/>
      <c r="AU728" s="135"/>
      <c r="AV728" s="131"/>
      <c r="AW728" s="136"/>
      <c r="AX728" s="137"/>
      <c r="AY728" s="138"/>
      <c r="AZ728" s="42"/>
      <c r="BA728" s="135"/>
      <c r="BB728" s="139"/>
      <c r="BE728" s="37"/>
      <c r="BF728" s="36"/>
    </row>
    <row r="729" spans="1:58" ht="15" customHeight="1">
      <c r="A729" s="41" t="s">
        <v>6794</v>
      </c>
      <c r="B729" s="36" t="s">
        <v>6805</v>
      </c>
      <c r="C729" s="36" t="s">
        <v>6215</v>
      </c>
      <c r="D729" s="37">
        <v>108</v>
      </c>
      <c r="E729" s="36">
        <v>2</v>
      </c>
      <c r="G729" s="36" t="s">
        <v>6806</v>
      </c>
      <c r="J729" s="36" t="s">
        <v>27</v>
      </c>
      <c r="K729" s="36" t="s">
        <v>4053</v>
      </c>
      <c r="L729" s="36">
        <v>0</v>
      </c>
      <c r="N729" s="37">
        <v>1</v>
      </c>
      <c r="O729" s="131">
        <v>1</v>
      </c>
      <c r="P729" s="132"/>
      <c r="Q729" s="133">
        <v>1</v>
      </c>
      <c r="R729" s="42"/>
      <c r="S729" s="134"/>
      <c r="T729" s="135"/>
      <c r="U729" s="131"/>
      <c r="V729" s="136"/>
      <c r="W729" s="137"/>
      <c r="X729" s="138"/>
      <c r="Y729" s="42"/>
      <c r="Z729" s="135"/>
      <c r="AA729" s="139"/>
      <c r="AB729" s="28" t="s">
        <v>4937</v>
      </c>
      <c r="AD729" s="36" t="s">
        <v>4194</v>
      </c>
      <c r="AF729" s="36" t="s">
        <v>6807</v>
      </c>
      <c r="AO729" s="37"/>
      <c r="AP729" s="37"/>
      <c r="AQ729" s="131"/>
      <c r="AR729" s="132"/>
      <c r="AS729" s="133"/>
      <c r="AT729" s="42"/>
      <c r="AU729" s="135"/>
      <c r="AV729" s="131"/>
      <c r="AW729" s="136"/>
      <c r="AX729" s="137"/>
      <c r="AY729" s="138"/>
      <c r="AZ729" s="42"/>
      <c r="BA729" s="135"/>
      <c r="BB729" s="139"/>
      <c r="BE729" s="37"/>
      <c r="BF729" s="36"/>
    </row>
    <row r="730" spans="1:58" ht="15" customHeight="1">
      <c r="A730" s="41" t="s">
        <v>6794</v>
      </c>
      <c r="B730" s="36" t="s">
        <v>6808</v>
      </c>
      <c r="C730" s="36" t="s">
        <v>6215</v>
      </c>
      <c r="D730" s="37">
        <v>109</v>
      </c>
      <c r="E730" s="36">
        <v>2</v>
      </c>
      <c r="G730" s="36" t="s">
        <v>6809</v>
      </c>
      <c r="J730" s="36" t="s">
        <v>4111</v>
      </c>
      <c r="K730" s="36" t="s">
        <v>4053</v>
      </c>
      <c r="L730" s="36">
        <v>1</v>
      </c>
      <c r="N730" s="37">
        <v>1</v>
      </c>
      <c r="O730" s="131"/>
      <c r="P730" s="132">
        <v>1</v>
      </c>
      <c r="Q730" s="133">
        <v>1</v>
      </c>
      <c r="R730" s="42"/>
      <c r="S730" s="134"/>
      <c r="T730" s="135"/>
      <c r="U730" s="131">
        <v>1</v>
      </c>
      <c r="V730" s="136"/>
      <c r="W730" s="137"/>
      <c r="X730" s="138"/>
      <c r="Y730" s="42"/>
      <c r="Z730" s="135"/>
      <c r="AA730" s="139"/>
      <c r="AB730" s="28" t="s">
        <v>4945</v>
      </c>
      <c r="AD730" s="36" t="s">
        <v>6803</v>
      </c>
      <c r="AF730" s="36" t="s">
        <v>6810</v>
      </c>
      <c r="AO730" s="37"/>
      <c r="AP730" s="37"/>
      <c r="AQ730" s="131"/>
      <c r="AR730" s="132"/>
      <c r="AS730" s="133"/>
      <c r="AT730" s="42"/>
      <c r="AU730" s="135"/>
      <c r="AV730" s="131"/>
      <c r="AW730" s="136"/>
      <c r="AX730" s="137"/>
      <c r="AY730" s="138"/>
      <c r="AZ730" s="42"/>
      <c r="BA730" s="135"/>
      <c r="BB730" s="139"/>
      <c r="BE730" s="37"/>
      <c r="BF730" s="36"/>
    </row>
    <row r="731" spans="1:58" ht="15" customHeight="1">
      <c r="A731" s="41" t="s">
        <v>6794</v>
      </c>
      <c r="B731" s="36" t="s">
        <v>6811</v>
      </c>
      <c r="C731" s="36" t="s">
        <v>6215</v>
      </c>
      <c r="D731" s="36">
        <v>110</v>
      </c>
      <c r="E731" s="36">
        <v>2</v>
      </c>
      <c r="G731" s="36" t="s">
        <v>6812</v>
      </c>
      <c r="J731" s="36" t="s">
        <v>4111</v>
      </c>
      <c r="K731" s="36" t="s">
        <v>4055</v>
      </c>
      <c r="L731" s="36">
        <v>0</v>
      </c>
      <c r="N731" s="36">
        <v>2</v>
      </c>
      <c r="O731" s="131"/>
      <c r="P731" s="132"/>
      <c r="Q731" s="133">
        <v>1</v>
      </c>
      <c r="R731" s="42"/>
      <c r="S731" s="134"/>
      <c r="T731" s="135"/>
      <c r="U731" s="131"/>
      <c r="V731" s="136"/>
      <c r="W731" s="137"/>
      <c r="X731" s="138"/>
      <c r="Y731" s="42"/>
      <c r="Z731" s="135"/>
      <c r="AA731" s="139"/>
      <c r="AB731" s="28" t="s">
        <v>4060</v>
      </c>
      <c r="AC731" s="36" t="s">
        <v>4112</v>
      </c>
      <c r="AD731" s="36" t="s">
        <v>4206</v>
      </c>
      <c r="AE731" s="36"/>
      <c r="AF731" s="36" t="s">
        <v>6813</v>
      </c>
      <c r="AO731" s="37"/>
      <c r="AP731" s="36"/>
      <c r="AQ731" s="131"/>
      <c r="AR731" s="132"/>
      <c r="AS731" s="133"/>
      <c r="AT731" s="42"/>
      <c r="AU731" s="135"/>
      <c r="AV731" s="131"/>
      <c r="AW731" s="136"/>
      <c r="AX731" s="137"/>
      <c r="AY731" s="138"/>
      <c r="AZ731" s="42"/>
      <c r="BA731" s="135"/>
      <c r="BB731" s="139"/>
      <c r="BE731" s="37"/>
      <c r="BF731" s="36"/>
    </row>
    <row r="732" spans="1:58" ht="15" customHeight="1">
      <c r="A732" s="41" t="s">
        <v>6794</v>
      </c>
      <c r="B732" s="36" t="s">
        <v>6814</v>
      </c>
      <c r="C732" s="36" t="s">
        <v>6215</v>
      </c>
      <c r="D732" s="36">
        <v>111</v>
      </c>
      <c r="E732" s="36">
        <v>2</v>
      </c>
      <c r="G732" s="36" t="s">
        <v>6815</v>
      </c>
      <c r="J732" s="36" t="s">
        <v>4111</v>
      </c>
      <c r="K732" s="36" t="s">
        <v>4055</v>
      </c>
      <c r="L732" s="36">
        <v>1</v>
      </c>
      <c r="N732" s="36">
        <v>1</v>
      </c>
      <c r="O732" s="131">
        <v>1</v>
      </c>
      <c r="P732" s="132"/>
      <c r="Q732" s="133"/>
      <c r="R732" s="42">
        <v>1</v>
      </c>
      <c r="S732" s="134"/>
      <c r="T732" s="135"/>
      <c r="U732" s="131">
        <v>1</v>
      </c>
      <c r="V732" s="136"/>
      <c r="W732" s="137"/>
      <c r="X732" s="138"/>
      <c r="Y732" s="42"/>
      <c r="Z732" s="135"/>
      <c r="AA732" s="139"/>
      <c r="AB732" s="140" t="s">
        <v>4939</v>
      </c>
      <c r="AD732" s="36" t="s">
        <v>6803</v>
      </c>
      <c r="AE732" s="36"/>
      <c r="AF732" s="36" t="s">
        <v>6816</v>
      </c>
      <c r="AO732" s="37"/>
      <c r="AP732" s="36"/>
      <c r="AQ732" s="131"/>
      <c r="AR732" s="132"/>
      <c r="AS732" s="133"/>
      <c r="AT732" s="42"/>
      <c r="AU732" s="135"/>
      <c r="AV732" s="131"/>
      <c r="AW732" s="136"/>
      <c r="AX732" s="137"/>
      <c r="AY732" s="138"/>
      <c r="AZ732" s="42"/>
      <c r="BA732" s="135"/>
      <c r="BB732" s="139"/>
      <c r="BE732" s="37"/>
      <c r="BF732" s="36"/>
    </row>
    <row r="733" spans="1:58" ht="15" customHeight="1">
      <c r="A733" s="41" t="s">
        <v>6794</v>
      </c>
      <c r="B733" s="36" t="s">
        <v>6817</v>
      </c>
      <c r="C733" s="36" t="s">
        <v>6215</v>
      </c>
      <c r="D733" s="36">
        <v>112</v>
      </c>
      <c r="E733" s="36">
        <v>2</v>
      </c>
      <c r="G733" s="36" t="s">
        <v>6818</v>
      </c>
      <c r="H733" s="36" t="s">
        <v>6819</v>
      </c>
      <c r="I733" s="36" t="s">
        <v>4077</v>
      </c>
      <c r="J733" s="36" t="s">
        <v>4111</v>
      </c>
      <c r="K733" s="36" t="s">
        <v>4054</v>
      </c>
      <c r="L733" s="36">
        <v>0</v>
      </c>
      <c r="N733" s="36">
        <v>2</v>
      </c>
      <c r="O733" s="131"/>
      <c r="P733" s="132">
        <v>1</v>
      </c>
      <c r="Q733" s="133"/>
      <c r="R733" s="42"/>
      <c r="S733" s="134"/>
      <c r="T733" s="135">
        <v>2</v>
      </c>
      <c r="U733" s="131">
        <v>1</v>
      </c>
      <c r="V733" s="136"/>
      <c r="W733" s="137"/>
      <c r="X733" s="138"/>
      <c r="Y733" s="42"/>
      <c r="Z733" s="135"/>
      <c r="AA733" s="139"/>
      <c r="AB733" s="28" t="s">
        <v>4059</v>
      </c>
      <c r="AC733" s="36" t="s">
        <v>25</v>
      </c>
      <c r="AD733" s="36" t="s">
        <v>6820</v>
      </c>
      <c r="AE733" s="36"/>
      <c r="AF733" s="36" t="s">
        <v>6821</v>
      </c>
      <c r="AO733" s="37"/>
      <c r="AP733" s="36"/>
      <c r="AQ733" s="131"/>
      <c r="AR733" s="132"/>
      <c r="AS733" s="133"/>
      <c r="AT733" s="42"/>
      <c r="AU733" s="135"/>
      <c r="AV733" s="131"/>
      <c r="AW733" s="136"/>
      <c r="AX733" s="137"/>
      <c r="AY733" s="138"/>
      <c r="AZ733" s="42"/>
      <c r="BA733" s="135"/>
      <c r="BB733" s="139"/>
      <c r="BE733" s="37"/>
      <c r="BF733" s="36"/>
    </row>
    <row r="734" spans="1:58" ht="15" customHeight="1">
      <c r="A734" s="41" t="s">
        <v>6794</v>
      </c>
      <c r="B734" s="36" t="s">
        <v>6822</v>
      </c>
      <c r="C734" s="36" t="s">
        <v>6215</v>
      </c>
      <c r="D734" s="36">
        <v>113</v>
      </c>
      <c r="E734" s="36">
        <v>2</v>
      </c>
      <c r="G734" s="36" t="s">
        <v>6823</v>
      </c>
      <c r="J734" s="36" t="s">
        <v>4111</v>
      </c>
      <c r="K734" s="36" t="s">
        <v>4054</v>
      </c>
      <c r="L734" s="36">
        <v>1</v>
      </c>
      <c r="N734" s="36">
        <v>1</v>
      </c>
      <c r="O734" s="131">
        <v>1</v>
      </c>
      <c r="P734" s="132"/>
      <c r="Q734" s="133"/>
      <c r="R734" s="42"/>
      <c r="S734" s="134"/>
      <c r="T734" s="135"/>
      <c r="U734" s="131">
        <v>1</v>
      </c>
      <c r="V734" s="136"/>
      <c r="W734" s="137"/>
      <c r="X734" s="138"/>
      <c r="Y734" s="42"/>
      <c r="Z734" s="135"/>
      <c r="AA734" s="139"/>
      <c r="AB734" s="140" t="s">
        <v>4058</v>
      </c>
      <c r="AD734" s="36" t="s">
        <v>6803</v>
      </c>
      <c r="AE734" s="36"/>
      <c r="AF734" s="36" t="s">
        <v>6824</v>
      </c>
      <c r="AO734" s="37"/>
      <c r="AP734" s="36"/>
      <c r="AQ734" s="131"/>
      <c r="AR734" s="132"/>
      <c r="AS734" s="133"/>
      <c r="AT734" s="42"/>
      <c r="AU734" s="135"/>
      <c r="AV734" s="131"/>
      <c r="AW734" s="136"/>
      <c r="AX734" s="137"/>
      <c r="AY734" s="138"/>
      <c r="AZ734" s="42"/>
      <c r="BA734" s="135"/>
      <c r="BB734" s="139"/>
      <c r="BE734" s="37"/>
      <c r="BF734" s="36"/>
    </row>
    <row r="735" spans="1:58" ht="15" customHeight="1">
      <c r="A735" s="41" t="s">
        <v>6794</v>
      </c>
      <c r="B735" s="36" t="s">
        <v>6825</v>
      </c>
      <c r="C735" s="36" t="s">
        <v>6215</v>
      </c>
      <c r="D735" s="36">
        <v>114</v>
      </c>
      <c r="E735" s="36">
        <v>2</v>
      </c>
      <c r="G735" s="36" t="s">
        <v>6826</v>
      </c>
      <c r="J735" s="36" t="s">
        <v>4111</v>
      </c>
      <c r="K735" s="36" t="s">
        <v>4056</v>
      </c>
      <c r="L735" s="36">
        <v>0</v>
      </c>
      <c r="N735" s="141">
        <v>0</v>
      </c>
      <c r="O735" s="131">
        <v>1</v>
      </c>
      <c r="P735" s="132"/>
      <c r="Q735" s="133"/>
      <c r="R735" s="42"/>
      <c r="S735" s="134"/>
      <c r="T735" s="135"/>
      <c r="U735" s="131">
        <v>2</v>
      </c>
      <c r="V735" s="136"/>
      <c r="W735" s="137"/>
      <c r="X735" s="138"/>
      <c r="Y735" s="42"/>
      <c r="Z735" s="135"/>
      <c r="AA735" s="139"/>
      <c r="AB735" s="28" t="s">
        <v>4058</v>
      </c>
      <c r="AC735" s="36" t="s">
        <v>4129</v>
      </c>
      <c r="AD735" s="36" t="s">
        <v>4229</v>
      </c>
      <c r="AE735" s="36"/>
      <c r="AO735" s="37"/>
      <c r="AP735" s="36"/>
      <c r="AQ735" s="131"/>
      <c r="AR735" s="132"/>
      <c r="AS735" s="133"/>
      <c r="AT735" s="42"/>
      <c r="AU735" s="135"/>
      <c r="AV735" s="131"/>
      <c r="AW735" s="136"/>
      <c r="AX735" s="137"/>
      <c r="AY735" s="138"/>
      <c r="AZ735" s="42"/>
      <c r="BA735" s="135"/>
      <c r="BB735" s="139"/>
      <c r="BE735" s="37"/>
      <c r="BF735" s="36"/>
    </row>
    <row r="736" spans="1:58" ht="15" customHeight="1">
      <c r="A736" s="41" t="s">
        <v>6794</v>
      </c>
      <c r="B736" s="36" t="s">
        <v>6827</v>
      </c>
      <c r="C736" s="36" t="s">
        <v>6215</v>
      </c>
      <c r="D736" s="36">
        <v>115</v>
      </c>
      <c r="E736" s="36">
        <v>2</v>
      </c>
      <c r="G736" s="36" t="s">
        <v>6828</v>
      </c>
      <c r="J736" s="36" t="s">
        <v>4111</v>
      </c>
      <c r="K736" s="36" t="s">
        <v>4056</v>
      </c>
      <c r="L736" s="36">
        <v>1</v>
      </c>
      <c r="N736" s="36">
        <v>1</v>
      </c>
      <c r="O736" s="131">
        <v>1</v>
      </c>
      <c r="P736" s="132">
        <v>1</v>
      </c>
      <c r="Q736" s="133"/>
      <c r="R736" s="42"/>
      <c r="S736" s="134"/>
      <c r="T736" s="135"/>
      <c r="U736" s="131">
        <v>1</v>
      </c>
      <c r="V736" s="136"/>
      <c r="W736" s="137"/>
      <c r="X736" s="138"/>
      <c r="Y736" s="42"/>
      <c r="Z736" s="135"/>
      <c r="AA736" s="139"/>
      <c r="AB736" s="140" t="s">
        <v>4946</v>
      </c>
      <c r="AD736" s="36" t="s">
        <v>6803</v>
      </c>
      <c r="AE736" s="36"/>
      <c r="AF736" s="36" t="s">
        <v>6829</v>
      </c>
      <c r="AO736" s="37"/>
      <c r="AP736" s="36"/>
      <c r="AQ736" s="131"/>
      <c r="AR736" s="132"/>
      <c r="AS736" s="133"/>
      <c r="AT736" s="42"/>
      <c r="AU736" s="135"/>
      <c r="AV736" s="131"/>
      <c r="AW736" s="136"/>
      <c r="AX736" s="137"/>
      <c r="AY736" s="138"/>
      <c r="AZ736" s="42"/>
      <c r="BA736" s="135"/>
      <c r="BB736" s="139"/>
      <c r="BE736" s="37"/>
      <c r="BF736" s="36"/>
    </row>
    <row r="737" spans="1:59" ht="15" customHeight="1">
      <c r="A737" s="41" t="s">
        <v>6794</v>
      </c>
      <c r="B737" s="36" t="s">
        <v>6830</v>
      </c>
      <c r="C737" s="36" t="s">
        <v>6215</v>
      </c>
      <c r="D737" s="36">
        <v>116</v>
      </c>
      <c r="E737" s="36">
        <v>2</v>
      </c>
      <c r="G737" s="36" t="s">
        <v>6831</v>
      </c>
      <c r="J737" s="36" t="s">
        <v>4166</v>
      </c>
      <c r="K737" s="36" t="s">
        <v>26</v>
      </c>
      <c r="L737" s="36">
        <v>0</v>
      </c>
      <c r="N737" s="36"/>
      <c r="O737" s="131">
        <v>4</v>
      </c>
      <c r="P737" s="132"/>
      <c r="Q737" s="133"/>
      <c r="R737" s="42"/>
      <c r="S737" s="134"/>
      <c r="T737" s="135"/>
      <c r="U737" s="131"/>
      <c r="V737" s="136"/>
      <c r="W737" s="137"/>
      <c r="X737" s="138"/>
      <c r="Y737" s="42"/>
      <c r="Z737" s="135"/>
      <c r="AA737" s="139"/>
      <c r="AB737" s="28" t="s">
        <v>6832</v>
      </c>
      <c r="AD737" s="36" t="s">
        <v>6833</v>
      </c>
      <c r="AE737" s="36"/>
      <c r="AF737" s="36" t="s">
        <v>6834</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6835</v>
      </c>
      <c r="C738" s="36" t="s">
        <v>6215</v>
      </c>
      <c r="D738" s="36">
        <v>117</v>
      </c>
      <c r="E738" s="36">
        <v>2</v>
      </c>
      <c r="G738" s="36" t="s">
        <v>6836</v>
      </c>
      <c r="J738" s="36" t="s">
        <v>4166</v>
      </c>
      <c r="K738" s="36" t="s">
        <v>26</v>
      </c>
      <c r="L738" s="36">
        <v>0</v>
      </c>
      <c r="N738" s="36"/>
      <c r="O738" s="131"/>
      <c r="P738" s="132">
        <v>4</v>
      </c>
      <c r="Q738" s="133"/>
      <c r="R738" s="42"/>
      <c r="S738" s="134"/>
      <c r="T738" s="135"/>
      <c r="U738" s="131"/>
      <c r="V738" s="136"/>
      <c r="W738" s="137"/>
      <c r="X738" s="138"/>
      <c r="Y738" s="42"/>
      <c r="Z738" s="135"/>
      <c r="AA738" s="139"/>
      <c r="AB738" s="140" t="s">
        <v>6837</v>
      </c>
      <c r="AD738" s="36" t="s">
        <v>6833</v>
      </c>
      <c r="AE738" s="36"/>
      <c r="AF738" s="36" t="s">
        <v>6834</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6838</v>
      </c>
      <c r="C739" s="36" t="s">
        <v>6215</v>
      </c>
      <c r="D739" s="36">
        <v>118</v>
      </c>
      <c r="E739" s="36">
        <v>2</v>
      </c>
      <c r="G739" s="36" t="s">
        <v>6839</v>
      </c>
      <c r="J739" s="36" t="s">
        <v>4166</v>
      </c>
      <c r="K739" s="36" t="s">
        <v>26</v>
      </c>
      <c r="L739" s="36">
        <v>0</v>
      </c>
      <c r="N739" s="36"/>
      <c r="O739" s="131"/>
      <c r="P739" s="132"/>
      <c r="Q739" s="133">
        <v>4</v>
      </c>
      <c r="R739" s="42"/>
      <c r="S739" s="134"/>
      <c r="T739" s="135"/>
      <c r="U739" s="131"/>
      <c r="V739" s="136"/>
      <c r="W739" s="137"/>
      <c r="X739" s="138"/>
      <c r="Y739" s="42"/>
      <c r="Z739" s="135"/>
      <c r="AA739" s="139"/>
      <c r="AB739" s="28" t="s">
        <v>6395</v>
      </c>
      <c r="AD739" s="36" t="s">
        <v>6833</v>
      </c>
      <c r="AE739" s="36"/>
      <c r="AF739" s="36" t="s">
        <v>6834</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6840</v>
      </c>
      <c r="C740" s="36" t="s">
        <v>6215</v>
      </c>
      <c r="D740" s="36">
        <v>119</v>
      </c>
      <c r="E740" s="36">
        <v>2</v>
      </c>
      <c r="G740" s="36" t="s">
        <v>6841</v>
      </c>
      <c r="J740" s="36" t="s">
        <v>4166</v>
      </c>
      <c r="K740" s="36" t="s">
        <v>26</v>
      </c>
      <c r="L740" s="36">
        <v>0</v>
      </c>
      <c r="N740" s="36"/>
      <c r="O740" s="131"/>
      <c r="P740" s="132"/>
      <c r="Q740" s="133"/>
      <c r="R740" s="42">
        <v>4</v>
      </c>
      <c r="S740" s="134"/>
      <c r="T740" s="135"/>
      <c r="U740" s="131"/>
      <c r="V740" s="136"/>
      <c r="W740" s="137"/>
      <c r="X740" s="138"/>
      <c r="Y740" s="42"/>
      <c r="Z740" s="135"/>
      <c r="AA740" s="139"/>
      <c r="AB740" s="140" t="s">
        <v>6842</v>
      </c>
      <c r="AD740" s="36" t="s">
        <v>6833</v>
      </c>
      <c r="AE740" s="36"/>
      <c r="AF740" s="36" t="s">
        <v>6834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6843</v>
      </c>
      <c r="C741" s="36" t="s">
        <v>6215</v>
      </c>
      <c r="D741" s="36">
        <v>120</v>
      </c>
      <c r="E741" s="36">
        <v>1</v>
      </c>
      <c r="F741" s="36" t="s">
        <v>6795</v>
      </c>
      <c r="G741" s="36" t="s">
        <v>6795</v>
      </c>
      <c r="J741" s="36" t="s">
        <v>4472</v>
      </c>
      <c r="N741" s="36"/>
      <c r="O741" s="131"/>
      <c r="P741" s="132"/>
      <c r="Q741" s="133"/>
      <c r="R741" s="42"/>
      <c r="S741" s="134"/>
      <c r="T741" s="135"/>
      <c r="U741" s="131"/>
      <c r="V741" s="136"/>
      <c r="W741" s="137"/>
      <c r="X741" s="138"/>
      <c r="Y741" s="42"/>
      <c r="Z741" s="135"/>
      <c r="AA741" s="139"/>
      <c r="AB741" s="28"/>
      <c r="AE741" s="36"/>
      <c r="AF741" s="36" t="s">
        <v>6844</v>
      </c>
      <c r="AI741" s="36" t="s">
        <v>6795</v>
      </c>
      <c r="AL741" s="36" t="s">
        <v>4472</v>
      </c>
      <c r="AO741" s="37"/>
      <c r="AP741" s="36"/>
      <c r="AQ741" s="131"/>
      <c r="AR741" s="132"/>
      <c r="AS741" s="133"/>
      <c r="AT741" s="42"/>
      <c r="AU741" s="135"/>
      <c r="AV741" s="131"/>
      <c r="AW741" s="136"/>
      <c r="AX741" s="137"/>
      <c r="AY741" s="138"/>
      <c r="AZ741" s="42"/>
      <c r="BA741" s="135"/>
      <c r="BB741" s="139"/>
      <c r="BE741" s="37"/>
      <c r="BF741" s="36"/>
      <c r="BG741" s="36" t="s">
        <v>6845</v>
      </c>
    </row>
    <row r="742" spans="1:59" ht="15" customHeight="1">
      <c r="A742" s="41" t="s">
        <v>6794</v>
      </c>
      <c r="B742" s="36" t="s">
        <v>6846</v>
      </c>
      <c r="C742" s="36" t="s">
        <v>6215</v>
      </c>
      <c r="D742" s="36">
        <v>121</v>
      </c>
      <c r="E742" s="36">
        <v>1</v>
      </c>
      <c r="F742" s="36" t="s">
        <v>6795</v>
      </c>
      <c r="G742" s="36" t="s">
        <v>6847</v>
      </c>
      <c r="J742" s="36" t="s">
        <v>4473</v>
      </c>
      <c r="L742" s="36">
        <v>1</v>
      </c>
      <c r="N742" s="36"/>
      <c r="O742" s="131"/>
      <c r="P742" s="132"/>
      <c r="Q742" s="133"/>
      <c r="R742" s="42"/>
      <c r="S742" s="134"/>
      <c r="T742" s="135"/>
      <c r="U742" s="131"/>
      <c r="V742" s="136"/>
      <c r="W742" s="137"/>
      <c r="X742" s="138"/>
      <c r="Y742" s="42"/>
      <c r="Z742" s="135">
        <v>2</v>
      </c>
      <c r="AA742" s="139"/>
      <c r="AB742" s="140"/>
      <c r="AE742" s="36"/>
      <c r="AF742" s="36" t="s">
        <v>6848</v>
      </c>
      <c r="AI742" s="36" t="s">
        <v>6847</v>
      </c>
      <c r="AL742" s="36" t="s">
        <v>4473</v>
      </c>
      <c r="AN742" s="36">
        <v>1</v>
      </c>
      <c r="AO742" s="37"/>
      <c r="AP742" s="36"/>
      <c r="AQ742" s="131"/>
      <c r="AR742" s="132"/>
      <c r="AS742" s="133"/>
      <c r="AT742" s="42"/>
      <c r="AU742" s="135"/>
      <c r="AV742" s="131"/>
      <c r="AW742" s="136"/>
      <c r="AX742" s="137"/>
      <c r="AY742" s="138"/>
      <c r="AZ742" s="42"/>
      <c r="BA742" s="135"/>
      <c r="BB742" s="139"/>
      <c r="BE742" s="37"/>
      <c r="BF742" s="36"/>
      <c r="BG742" s="36" t="s">
        <v>6182</v>
      </c>
    </row>
    <row r="743" spans="1:59" ht="15" customHeight="1">
      <c r="A743" s="41" t="s">
        <v>6794</v>
      </c>
      <c r="B743" s="36" t="s">
        <v>6849</v>
      </c>
      <c r="C743" s="36" t="s">
        <v>6215</v>
      </c>
      <c r="D743" s="36">
        <v>122</v>
      </c>
      <c r="E743" s="36">
        <v>1</v>
      </c>
      <c r="F743" s="36" t="s">
        <v>6795</v>
      </c>
      <c r="G743" s="36" t="s">
        <v>6850</v>
      </c>
      <c r="J743" s="36" t="s">
        <v>4473</v>
      </c>
      <c r="L743" s="36">
        <v>2</v>
      </c>
      <c r="N743" s="36"/>
      <c r="O743" s="131"/>
      <c r="P743" s="132"/>
      <c r="Q743" s="133"/>
      <c r="R743" s="42"/>
      <c r="S743" s="134"/>
      <c r="T743" s="135"/>
      <c r="U743" s="131"/>
      <c r="V743" s="136"/>
      <c r="W743" s="137"/>
      <c r="X743" s="138"/>
      <c r="Y743" s="42"/>
      <c r="Z743" s="135">
        <v>2</v>
      </c>
      <c r="AA743" s="139"/>
      <c r="AB743" s="140"/>
      <c r="AE743" s="36"/>
      <c r="AF743" s="36" t="s">
        <v>6848</v>
      </c>
      <c r="AI743" s="36" t="s">
        <v>6850</v>
      </c>
      <c r="AL743" s="36" t="s">
        <v>4473</v>
      </c>
      <c r="AN743" s="36">
        <v>2</v>
      </c>
      <c r="AO743" s="37"/>
      <c r="AP743" s="36"/>
      <c r="AQ743" s="131"/>
      <c r="AR743" s="132"/>
      <c r="AS743" s="133"/>
      <c r="AT743" s="42"/>
      <c r="AU743" s="135"/>
      <c r="AV743" s="131"/>
      <c r="AW743" s="136"/>
      <c r="AX743" s="137"/>
      <c r="AY743" s="138"/>
      <c r="AZ743" s="42"/>
      <c r="BA743" s="135"/>
      <c r="BB743" s="139"/>
      <c r="BE743" s="37"/>
      <c r="BF743" s="36"/>
      <c r="BG743" s="36" t="s">
        <v>6851</v>
      </c>
    </row>
    <row r="744" spans="1:59" ht="15" customHeight="1">
      <c r="A744" s="41" t="s">
        <v>6794</v>
      </c>
      <c r="B744" s="36" t="s">
        <v>6852</v>
      </c>
      <c r="C744" s="36" t="s">
        <v>6215</v>
      </c>
      <c r="D744" s="36">
        <v>123</v>
      </c>
      <c r="E744" s="36">
        <v>1</v>
      </c>
      <c r="F744" s="36" t="s">
        <v>6795</v>
      </c>
      <c r="G744" s="36" t="s">
        <v>6853</v>
      </c>
      <c r="J744" s="36" t="s">
        <v>4473</v>
      </c>
      <c r="L744" s="36">
        <v>3</v>
      </c>
      <c r="N744" s="36"/>
      <c r="O744" s="131"/>
      <c r="P744" s="132"/>
      <c r="Q744" s="133"/>
      <c r="R744" s="42"/>
      <c r="S744" s="134"/>
      <c r="T744" s="135"/>
      <c r="U744" s="131"/>
      <c r="V744" s="136"/>
      <c r="W744" s="137"/>
      <c r="X744" s="138"/>
      <c r="Y744" s="42"/>
      <c r="Z744" s="135">
        <v>3</v>
      </c>
      <c r="AA744" s="139"/>
      <c r="AB744" s="140"/>
      <c r="AE744" s="36"/>
      <c r="AF744" s="36" t="s">
        <v>6848</v>
      </c>
      <c r="AI744" s="36" t="s">
        <v>6853</v>
      </c>
      <c r="AL744" s="36" t="s">
        <v>4473</v>
      </c>
      <c r="AN744" s="36">
        <v>3</v>
      </c>
      <c r="AO744" s="37"/>
      <c r="AP744" s="36"/>
      <c r="AQ744" s="131"/>
      <c r="AR744" s="132"/>
      <c r="AS744" s="133"/>
      <c r="AT744" s="42"/>
      <c r="AU744" s="135"/>
      <c r="AV744" s="131"/>
      <c r="AW744" s="136"/>
      <c r="AX744" s="137"/>
      <c r="AY744" s="138"/>
      <c r="AZ744" s="42"/>
      <c r="BA744" s="135"/>
      <c r="BB744" s="139"/>
      <c r="BE744" s="37"/>
      <c r="BF744" s="36"/>
      <c r="BG744" s="36" t="s">
        <v>6854</v>
      </c>
    </row>
    <row r="745" spans="1:59" ht="15" customHeight="1">
      <c r="A745" s="41" t="s">
        <v>6794</v>
      </c>
      <c r="B745" s="36" t="s">
        <v>6855</v>
      </c>
      <c r="C745" s="36" t="s">
        <v>6215</v>
      </c>
      <c r="D745" s="36">
        <v>124</v>
      </c>
      <c r="E745" s="36">
        <v>1</v>
      </c>
      <c r="F745" s="36" t="s">
        <v>6795</v>
      </c>
      <c r="G745" s="36" t="s">
        <v>6856</v>
      </c>
      <c r="J745" s="36" t="s">
        <v>4475</v>
      </c>
      <c r="L745" s="36">
        <v>1</v>
      </c>
      <c r="N745" s="36"/>
      <c r="O745" s="131"/>
      <c r="P745" s="132"/>
      <c r="Q745" s="133"/>
      <c r="R745" s="42"/>
      <c r="S745" s="134"/>
      <c r="T745" s="135"/>
      <c r="U745" s="131"/>
      <c r="V745" s="136"/>
      <c r="W745" s="137"/>
      <c r="X745" s="138"/>
      <c r="Y745" s="42">
        <v>2</v>
      </c>
      <c r="Z745" s="135"/>
      <c r="AA745" s="139"/>
      <c r="AB745" s="140"/>
      <c r="AE745" s="36"/>
      <c r="AI745" s="36" t="s">
        <v>6856</v>
      </c>
      <c r="AL745" s="36" t="s">
        <v>4475</v>
      </c>
      <c r="AN745" s="36">
        <v>1</v>
      </c>
      <c r="AO745" s="37"/>
      <c r="AP745" s="36"/>
      <c r="AQ745" s="131"/>
      <c r="AR745" s="132"/>
      <c r="AS745" s="133"/>
      <c r="AT745" s="42"/>
      <c r="AU745" s="135"/>
      <c r="AV745" s="131"/>
      <c r="AW745" s="136"/>
      <c r="AX745" s="137"/>
      <c r="AY745" s="138"/>
      <c r="AZ745" s="42"/>
      <c r="BA745" s="135"/>
      <c r="BB745" s="139"/>
      <c r="BE745" s="37"/>
      <c r="BF745" s="36"/>
      <c r="BG745" s="36" t="s">
        <v>6857</v>
      </c>
    </row>
    <row r="746" spans="1:59" ht="15" customHeight="1">
      <c r="A746" s="41" t="s">
        <v>6794</v>
      </c>
      <c r="B746" s="36" t="s">
        <v>6858</v>
      </c>
      <c r="C746" s="36" t="s">
        <v>6215</v>
      </c>
      <c r="D746" s="36">
        <v>125</v>
      </c>
      <c r="E746" s="36">
        <v>1</v>
      </c>
      <c r="F746" s="36" t="s">
        <v>6795</v>
      </c>
      <c r="G746" s="36" t="s">
        <v>6859</v>
      </c>
      <c r="J746" s="36" t="s">
        <v>4475</v>
      </c>
      <c r="L746" s="36">
        <v>2</v>
      </c>
      <c r="N746" s="36"/>
      <c r="O746" s="131"/>
      <c r="P746" s="132"/>
      <c r="Q746" s="133"/>
      <c r="R746" s="42"/>
      <c r="S746" s="134"/>
      <c r="T746" s="135"/>
      <c r="U746" s="131"/>
      <c r="V746" s="136"/>
      <c r="W746" s="137"/>
      <c r="X746" s="138"/>
      <c r="Y746" s="42">
        <v>2</v>
      </c>
      <c r="Z746" s="135"/>
      <c r="AA746" s="139"/>
      <c r="AB746" s="140"/>
      <c r="AE746" s="36"/>
      <c r="AI746" s="36" t="s">
        <v>6859</v>
      </c>
      <c r="AL746" s="36" t="s">
        <v>4475</v>
      </c>
      <c r="AN746" s="36">
        <v>2</v>
      </c>
      <c r="AO746" s="37"/>
      <c r="AP746" s="36"/>
      <c r="AQ746" s="131"/>
      <c r="AR746" s="132"/>
      <c r="AS746" s="133"/>
      <c r="AT746" s="42"/>
      <c r="AU746" s="135"/>
      <c r="AV746" s="131"/>
      <c r="AW746" s="136"/>
      <c r="AX746" s="137"/>
      <c r="AY746" s="138"/>
      <c r="AZ746" s="42"/>
      <c r="BA746" s="135"/>
      <c r="BB746" s="139"/>
      <c r="BE746" s="37"/>
      <c r="BF746" s="36"/>
      <c r="BG746" s="36" t="s">
        <v>6860</v>
      </c>
    </row>
    <row r="747" spans="1:59" ht="15" customHeight="1">
      <c r="A747" s="41" t="s">
        <v>6794</v>
      </c>
      <c r="B747" s="36" t="s">
        <v>6861</v>
      </c>
      <c r="C747" s="36" t="s">
        <v>6215</v>
      </c>
      <c r="D747" s="36">
        <v>126</v>
      </c>
      <c r="E747" s="36">
        <v>1</v>
      </c>
      <c r="F747" s="36" t="s">
        <v>6795</v>
      </c>
      <c r="G747" s="36" t="s">
        <v>6862</v>
      </c>
      <c r="J747" s="36" t="s">
        <v>4475</v>
      </c>
      <c r="L747" s="36">
        <v>3</v>
      </c>
      <c r="N747" s="36"/>
      <c r="O747" s="131"/>
      <c r="P747" s="132"/>
      <c r="Q747" s="133"/>
      <c r="R747" s="42"/>
      <c r="S747" s="134"/>
      <c r="T747" s="135"/>
      <c r="U747" s="131"/>
      <c r="V747" s="136"/>
      <c r="W747" s="137"/>
      <c r="X747" s="138"/>
      <c r="Y747" s="42">
        <v>3</v>
      </c>
      <c r="Z747" s="135"/>
      <c r="AA747" s="139"/>
      <c r="AB747" s="140"/>
      <c r="AE747" s="36"/>
      <c r="AF747" s="36" t="s">
        <v>6863</v>
      </c>
      <c r="AI747" s="36" t="s">
        <v>6862</v>
      </c>
      <c r="AL747" s="36" t="s">
        <v>4475</v>
      </c>
      <c r="AN747" s="36">
        <v>3</v>
      </c>
      <c r="AO747" s="37"/>
      <c r="AP747" s="36"/>
      <c r="AQ747" s="131"/>
      <c r="AR747" s="132"/>
      <c r="AS747" s="133"/>
      <c r="AT747" s="42"/>
      <c r="AU747" s="135"/>
      <c r="AV747" s="131"/>
      <c r="AW747" s="136"/>
      <c r="AX747" s="137"/>
      <c r="AY747" s="138"/>
      <c r="AZ747" s="42"/>
      <c r="BA747" s="135"/>
      <c r="BB747" s="139"/>
      <c r="BE747" s="37"/>
      <c r="BF747" s="36"/>
      <c r="BG747" s="36" t="s">
        <v>6864</v>
      </c>
    </row>
    <row r="748" spans="1:59" ht="15" customHeight="1">
      <c r="A748" s="41" t="s">
        <v>6794</v>
      </c>
      <c r="B748" s="36" t="s">
        <v>6865</v>
      </c>
      <c r="C748" s="36" t="s">
        <v>6215</v>
      </c>
      <c r="D748" s="36">
        <v>127</v>
      </c>
      <c r="E748" s="36">
        <v>1</v>
      </c>
      <c r="F748" s="36" t="s">
        <v>6795</v>
      </c>
      <c r="G748" s="36" t="s">
        <v>6866</v>
      </c>
      <c r="J748" s="36" t="s">
        <v>31</v>
      </c>
      <c r="N748" s="36"/>
      <c r="O748" s="131"/>
      <c r="P748" s="132"/>
      <c r="Q748" s="133"/>
      <c r="R748" s="42"/>
      <c r="S748" s="134"/>
      <c r="T748" s="135"/>
      <c r="U748" s="131"/>
      <c r="V748" s="136"/>
      <c r="W748" s="137"/>
      <c r="X748" s="138"/>
      <c r="Y748" s="42"/>
      <c r="Z748" s="135"/>
      <c r="AA748" s="139"/>
      <c r="AB748" s="140"/>
      <c r="AD748" s="36" t="s">
        <v>6867</v>
      </c>
      <c r="AE748" s="36"/>
      <c r="AF748" s="36" t="s">
        <v>6868</v>
      </c>
      <c r="AI748" s="36" t="s">
        <v>6866</v>
      </c>
      <c r="AL748" s="36" t="s">
        <v>31</v>
      </c>
      <c r="AO748" s="37"/>
      <c r="AP748" s="36"/>
      <c r="AQ748" s="131"/>
      <c r="AR748" s="132"/>
      <c r="AS748" s="133"/>
      <c r="AT748" s="42"/>
      <c r="AU748" s="135"/>
      <c r="AV748" s="131"/>
      <c r="AW748" s="136"/>
      <c r="AX748" s="137"/>
      <c r="AY748" s="138">
        <v>2</v>
      </c>
      <c r="AZ748" s="42">
        <v>0</v>
      </c>
      <c r="BA748" s="135"/>
      <c r="BB748" s="139"/>
      <c r="BE748" s="37" t="s">
        <v>6867</v>
      </c>
      <c r="BF748" s="36"/>
      <c r="BG748" s="36" t="s">
        <v>6869</v>
      </c>
    </row>
    <row r="749" spans="1:59" ht="15" customHeight="1">
      <c r="A749" s="41" t="s">
        <v>6794</v>
      </c>
      <c r="B749" s="36" t="s">
        <v>6870</v>
      </c>
      <c r="C749" s="36" t="s">
        <v>6215</v>
      </c>
      <c r="D749" s="36">
        <v>128</v>
      </c>
      <c r="E749" s="36">
        <v>1</v>
      </c>
      <c r="F749" s="36" t="s">
        <v>6795</v>
      </c>
      <c r="G749" s="36" t="s">
        <v>4598</v>
      </c>
      <c r="J749" s="36" t="s">
        <v>31</v>
      </c>
      <c r="N749" s="36"/>
      <c r="O749" s="131"/>
      <c r="P749" s="132"/>
      <c r="Q749" s="133"/>
      <c r="R749" s="42"/>
      <c r="S749" s="134"/>
      <c r="T749" s="135"/>
      <c r="U749" s="131"/>
      <c r="V749" s="136"/>
      <c r="W749" s="137"/>
      <c r="X749" s="138"/>
      <c r="Y749" s="42"/>
      <c r="Z749" s="135"/>
      <c r="AA749" s="139"/>
      <c r="AB749" s="140"/>
      <c r="AD749" s="36" t="s">
        <v>6867</v>
      </c>
      <c r="AE749" s="36"/>
      <c r="AF749" s="36" t="s">
        <v>6871</v>
      </c>
      <c r="AI749" s="36" t="s">
        <v>4598</v>
      </c>
      <c r="AJ749" s="36" t="s">
        <v>6872</v>
      </c>
      <c r="AL749" s="36" t="s">
        <v>31</v>
      </c>
      <c r="AO749" s="37"/>
      <c r="AP749" s="36"/>
      <c r="AQ749" s="131"/>
      <c r="AR749" s="132"/>
      <c r="AS749" s="133"/>
      <c r="AT749" s="42"/>
      <c r="AU749" s="135"/>
      <c r="AV749" s="131"/>
      <c r="AW749" s="136"/>
      <c r="AX749" s="137"/>
      <c r="AY749" s="138">
        <v>4</v>
      </c>
      <c r="AZ749" s="42">
        <v>1</v>
      </c>
      <c r="BA749" s="135"/>
      <c r="BB749" s="139"/>
      <c r="BE749" s="37" t="s">
        <v>6867</v>
      </c>
      <c r="BF749" s="36"/>
      <c r="BG749" s="36" t="s">
        <v>6873</v>
      </c>
    </row>
    <row r="750" spans="1:59" ht="15" customHeight="1">
      <c r="A750" s="41" t="s">
        <v>6794</v>
      </c>
      <c r="B750" s="36" t="s">
        <v>6874</v>
      </c>
      <c r="C750" s="36" t="s">
        <v>6215</v>
      </c>
      <c r="D750" s="36">
        <v>129</v>
      </c>
      <c r="E750" s="36">
        <v>1</v>
      </c>
      <c r="F750" s="36" t="s">
        <v>6795</v>
      </c>
      <c r="G750" s="36" t="s">
        <v>4598</v>
      </c>
      <c r="J750" s="36" t="s">
        <v>31</v>
      </c>
      <c r="N750" s="36"/>
      <c r="O750" s="131"/>
      <c r="P750" s="132"/>
      <c r="Q750" s="133"/>
      <c r="R750" s="42"/>
      <c r="S750" s="134"/>
      <c r="T750" s="135"/>
      <c r="U750" s="131"/>
      <c r="V750" s="136"/>
      <c r="W750" s="137"/>
      <c r="X750" s="138"/>
      <c r="Y750" s="42"/>
      <c r="Z750" s="135"/>
      <c r="AA750" s="139"/>
      <c r="AB750" s="140"/>
      <c r="AD750" s="36" t="s">
        <v>6867</v>
      </c>
      <c r="AE750" s="36"/>
      <c r="AF750" s="36" t="s">
        <v>6871</v>
      </c>
      <c r="AI750" s="36" t="s">
        <v>4598</v>
      </c>
      <c r="AJ750" s="36" t="s">
        <v>6875</v>
      </c>
      <c r="AL750" s="36" t="s">
        <v>31</v>
      </c>
      <c r="AO750" s="37"/>
      <c r="AP750" s="36"/>
      <c r="AQ750" s="131"/>
      <c r="AR750" s="132"/>
      <c r="AS750" s="133"/>
      <c r="AT750" s="42"/>
      <c r="AU750" s="135"/>
      <c r="AV750" s="131"/>
      <c r="AW750" s="136"/>
      <c r="AX750" s="137"/>
      <c r="AY750" s="138">
        <v>2</v>
      </c>
      <c r="AZ750" s="42">
        <v>1</v>
      </c>
      <c r="BA750" s="135"/>
      <c r="BB750" s="139"/>
      <c r="BE750" s="37" t="s">
        <v>6867</v>
      </c>
      <c r="BF750" s="36"/>
      <c r="BG750" s="36" t="s">
        <v>6876</v>
      </c>
    </row>
    <row r="751" spans="1:59" ht="15" customHeight="1">
      <c r="A751" s="41" t="s">
        <v>6794</v>
      </c>
      <c r="B751" s="36" t="s">
        <v>6877</v>
      </c>
      <c r="C751" s="36" t="s">
        <v>6215</v>
      </c>
      <c r="D751" s="36">
        <v>130</v>
      </c>
      <c r="E751" s="36">
        <v>1</v>
      </c>
      <c r="F751" s="36" t="s">
        <v>6795</v>
      </c>
      <c r="G751" s="36" t="s">
        <v>4598</v>
      </c>
      <c r="J751" s="36" t="s">
        <v>31</v>
      </c>
      <c r="N751" s="36"/>
      <c r="O751" s="131"/>
      <c r="P751" s="132"/>
      <c r="Q751" s="133"/>
      <c r="R751" s="42"/>
      <c r="S751" s="134"/>
      <c r="T751" s="135"/>
      <c r="U751" s="131"/>
      <c r="V751" s="136"/>
      <c r="W751" s="137"/>
      <c r="X751" s="138"/>
      <c r="Y751" s="42"/>
      <c r="Z751" s="135"/>
      <c r="AA751" s="139"/>
      <c r="AB751" s="140"/>
      <c r="AD751" s="36" t="s">
        <v>6867</v>
      </c>
      <c r="AE751" s="36"/>
      <c r="AF751" s="36" t="s">
        <v>6871</v>
      </c>
      <c r="AI751" s="36" t="s">
        <v>4598</v>
      </c>
      <c r="AJ751" s="36" t="s">
        <v>6878</v>
      </c>
      <c r="AL751" s="36" t="s">
        <v>31</v>
      </c>
      <c r="AO751" s="37"/>
      <c r="AP751" s="36"/>
      <c r="AQ751" s="131"/>
      <c r="AR751" s="132"/>
      <c r="AS751" s="133"/>
      <c r="AT751" s="42"/>
      <c r="AU751" s="135"/>
      <c r="AV751" s="131"/>
      <c r="AW751" s="136"/>
      <c r="AX751" s="137"/>
      <c r="AY751" s="138">
        <v>2</v>
      </c>
      <c r="AZ751" s="42">
        <v>1</v>
      </c>
      <c r="BA751" s="135"/>
      <c r="BB751" s="139"/>
      <c r="BE751" s="37" t="s">
        <v>6867</v>
      </c>
      <c r="BF751" s="36"/>
      <c r="BG751" s="36" t="s">
        <v>6879</v>
      </c>
    </row>
    <row r="752" spans="1:59" ht="15" customHeight="1">
      <c r="A752" s="41" t="s">
        <v>6794</v>
      </c>
      <c r="B752" s="36" t="s">
        <v>6880</v>
      </c>
      <c r="C752" s="36" t="s">
        <v>6215</v>
      </c>
      <c r="D752" s="36">
        <v>131</v>
      </c>
      <c r="E752" s="36">
        <v>1</v>
      </c>
      <c r="F752" s="36" t="s">
        <v>6795</v>
      </c>
      <c r="G752" s="36" t="s">
        <v>5321</v>
      </c>
      <c r="J752" s="36" t="s">
        <v>31</v>
      </c>
      <c r="N752" s="36"/>
      <c r="O752" s="131"/>
      <c r="P752" s="132"/>
      <c r="Q752" s="133"/>
      <c r="R752" s="42"/>
      <c r="S752" s="134"/>
      <c r="T752" s="135"/>
      <c r="U752" s="131"/>
      <c r="V752" s="136"/>
      <c r="W752" s="137"/>
      <c r="X752" s="138"/>
      <c r="Y752" s="42"/>
      <c r="Z752" s="135"/>
      <c r="AA752" s="139"/>
      <c r="AB752" s="140"/>
      <c r="AD752" s="36" t="s">
        <v>6881</v>
      </c>
      <c r="AE752" s="36"/>
      <c r="AF752" s="36" t="s">
        <v>6882</v>
      </c>
      <c r="AI752" s="36" t="s">
        <v>5321</v>
      </c>
      <c r="AL752" s="36" t="s">
        <v>31</v>
      </c>
      <c r="AO752" s="37"/>
      <c r="AP752" s="36"/>
      <c r="AQ752" s="131"/>
      <c r="AR752" s="132"/>
      <c r="AS752" s="133"/>
      <c r="AT752" s="42"/>
      <c r="AU752" s="135"/>
      <c r="AV752" s="131"/>
      <c r="AW752" s="136"/>
      <c r="AX752" s="137"/>
      <c r="AY752" s="138">
        <v>3</v>
      </c>
      <c r="AZ752" s="42">
        <v>0</v>
      </c>
      <c r="BA752" s="135"/>
      <c r="BB752" s="139"/>
      <c r="BE752" s="37" t="s">
        <v>6881</v>
      </c>
      <c r="BF752" s="36"/>
      <c r="BG752" s="36" t="s">
        <v>6883</v>
      </c>
    </row>
    <row r="753" spans="1:59" ht="15" customHeight="1">
      <c r="A753" s="41" t="s">
        <v>6794</v>
      </c>
      <c r="B753" s="36" t="s">
        <v>6884</v>
      </c>
      <c r="C753" s="36" t="s">
        <v>6215</v>
      </c>
      <c r="D753" s="36">
        <v>132</v>
      </c>
      <c r="E753" s="36">
        <v>1</v>
      </c>
      <c r="F753" s="36" t="s">
        <v>6795</v>
      </c>
      <c r="G753" s="36" t="s">
        <v>4598</v>
      </c>
      <c r="J753" s="36" t="s">
        <v>31</v>
      </c>
      <c r="N753" s="36"/>
      <c r="O753" s="131"/>
      <c r="P753" s="132"/>
      <c r="Q753" s="133"/>
      <c r="R753" s="42"/>
      <c r="S753" s="134"/>
      <c r="T753" s="135"/>
      <c r="U753" s="131"/>
      <c r="V753" s="136"/>
      <c r="W753" s="137"/>
      <c r="X753" s="138"/>
      <c r="Y753" s="42"/>
      <c r="Z753" s="135"/>
      <c r="AA753" s="139"/>
      <c r="AB753" s="140"/>
      <c r="AD753" s="36" t="s">
        <v>6881</v>
      </c>
      <c r="AE753" s="36"/>
      <c r="AF753" s="36" t="s">
        <v>6871</v>
      </c>
      <c r="AI753" s="36" t="s">
        <v>4598</v>
      </c>
      <c r="AJ753" s="36" t="s">
        <v>6878</v>
      </c>
      <c r="AL753" s="36" t="s">
        <v>31</v>
      </c>
      <c r="AO753" s="37"/>
      <c r="AP753" s="36"/>
      <c r="AQ753" s="131"/>
      <c r="AR753" s="132"/>
      <c r="AS753" s="133"/>
      <c r="AT753" s="42"/>
      <c r="AU753" s="135"/>
      <c r="AV753" s="131"/>
      <c r="AW753" s="136"/>
      <c r="AX753" s="137"/>
      <c r="AY753" s="138">
        <v>2</v>
      </c>
      <c r="AZ753" s="42">
        <v>1</v>
      </c>
      <c r="BA753" s="135"/>
      <c r="BB753" s="139"/>
      <c r="BE753" s="37" t="s">
        <v>6881</v>
      </c>
      <c r="BF753" s="36"/>
      <c r="BG753" s="36" t="s">
        <v>6879</v>
      </c>
    </row>
    <row r="754" spans="1:59" ht="15" customHeight="1">
      <c r="A754" s="41" t="s">
        <v>6794</v>
      </c>
      <c r="B754" s="36" t="s">
        <v>6885</v>
      </c>
      <c r="C754" s="36" t="s">
        <v>6215</v>
      </c>
      <c r="D754" s="36">
        <v>133</v>
      </c>
      <c r="E754" s="36">
        <v>1</v>
      </c>
      <c r="F754" s="36" t="s">
        <v>6795</v>
      </c>
      <c r="G754" s="36" t="s">
        <v>4598</v>
      </c>
      <c r="J754" s="36" t="s">
        <v>31</v>
      </c>
      <c r="N754" s="36"/>
      <c r="O754" s="131"/>
      <c r="P754" s="132"/>
      <c r="Q754" s="133"/>
      <c r="R754" s="42"/>
      <c r="S754" s="134"/>
      <c r="T754" s="135"/>
      <c r="U754" s="131"/>
      <c r="V754" s="136"/>
      <c r="W754" s="137"/>
      <c r="X754" s="138"/>
      <c r="Y754" s="42"/>
      <c r="Z754" s="135"/>
      <c r="AA754" s="139"/>
      <c r="AB754" s="140"/>
      <c r="AD754" s="36" t="s">
        <v>6886</v>
      </c>
      <c r="AE754" s="36"/>
      <c r="AF754" s="36" t="s">
        <v>6871</v>
      </c>
      <c r="AI754" s="36" t="s">
        <v>4598</v>
      </c>
      <c r="AJ754" s="36" t="s">
        <v>6887</v>
      </c>
      <c r="AL754" s="36" t="s">
        <v>31</v>
      </c>
      <c r="AO754" s="37"/>
      <c r="AP754" s="36"/>
      <c r="AQ754" s="131"/>
      <c r="AR754" s="132"/>
      <c r="AS754" s="133"/>
      <c r="AT754" s="42"/>
      <c r="AU754" s="135"/>
      <c r="AV754" s="131"/>
      <c r="AW754" s="136"/>
      <c r="AX754" s="137"/>
      <c r="AY754" s="138">
        <v>3</v>
      </c>
      <c r="AZ754" s="42">
        <v>2</v>
      </c>
      <c r="BA754" s="135"/>
      <c r="BB754" s="139"/>
      <c r="BE754" s="37" t="s">
        <v>6886</v>
      </c>
      <c r="BF754" s="36"/>
      <c r="BG754" s="36" t="s">
        <v>6888</v>
      </c>
    </row>
    <row r="755" spans="1:59" ht="15" customHeight="1">
      <c r="A755" s="41" t="s">
        <v>6794</v>
      </c>
      <c r="B755" s="36" t="s">
        <v>6889</v>
      </c>
      <c r="C755" s="36" t="s">
        <v>6215</v>
      </c>
      <c r="D755" s="36">
        <v>134</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6881</v>
      </c>
      <c r="AE755" s="36"/>
      <c r="AF755" s="36" t="s">
        <v>6871</v>
      </c>
      <c r="AI755" s="36" t="s">
        <v>4598</v>
      </c>
      <c r="AJ755" s="36" t="s">
        <v>6890</v>
      </c>
      <c r="AL755" s="36" t="s">
        <v>31</v>
      </c>
      <c r="AO755" s="37"/>
      <c r="AP755" s="36"/>
      <c r="AQ755" s="131"/>
      <c r="AR755" s="132"/>
      <c r="AS755" s="133"/>
      <c r="AT755" s="42"/>
      <c r="AU755" s="135"/>
      <c r="AV755" s="131"/>
      <c r="AW755" s="136"/>
      <c r="AX755" s="137"/>
      <c r="AY755" s="138">
        <v>5</v>
      </c>
      <c r="AZ755" s="42">
        <v>1</v>
      </c>
      <c r="BA755" s="135"/>
      <c r="BB755" s="139"/>
      <c r="BE755" s="37" t="s">
        <v>6881</v>
      </c>
      <c r="BF755" s="36"/>
      <c r="BG755" s="36" t="s">
        <v>6891</v>
      </c>
    </row>
    <row r="756" spans="1:59" ht="15" customHeight="1">
      <c r="A756" s="41" t="s">
        <v>6794</v>
      </c>
      <c r="B756" s="36" t="s">
        <v>6892</v>
      </c>
      <c r="C756" s="36" t="s">
        <v>6215</v>
      </c>
      <c r="D756" s="36">
        <v>135</v>
      </c>
      <c r="E756" s="36">
        <v>1</v>
      </c>
      <c r="F756" s="36" t="s">
        <v>6795</v>
      </c>
      <c r="G756" s="36" t="s">
        <v>5321</v>
      </c>
      <c r="J756" s="36" t="s">
        <v>31</v>
      </c>
      <c r="N756" s="36"/>
      <c r="O756" s="131"/>
      <c r="P756" s="132"/>
      <c r="Q756" s="133"/>
      <c r="R756" s="42"/>
      <c r="S756" s="134"/>
      <c r="T756" s="135"/>
      <c r="U756" s="131"/>
      <c r="V756" s="136"/>
      <c r="W756" s="137"/>
      <c r="X756" s="138"/>
      <c r="Y756" s="42"/>
      <c r="Z756" s="135"/>
      <c r="AA756" s="139"/>
      <c r="AB756" s="140"/>
      <c r="AD756" s="36" t="s">
        <v>6893</v>
      </c>
      <c r="AE756" s="36"/>
      <c r="AF756" s="36" t="s">
        <v>6894</v>
      </c>
      <c r="AI756" s="36" t="s">
        <v>5321</v>
      </c>
      <c r="AL756" s="36" t="s">
        <v>31</v>
      </c>
      <c r="AO756" s="37"/>
      <c r="AP756" s="36"/>
      <c r="AQ756" s="131"/>
      <c r="AR756" s="132"/>
      <c r="AS756" s="133"/>
      <c r="AT756" s="42"/>
      <c r="AU756" s="135"/>
      <c r="AV756" s="131"/>
      <c r="AW756" s="136"/>
      <c r="AX756" s="137"/>
      <c r="AY756" s="138">
        <v>3</v>
      </c>
      <c r="AZ756" s="42">
        <v>0</v>
      </c>
      <c r="BA756" s="135"/>
      <c r="BB756" s="139"/>
      <c r="BE756" s="37" t="s">
        <v>6893</v>
      </c>
      <c r="BF756" s="36"/>
      <c r="BG756" s="36" t="s">
        <v>6895</v>
      </c>
    </row>
    <row r="757" spans="1:59" ht="15" customHeight="1">
      <c r="A757" s="41" t="s">
        <v>6794</v>
      </c>
      <c r="B757" s="36" t="s">
        <v>6896</v>
      </c>
      <c r="C757" s="36" t="s">
        <v>6215</v>
      </c>
      <c r="D757" s="36">
        <v>136</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6897</v>
      </c>
      <c r="AE757" s="36"/>
      <c r="AF757" s="36" t="s">
        <v>6871</v>
      </c>
      <c r="AI757" s="36" t="s">
        <v>4598</v>
      </c>
      <c r="AJ757" s="36" t="s">
        <v>6887</v>
      </c>
      <c r="AL757" s="36" t="s">
        <v>31</v>
      </c>
      <c r="AO757" s="37"/>
      <c r="AP757" s="36"/>
      <c r="AQ757" s="131"/>
      <c r="AR757" s="132"/>
      <c r="AS757" s="133"/>
      <c r="AT757" s="42"/>
      <c r="AU757" s="135"/>
      <c r="AV757" s="131"/>
      <c r="AW757" s="136"/>
      <c r="AX757" s="137"/>
      <c r="AY757" s="138">
        <v>3</v>
      </c>
      <c r="AZ757" s="42">
        <v>2</v>
      </c>
      <c r="BA757" s="135"/>
      <c r="BB757" s="139"/>
      <c r="BE757" s="37" t="s">
        <v>6897</v>
      </c>
      <c r="BF757" s="36"/>
      <c r="BG757" s="36" t="s">
        <v>6888</v>
      </c>
    </row>
    <row r="758" spans="1:59" ht="15" customHeight="1">
      <c r="A758" s="41" t="s">
        <v>6794</v>
      </c>
      <c r="B758" s="36" t="s">
        <v>6898</v>
      </c>
      <c r="C758" s="36" t="s">
        <v>6215</v>
      </c>
      <c r="D758" s="36">
        <v>137</v>
      </c>
      <c r="E758" s="36">
        <v>1</v>
      </c>
      <c r="F758" s="36" t="s">
        <v>6795</v>
      </c>
      <c r="G758" s="36" t="s">
        <v>4598</v>
      </c>
      <c r="J758" s="36" t="s">
        <v>31</v>
      </c>
      <c r="N758" s="36"/>
      <c r="O758" s="131"/>
      <c r="P758" s="132"/>
      <c r="Q758" s="133"/>
      <c r="R758" s="42"/>
      <c r="S758" s="134"/>
      <c r="T758" s="135"/>
      <c r="U758" s="131"/>
      <c r="V758" s="136"/>
      <c r="W758" s="137"/>
      <c r="X758" s="138"/>
      <c r="Y758" s="42"/>
      <c r="Z758" s="135"/>
      <c r="AA758" s="139"/>
      <c r="AB758" s="140"/>
      <c r="AD758" s="36" t="s">
        <v>6897</v>
      </c>
      <c r="AE758" s="36"/>
      <c r="AF758" s="36" t="s">
        <v>6871</v>
      </c>
      <c r="AI758" s="36" t="s">
        <v>4598</v>
      </c>
      <c r="AJ758" s="36" t="s">
        <v>6899</v>
      </c>
      <c r="AL758" s="36" t="s">
        <v>31</v>
      </c>
      <c r="AO758" s="37"/>
      <c r="AP758" s="36"/>
      <c r="AQ758" s="131"/>
      <c r="AR758" s="132"/>
      <c r="AS758" s="133"/>
      <c r="AT758" s="42"/>
      <c r="AU758" s="135"/>
      <c r="AV758" s="131"/>
      <c r="AW758" s="136"/>
      <c r="AX758" s="137"/>
      <c r="AY758" s="138">
        <v>4</v>
      </c>
      <c r="AZ758" s="42">
        <v>2</v>
      </c>
      <c r="BA758" s="135"/>
      <c r="BB758" s="139"/>
      <c r="BE758" s="37" t="s">
        <v>6897</v>
      </c>
      <c r="BF758" s="36"/>
      <c r="BG758" s="36" t="s">
        <v>6900</v>
      </c>
    </row>
    <row r="759" spans="1:59" ht="15" customHeight="1">
      <c r="A759" s="41" t="s">
        <v>6794</v>
      </c>
      <c r="B759" s="36" t="s">
        <v>6901</v>
      </c>
      <c r="C759" s="36" t="s">
        <v>6215</v>
      </c>
      <c r="D759" s="36">
        <v>138</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6893</v>
      </c>
      <c r="AE759" s="36"/>
      <c r="AF759" s="36" t="s">
        <v>6871</v>
      </c>
      <c r="AI759" s="36" t="s">
        <v>4598</v>
      </c>
      <c r="AJ759" s="36" t="s">
        <v>6875</v>
      </c>
      <c r="AL759" s="36" t="s">
        <v>31</v>
      </c>
      <c r="AO759" s="37"/>
      <c r="AP759" s="36"/>
      <c r="AQ759" s="131"/>
      <c r="AR759" s="132"/>
      <c r="AS759" s="133"/>
      <c r="AT759" s="42"/>
      <c r="AU759" s="135"/>
      <c r="AV759" s="131"/>
      <c r="AW759" s="136"/>
      <c r="AX759" s="137"/>
      <c r="AY759" s="138">
        <v>2</v>
      </c>
      <c r="AZ759" s="42">
        <v>1</v>
      </c>
      <c r="BA759" s="135"/>
      <c r="BB759" s="139"/>
      <c r="BE759" s="37" t="s">
        <v>6893</v>
      </c>
      <c r="BF759" s="36"/>
      <c r="BG759" s="36" t="s">
        <v>6876</v>
      </c>
    </row>
    <row r="760" spans="1:59" ht="15" customHeight="1">
      <c r="A760" s="41" t="s">
        <v>6794</v>
      </c>
      <c r="B760" s="36" t="s">
        <v>6902</v>
      </c>
      <c r="C760" s="36" t="s">
        <v>6215</v>
      </c>
      <c r="D760" s="36">
        <v>139</v>
      </c>
      <c r="E760" s="36">
        <v>1</v>
      </c>
      <c r="F760" s="36" t="s">
        <v>6795</v>
      </c>
      <c r="G760" s="36" t="s">
        <v>6903</v>
      </c>
      <c r="J760" s="36" t="s">
        <v>31</v>
      </c>
      <c r="N760" s="36"/>
      <c r="O760" s="131"/>
      <c r="P760" s="132"/>
      <c r="Q760" s="133"/>
      <c r="R760" s="42"/>
      <c r="S760" s="134"/>
      <c r="T760" s="135"/>
      <c r="U760" s="131"/>
      <c r="V760" s="136"/>
      <c r="W760" s="137"/>
      <c r="X760" s="138"/>
      <c r="Y760" s="42"/>
      <c r="Z760" s="135"/>
      <c r="AA760" s="139"/>
      <c r="AB760" s="140"/>
      <c r="AE760" s="36"/>
      <c r="AF760" s="36" t="s">
        <v>6904</v>
      </c>
      <c r="AI760" s="36" t="s">
        <v>6903</v>
      </c>
      <c r="AL760" s="36" t="s">
        <v>31</v>
      </c>
      <c r="AO760" s="37"/>
      <c r="AP760" s="36"/>
      <c r="AQ760" s="131"/>
      <c r="AR760" s="132"/>
      <c r="AS760" s="133"/>
      <c r="AT760" s="42"/>
      <c r="AU760" s="135"/>
      <c r="AV760" s="131"/>
      <c r="AW760" s="136"/>
      <c r="AX760" s="137"/>
      <c r="AY760" s="138">
        <v>4</v>
      </c>
      <c r="AZ760" s="42">
        <v>3</v>
      </c>
      <c r="BA760" s="135"/>
      <c r="BB760" s="139">
        <v>2</v>
      </c>
      <c r="BE760" s="37"/>
      <c r="BF760" s="36"/>
      <c r="BG760" s="36" t="s">
        <v>6904</v>
      </c>
    </row>
    <row r="761" spans="1:59" ht="15" customHeight="1">
      <c r="A761" s="41" t="s">
        <v>6794</v>
      </c>
      <c r="B761" s="36" t="s">
        <v>6905</v>
      </c>
      <c r="C761" s="36" t="s">
        <v>6215</v>
      </c>
      <c r="D761" s="36">
        <v>140</v>
      </c>
      <c r="E761" s="36">
        <v>1</v>
      </c>
      <c r="F761" s="36" t="s">
        <v>6795</v>
      </c>
      <c r="G761" s="36" t="s">
        <v>6906</v>
      </c>
      <c r="H761" s="36" t="s">
        <v>6907</v>
      </c>
      <c r="J761" s="36" t="s">
        <v>29</v>
      </c>
      <c r="N761" s="36"/>
      <c r="O761" s="131"/>
      <c r="P761" s="132"/>
      <c r="Q761" s="133">
        <v>4</v>
      </c>
      <c r="R761" s="42">
        <v>3</v>
      </c>
      <c r="S761" s="134"/>
      <c r="T761" s="135">
        <v>5</v>
      </c>
      <c r="U761" s="131"/>
      <c r="V761" s="136">
        <v>2</v>
      </c>
      <c r="W761" s="137">
        <v>2</v>
      </c>
      <c r="X761" s="138"/>
      <c r="Y761" s="42"/>
      <c r="Z761" s="135"/>
      <c r="AA761" s="139">
        <v>2</v>
      </c>
      <c r="AB761" s="140"/>
      <c r="AD761" s="36" t="s">
        <v>6908</v>
      </c>
      <c r="AE761" s="36"/>
      <c r="AF761" s="36" t="s">
        <v>6909</v>
      </c>
      <c r="AO761" s="37"/>
      <c r="AP761" s="36"/>
      <c r="AQ761" s="131"/>
      <c r="AR761" s="132"/>
      <c r="AS761" s="133"/>
      <c r="AT761" s="42"/>
      <c r="AU761" s="135"/>
      <c r="AV761" s="131"/>
      <c r="AW761" s="136"/>
      <c r="AX761" s="137"/>
      <c r="AY761" s="138"/>
      <c r="AZ761" s="42"/>
      <c r="BA761" s="135"/>
      <c r="BB761" s="139"/>
      <c r="BE761" s="37"/>
      <c r="BF761" s="36"/>
    </row>
    <row r="762" spans="1:59" ht="15" customHeight="1">
      <c r="A762" s="41" t="s">
        <v>6794</v>
      </c>
      <c r="B762" s="43" t="s">
        <v>6910</v>
      </c>
      <c r="C762" s="36" t="s">
        <v>6215</v>
      </c>
      <c r="D762" s="36">
        <v>141</v>
      </c>
      <c r="E762" s="36">
        <v>1</v>
      </c>
      <c r="F762" s="36" t="s">
        <v>6795</v>
      </c>
      <c r="G762" s="36" t="s">
        <v>6911</v>
      </c>
      <c r="H762" s="36" t="s">
        <v>6912</v>
      </c>
      <c r="I762" s="36" t="s">
        <v>4077</v>
      </c>
      <c r="J762" s="36" t="s">
        <v>4111</v>
      </c>
      <c r="K762" s="36" t="s">
        <v>26</v>
      </c>
      <c r="N762" s="36"/>
      <c r="O762" s="131"/>
      <c r="P762" s="132"/>
      <c r="Q762" s="133"/>
      <c r="R762" s="42"/>
      <c r="S762" s="134"/>
      <c r="T762" s="135">
        <v>2</v>
      </c>
      <c r="U762" s="131">
        <v>2</v>
      </c>
      <c r="V762" s="136"/>
      <c r="W762" s="137"/>
      <c r="X762" s="138"/>
      <c r="Y762" s="42"/>
      <c r="Z762" s="135"/>
      <c r="AA762" s="139"/>
      <c r="AB762" s="140"/>
      <c r="AC762" s="36" t="s">
        <v>25</v>
      </c>
      <c r="AD762" s="36" t="s">
        <v>6913</v>
      </c>
      <c r="AE762" s="36"/>
      <c r="AF762" s="36" t="s">
        <v>6914</v>
      </c>
      <c r="AO762" s="37"/>
      <c r="AP762" s="36"/>
      <c r="AQ762" s="131"/>
      <c r="AR762" s="132"/>
      <c r="AS762" s="133"/>
      <c r="AT762" s="42"/>
      <c r="AU762" s="135"/>
      <c r="AV762" s="131"/>
      <c r="AW762" s="136"/>
      <c r="AX762" s="137"/>
      <c r="AY762" s="138"/>
      <c r="AZ762" s="42"/>
      <c r="BA762" s="135"/>
      <c r="BB762" s="139"/>
      <c r="BE762" s="37"/>
      <c r="BF762" s="36"/>
    </row>
    <row r="763" spans="1:59" ht="15" customHeight="1">
      <c r="A763" s="41" t="s">
        <v>6794</v>
      </c>
      <c r="B763" s="36" t="s">
        <v>6915</v>
      </c>
      <c r="C763" s="36" t="s">
        <v>6215</v>
      </c>
      <c r="D763" s="36">
        <v>142</v>
      </c>
      <c r="E763" s="36">
        <v>1</v>
      </c>
      <c r="F763" s="36" t="s">
        <v>6795</v>
      </c>
      <c r="G763" s="36" t="s">
        <v>6916</v>
      </c>
      <c r="H763" s="36" t="s">
        <v>6917</v>
      </c>
      <c r="J763" s="36" t="s">
        <v>4111</v>
      </c>
      <c r="K763" s="36" t="s">
        <v>26</v>
      </c>
      <c r="M763" s="36" t="s">
        <v>4502</v>
      </c>
      <c r="N763" s="36">
        <v>1</v>
      </c>
      <c r="O763" s="142"/>
      <c r="P763" s="143"/>
      <c r="Q763" s="144"/>
      <c r="R763" s="42"/>
      <c r="S763" s="134"/>
      <c r="T763" s="135"/>
      <c r="U763" s="142"/>
      <c r="V763" s="145"/>
      <c r="W763" s="146"/>
      <c r="X763" s="147"/>
      <c r="Y763" s="42"/>
      <c r="Z763" s="135"/>
      <c r="AA763" s="148"/>
      <c r="AB763" s="140"/>
      <c r="AD763" s="36" t="s">
        <v>4130</v>
      </c>
      <c r="AE763" s="36"/>
      <c r="AF763" s="36" t="s">
        <v>6918</v>
      </c>
      <c r="AO763" s="37"/>
      <c r="AP763" s="36"/>
      <c r="AQ763" s="142"/>
      <c r="AR763" s="143"/>
      <c r="AS763" s="144"/>
      <c r="AT763" s="42"/>
      <c r="AU763" s="135"/>
      <c r="AV763" s="142"/>
      <c r="AW763" s="149"/>
      <c r="AX763" s="150"/>
      <c r="AY763" s="147"/>
      <c r="AZ763" s="42"/>
      <c r="BA763" s="135"/>
      <c r="BB763" s="148"/>
      <c r="BE763" s="37"/>
      <c r="BF763" s="36"/>
    </row>
    <row r="764" spans="1:59" ht="15" customHeight="1">
      <c r="A764" s="41" t="s">
        <v>6794</v>
      </c>
      <c r="B764" s="36" t="s">
        <v>6919</v>
      </c>
      <c r="C764" s="36" t="s">
        <v>6215</v>
      </c>
      <c r="D764" s="36">
        <v>143</v>
      </c>
      <c r="E764" s="36">
        <v>1</v>
      </c>
      <c r="F764" s="36" t="s">
        <v>6795</v>
      </c>
      <c r="G764" s="36" t="s">
        <v>6920</v>
      </c>
      <c r="H764" s="36" t="s">
        <v>6921</v>
      </c>
      <c r="J764" s="36" t="s">
        <v>4111</v>
      </c>
      <c r="K764" s="36" t="s">
        <v>26</v>
      </c>
      <c r="N764" s="36">
        <v>2</v>
      </c>
      <c r="O764" s="142">
        <v>1</v>
      </c>
      <c r="P764" s="143"/>
      <c r="Q764" s="144">
        <v>1</v>
      </c>
      <c r="R764" s="42">
        <v>1</v>
      </c>
      <c r="S764" s="134"/>
      <c r="T764" s="135">
        <v>1</v>
      </c>
      <c r="U764" s="142"/>
      <c r="V764" s="145"/>
      <c r="W764" s="146"/>
      <c r="X764" s="147"/>
      <c r="Y764" s="42"/>
      <c r="Z764" s="135"/>
      <c r="AA764" s="148"/>
      <c r="AB764" s="140" t="s">
        <v>5243</v>
      </c>
      <c r="AC764" s="36" t="s">
        <v>4247</v>
      </c>
      <c r="AD764" s="36" t="s">
        <v>6179</v>
      </c>
      <c r="AE764" s="36"/>
      <c r="AF764" s="36" t="s">
        <v>6922</v>
      </c>
      <c r="AO764" s="37"/>
      <c r="AP764" s="36"/>
      <c r="AQ764" s="142"/>
      <c r="AR764" s="143"/>
      <c r="AS764" s="144"/>
      <c r="AT764" s="42"/>
      <c r="AU764" s="135"/>
      <c r="AV764" s="142"/>
      <c r="AW764" s="149"/>
      <c r="AX764" s="150"/>
      <c r="AY764" s="147"/>
      <c r="AZ764" s="42"/>
      <c r="BA764" s="135"/>
      <c r="BB764" s="148"/>
      <c r="BE764" s="37"/>
      <c r="BF764" s="36"/>
    </row>
    <row r="765" spans="1:59" ht="15" customHeight="1">
      <c r="A765" s="41" t="s">
        <v>6794</v>
      </c>
      <c r="B765" s="36" t="s">
        <v>6923</v>
      </c>
      <c r="C765" s="36" t="s">
        <v>6215</v>
      </c>
      <c r="D765" s="36">
        <v>144</v>
      </c>
      <c r="E765" s="36">
        <v>3</v>
      </c>
      <c r="F765" s="36" t="s">
        <v>6795</v>
      </c>
      <c r="G765" s="36" t="s">
        <v>6924</v>
      </c>
      <c r="J765" s="36" t="s">
        <v>29</v>
      </c>
      <c r="N765" s="36"/>
      <c r="O765" s="142"/>
      <c r="P765" s="143"/>
      <c r="Q765" s="144">
        <v>2</v>
      </c>
      <c r="R765" s="42">
        <v>2</v>
      </c>
      <c r="S765" s="134"/>
      <c r="T765" s="135">
        <v>3</v>
      </c>
      <c r="U765" s="142"/>
      <c r="V765" s="145"/>
      <c r="W765" s="146">
        <v>1</v>
      </c>
      <c r="X765" s="147"/>
      <c r="Y765" s="42"/>
      <c r="Z765" s="135"/>
      <c r="AA765" s="148"/>
      <c r="AB765" s="140"/>
      <c r="AD765" s="36" t="s">
        <v>4321</v>
      </c>
      <c r="AE765" s="36"/>
      <c r="AF765" s="36" t="s">
        <v>6925</v>
      </c>
      <c r="AO765" s="37"/>
      <c r="AP765" s="36"/>
      <c r="AQ765" s="142"/>
      <c r="AR765" s="143"/>
      <c r="AS765" s="144"/>
      <c r="AT765" s="42"/>
      <c r="AU765" s="135"/>
      <c r="AV765" s="142"/>
      <c r="AW765" s="149"/>
      <c r="AX765" s="150"/>
      <c r="AY765" s="147"/>
      <c r="AZ765" s="42"/>
      <c r="BA765" s="135"/>
      <c r="BB765" s="148"/>
      <c r="BE765" s="37"/>
      <c r="BF765" s="36"/>
    </row>
    <row r="766" spans="1:59" ht="15" customHeight="1">
      <c r="A766" s="41" t="s">
        <v>6794</v>
      </c>
      <c r="B766" s="36" t="s">
        <v>6926</v>
      </c>
      <c r="C766" s="36" t="s">
        <v>6215</v>
      </c>
      <c r="D766" s="36">
        <v>145</v>
      </c>
      <c r="E766" s="36">
        <v>3</v>
      </c>
      <c r="F766" s="36" t="s">
        <v>6795</v>
      </c>
      <c r="G766" s="36" t="s">
        <v>6927</v>
      </c>
      <c r="J766" s="36" t="s">
        <v>28</v>
      </c>
      <c r="N766" s="36"/>
      <c r="O766" s="142"/>
      <c r="P766" s="143"/>
      <c r="Q766" s="144"/>
      <c r="R766" s="42"/>
      <c r="S766" s="134"/>
      <c r="T766" s="135"/>
      <c r="U766" s="142"/>
      <c r="V766" s="145"/>
      <c r="W766" s="146"/>
      <c r="X766" s="147"/>
      <c r="Y766" s="42"/>
      <c r="Z766" s="135"/>
      <c r="AA766" s="148"/>
      <c r="AB766" s="140"/>
      <c r="AD766" s="36" t="s">
        <v>5050</v>
      </c>
      <c r="AE766" s="36"/>
      <c r="AF766" s="36" t="s">
        <v>6928</v>
      </c>
      <c r="AO766" s="37"/>
      <c r="AP766" s="36"/>
      <c r="AQ766" s="142"/>
      <c r="AR766" s="143"/>
      <c r="AS766" s="144"/>
      <c r="AT766" s="42"/>
      <c r="AU766" s="135"/>
      <c r="AV766" s="142"/>
      <c r="AW766" s="149"/>
      <c r="AX766" s="150"/>
      <c r="AY766" s="147"/>
      <c r="AZ766" s="42"/>
      <c r="BA766" s="135"/>
      <c r="BB766" s="148"/>
      <c r="BE766" s="37"/>
      <c r="BF766" s="36"/>
    </row>
    <row r="767" spans="1:59" ht="15" customHeight="1">
      <c r="A767" s="41" t="s">
        <v>6794</v>
      </c>
      <c r="B767" s="36" t="s">
        <v>6929</v>
      </c>
      <c r="C767" s="36" t="s">
        <v>6215</v>
      </c>
      <c r="D767" s="36">
        <v>146</v>
      </c>
      <c r="E767" s="36">
        <v>2</v>
      </c>
      <c r="F767" s="36" t="s">
        <v>6795</v>
      </c>
      <c r="G767" s="36" t="s">
        <v>6930</v>
      </c>
      <c r="J767" s="36" t="s">
        <v>28</v>
      </c>
      <c r="N767" s="36"/>
      <c r="O767" s="142"/>
      <c r="P767" s="143"/>
      <c r="Q767" s="144"/>
      <c r="R767" s="42"/>
      <c r="S767" s="134"/>
      <c r="T767" s="135"/>
      <c r="U767" s="142"/>
      <c r="V767" s="145"/>
      <c r="W767" s="146"/>
      <c r="X767" s="147"/>
      <c r="Y767" s="42"/>
      <c r="Z767" s="135"/>
      <c r="AA767" s="148"/>
      <c r="AB767" s="140"/>
      <c r="AD767" s="36" t="s">
        <v>5050</v>
      </c>
      <c r="AE767" s="36"/>
      <c r="AF767" s="36" t="s">
        <v>6931</v>
      </c>
      <c r="AO767" s="37"/>
      <c r="AP767" s="36"/>
      <c r="AQ767" s="142"/>
      <c r="AR767" s="143"/>
      <c r="AS767" s="144"/>
      <c r="AT767" s="42"/>
      <c r="AU767" s="135"/>
      <c r="AV767" s="142"/>
      <c r="AW767" s="149"/>
      <c r="AX767" s="150"/>
      <c r="AY767" s="147"/>
      <c r="AZ767" s="42"/>
      <c r="BA767" s="135"/>
      <c r="BB767" s="148"/>
      <c r="BE767" s="37"/>
      <c r="BF767" s="36"/>
    </row>
    <row r="768" spans="1:59">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726 K467:K726 K768:K1048576 AM768:AM1048576">
    <cfRule type="cellIs" dxfId="306" priority="307" operator="equal">
      <formula>"Seeker"</formula>
    </cfRule>
    <cfRule type="cellIs" dxfId="305" priority="308" operator="equal">
      <formula>"Neutral"</formula>
    </cfRule>
    <cfRule type="cellIs" dxfId="304" priority="309" operator="equal">
      <formula>"Rogue"</formula>
    </cfRule>
    <cfRule type="cellIs" dxfId="303" priority="310" operator="equal">
      <formula>"Guardian"</formula>
    </cfRule>
    <cfRule type="cellIs" dxfId="302" priority="311" operator="equal">
      <formula>"Survivor"</formula>
    </cfRule>
    <cfRule type="cellIs" dxfId="301" priority="312" operator="equal">
      <formula>"Mystic"</formula>
    </cfRule>
  </conditionalFormatting>
  <conditionalFormatting sqref="K2:K99 K101:K104 K234:K347">
    <cfRule type="cellIs" dxfId="300" priority="301" operator="equal">
      <formula>"seeker"</formula>
    </cfRule>
    <cfRule type="cellIs" dxfId="299" priority="302" operator="equal">
      <formula>"neutral"</formula>
    </cfRule>
    <cfRule type="cellIs" dxfId="298" priority="303" operator="equal">
      <formula>"rogue"</formula>
    </cfRule>
    <cfRule type="cellIs" dxfId="297" priority="304" operator="equal">
      <formula>"Guardian"</formula>
    </cfRule>
    <cfRule type="cellIs" dxfId="296" priority="305" operator="equal">
      <formula>"Survivor"</formula>
    </cfRule>
    <cfRule type="cellIs" dxfId="295" priority="306" operator="equal">
      <formula>"Mystic"</formula>
    </cfRule>
  </conditionalFormatting>
  <conditionalFormatting sqref="K134:K152 K158:K169 K171:K193 K105:K122 K195:K232 K124:K132">
    <cfRule type="cellIs" dxfId="294" priority="295" operator="equal">
      <formula>"seeker"</formula>
    </cfRule>
    <cfRule type="cellIs" dxfId="293" priority="296" operator="equal">
      <formula>"neutral"</formula>
    </cfRule>
    <cfRule type="cellIs" dxfId="292" priority="297" operator="equal">
      <formula>"rogue"</formula>
    </cfRule>
    <cfRule type="cellIs" dxfId="291" priority="298" operator="equal">
      <formula>"Guardian"</formula>
    </cfRule>
    <cfRule type="cellIs" dxfId="290" priority="299" operator="equal">
      <formula>"Survivor"</formula>
    </cfRule>
    <cfRule type="cellIs" dxfId="289" priority="300" operator="equal">
      <formula>"Mystic"</formula>
    </cfRule>
  </conditionalFormatting>
  <conditionalFormatting sqref="K100">
    <cfRule type="cellIs" dxfId="288" priority="289" operator="equal">
      <formula>"seeker"</formula>
    </cfRule>
    <cfRule type="cellIs" dxfId="287" priority="290" operator="equal">
      <formula>"neutral"</formula>
    </cfRule>
    <cfRule type="cellIs" dxfId="286" priority="291" operator="equal">
      <formula>"rogue"</formula>
    </cfRule>
    <cfRule type="cellIs" dxfId="285" priority="292" operator="equal">
      <formula>"Guardian"</formula>
    </cfRule>
    <cfRule type="cellIs" dxfId="284" priority="293" operator="equal">
      <formula>"Survivor"</formula>
    </cfRule>
    <cfRule type="cellIs" dxfId="283" priority="294" operator="equal">
      <formula>"Mystic"</formula>
    </cfRule>
  </conditionalFormatting>
  <conditionalFormatting sqref="AM112:AM116">
    <cfRule type="cellIs" dxfId="282" priority="283" operator="equal">
      <formula>"seeker"</formula>
    </cfRule>
    <cfRule type="cellIs" dxfId="281" priority="284" operator="equal">
      <formula>"neutral"</formula>
    </cfRule>
    <cfRule type="cellIs" dxfId="280" priority="285" operator="equal">
      <formula>"rogue"</formula>
    </cfRule>
    <cfRule type="cellIs" dxfId="279" priority="286" operator="equal">
      <formula>"Guardian"</formula>
    </cfRule>
    <cfRule type="cellIs" dxfId="278" priority="287" operator="equal">
      <formula>"Survivor"</formula>
    </cfRule>
    <cfRule type="cellIs" dxfId="277" priority="288" operator="equal">
      <formula>"Mystic"</formula>
    </cfRule>
  </conditionalFormatting>
  <conditionalFormatting sqref="AM130:AM131">
    <cfRule type="cellIs" dxfId="276" priority="277" operator="equal">
      <formula>"seeker"</formula>
    </cfRule>
    <cfRule type="cellIs" dxfId="275" priority="278" operator="equal">
      <formula>"neutral"</formula>
    </cfRule>
    <cfRule type="cellIs" dxfId="274" priority="279" operator="equal">
      <formula>"rogue"</formula>
    </cfRule>
    <cfRule type="cellIs" dxfId="273" priority="280" operator="equal">
      <formula>"Guardian"</formula>
    </cfRule>
    <cfRule type="cellIs" dxfId="272" priority="281" operator="equal">
      <formula>"Survivor"</formula>
    </cfRule>
    <cfRule type="cellIs" dxfId="271" priority="282" operator="equal">
      <formula>"Mystic"</formula>
    </cfRule>
  </conditionalFormatting>
  <conditionalFormatting sqref="AL133">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133">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AM151:AM152 AM158:AM159">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53">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53">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K154">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M154">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55">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5">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6">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6">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7">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7">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70">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L190">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AM191">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AM193">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K194">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AM195">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AM194">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AL3">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L4">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L5">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AL6">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L122">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L123">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J12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253">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M254">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M255">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M256">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M252">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M383:AM387">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383:K387">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3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233">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K388:K429 AM388:AM429">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430:K466 AM430:AM442 AM450:AM466">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443:AM449">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L731">
    <cfRule type="cellIs" dxfId="36" priority="1" operator="equal">
      <formula>"Seeker"</formula>
    </cfRule>
    <cfRule type="cellIs" dxfId="35" priority="2" operator="equal">
      <formula>"Neutral"</formula>
    </cfRule>
    <cfRule type="cellIs" dxfId="34" priority="3" operator="equal">
      <formula>"Rogue"</formula>
    </cfRule>
    <cfRule type="cellIs" dxfId="33" priority="4" operator="equal">
      <formula>"Guardian"</formula>
    </cfRule>
    <cfRule type="cellIs" dxfId="32" priority="5" operator="equal">
      <formula>"Survivor"</formula>
    </cfRule>
    <cfRule type="cellIs" dxfId="31" priority="6" operator="equal">
      <formula>"Mystic"</formula>
    </cfRule>
  </conditionalFormatting>
  <conditionalFormatting sqref="AL727 AL732:AL740 AL761:AL767">
    <cfRule type="cellIs" dxfId="30" priority="31" operator="equal">
      <formula>"Seeker"</formula>
    </cfRule>
    <cfRule type="cellIs" dxfId="29" priority="32" operator="equal">
      <formula>"Neutral"</formula>
    </cfRule>
    <cfRule type="cellIs" dxfId="28" priority="33" operator="equal">
      <formula>"Rogue"</formula>
    </cfRule>
    <cfRule type="cellIs" dxfId="27" priority="34" operator="equal">
      <formula>"Guardian"</formula>
    </cfRule>
    <cfRule type="cellIs" dxfId="26" priority="35" operator="equal">
      <formula>"Survivor"</formula>
    </cfRule>
    <cfRule type="cellIs" dxfId="25" priority="36" operator="equal">
      <formula>"Mystic"</formula>
    </cfRule>
  </conditionalFormatting>
  <conditionalFormatting sqref="K727:K767">
    <cfRule type="cellIs" dxfId="24" priority="25" operator="equal">
      <formula>"seeker"</formula>
    </cfRule>
    <cfRule type="cellIs" dxfId="23" priority="26" operator="equal">
      <formula>"neutral"</formula>
    </cfRule>
    <cfRule type="cellIs" dxfId="22" priority="27" operator="equal">
      <formula>"rogue"</formula>
    </cfRule>
    <cfRule type="cellIs" dxfId="21" priority="28" operator="equal">
      <formula>"Guardian"</formula>
    </cfRule>
    <cfRule type="cellIs" dxfId="20" priority="29" operator="equal">
      <formula>"Survivor"</formula>
    </cfRule>
    <cfRule type="cellIs" dxfId="19" priority="30" operator="equal">
      <formula>"Mystic"</formula>
    </cfRule>
  </conditionalFormatting>
  <conditionalFormatting sqref="AL728">
    <cfRule type="cellIs" dxfId="18" priority="19" operator="equal">
      <formula>"Seeker"</formula>
    </cfRule>
    <cfRule type="cellIs" dxfId="17" priority="20" operator="equal">
      <formula>"Neutral"</formula>
    </cfRule>
    <cfRule type="cellIs" dxfId="16" priority="21" operator="equal">
      <formula>"Rogue"</formula>
    </cfRule>
    <cfRule type="cellIs" dxfId="15" priority="22" operator="equal">
      <formula>"Guardian"</formula>
    </cfRule>
    <cfRule type="cellIs" dxfId="14" priority="23" operator="equal">
      <formula>"Survivor"</formula>
    </cfRule>
    <cfRule type="cellIs" dxfId="13" priority="24" operator="equal">
      <formula>"Mystic"</formula>
    </cfRule>
  </conditionalFormatting>
  <conditionalFormatting sqref="AL729">
    <cfRule type="cellIs" dxfId="12" priority="13" operator="equal">
      <formula>"Seeker"</formula>
    </cfRule>
    <cfRule type="cellIs" dxfId="11" priority="14" operator="equal">
      <formula>"Neutral"</formula>
    </cfRule>
    <cfRule type="cellIs" dxfId="10" priority="15" operator="equal">
      <formula>"Rogue"</formula>
    </cfRule>
    <cfRule type="cellIs" dxfId="9" priority="16" operator="equal">
      <formula>"Guardian"</formula>
    </cfRule>
    <cfRule type="cellIs" dxfId="8" priority="17" operator="equal">
      <formula>"Survivor"</formula>
    </cfRule>
    <cfRule type="cellIs" dxfId="7" priority="18" operator="equal">
      <formula>"Mystic"</formula>
    </cfRule>
  </conditionalFormatting>
  <conditionalFormatting sqref="AL730">
    <cfRule type="cellIs" dxfId="6" priority="7" operator="equal">
      <formula>"Seeker"</formula>
    </cfRule>
    <cfRule type="cellIs" dxfId="5" priority="8" operator="equal">
      <formula>"Neutral"</formula>
    </cfRule>
    <cfRule type="cellIs" dxfId="4" priority="9" operator="equal">
      <formula>"Rogue"</formula>
    </cfRule>
    <cfRule type="cellIs" dxfId="3" priority="10" operator="equal">
      <formula>"Guardian"</formula>
    </cfRule>
    <cfRule type="cellIs" dxfId="2" priority="11" operator="equal">
      <formula>"Survivor"</formula>
    </cfRule>
    <cfRule type="cellIs" dxfId="1" priority="12"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sheetPr codeName="Sheet3"/>
  <dimension ref="A2:C65536"/>
  <sheetViews>
    <sheetView showGridLines="0" showRowColHeaders="0" workbookViewId="0">
      <pane ySplit="4" topLeftCell="A140" activePane="bottomLeft" state="frozen"/>
      <selection pane="bottomLeft" activeCell="C78" sqref="C78"/>
    </sheetView>
  </sheetViews>
  <sheetFormatPr baseColWidth="10"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84">
      <c r="A149" s="3" t="s">
        <v>534</v>
      </c>
      <c r="B149" s="5" t="s">
        <v>3050</v>
      </c>
      <c r="C149" s="3"/>
    </row>
    <row r="150" spans="1:3" ht="96">
      <c r="A150" s="3" t="s">
        <v>535</v>
      </c>
      <c r="B150" s="5" t="s">
        <v>3051</v>
      </c>
      <c r="C150" s="3" t="s">
        <v>252</v>
      </c>
    </row>
    <row r="151" spans="1:3" ht="84">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96">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72">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60">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60">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68">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60">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60">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84">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96">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72">
      <c r="A908" s="3" t="s">
        <v>3821</v>
      </c>
      <c r="B908" s="5" t="s">
        <v>3492</v>
      </c>
      <c r="C908" s="3"/>
    </row>
    <row r="909" spans="1:3" ht="132">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96">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20">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68">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68">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72">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16">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80">
      <c r="A1005" s="3" t="s">
        <v>3832</v>
      </c>
      <c r="B1005" s="3" t="s">
        <v>1962</v>
      </c>
      <c r="C1005" s="3"/>
    </row>
    <row r="1006" spans="1:3" ht="120">
      <c r="A1006" s="3" t="s">
        <v>1226</v>
      </c>
      <c r="B1006" s="5" t="s">
        <v>2510</v>
      </c>
      <c r="C1006" s="3"/>
    </row>
    <row r="1007" spans="1:3" ht="120">
      <c r="A1007" s="3" t="s">
        <v>1227</v>
      </c>
      <c r="B1007" s="5" t="s">
        <v>2511</v>
      </c>
      <c r="C1007" s="3"/>
    </row>
    <row r="1008" spans="1:3" ht="84">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96">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56">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68">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36">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48">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04">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20">
      <c r="A1086" s="3" t="s">
        <v>4020</v>
      </c>
      <c r="B1086" s="5" t="s">
        <v>4021</v>
      </c>
      <c r="C1086" s="3"/>
    </row>
    <row r="1087" spans="1:3" ht="108">
      <c r="A1087" s="3" t="s">
        <v>4022</v>
      </c>
      <c r="B1087" s="5" t="s">
        <v>4023</v>
      </c>
      <c r="C1087" s="3"/>
    </row>
    <row r="1088" spans="1:3" ht="120">
      <c r="A1088" s="3" t="s">
        <v>4024</v>
      </c>
      <c r="B1088" s="5" t="s">
        <v>4025</v>
      </c>
      <c r="C1088" s="3"/>
    </row>
    <row r="1089" spans="1:3" ht="84">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84">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08">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56">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72">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60">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84">
      <c r="A1440" s="3" t="s">
        <v>3896</v>
      </c>
      <c r="B1440" s="5" t="s">
        <v>3550</v>
      </c>
      <c r="C1440" s="3"/>
    </row>
    <row r="1441" spans="1:3" ht="108">
      <c r="A1441" s="3" t="s">
        <v>3897</v>
      </c>
      <c r="B1441" s="5" t="s">
        <v>3551</v>
      </c>
      <c r="C1441" s="3"/>
    </row>
    <row r="1442" spans="1:3" ht="108">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60">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20">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20">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20">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legacyDrawing r:id="rId2"/>
</worksheet>
</file>

<file path=xl/worksheets/sheet4.xml><?xml version="1.0" encoding="utf-8"?>
<worksheet xmlns="http://schemas.openxmlformats.org/spreadsheetml/2006/main" xmlns:r="http://schemas.openxmlformats.org/officeDocument/2006/relationships">
  <sheetPr codeName="Sheet6"/>
  <dimension ref="B2:C22"/>
  <sheetViews>
    <sheetView workbookViewId="0">
      <selection activeCell="B4" sqref="B4"/>
    </sheetView>
  </sheetViews>
  <sheetFormatPr baseColWidth="10"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4"/>
  <dimension ref="A1:D11"/>
  <sheetViews>
    <sheetView workbookViewId="0">
      <selection activeCell="C1" sqref="C1:D11"/>
    </sheetView>
  </sheetViews>
  <sheetFormatPr baseColWidth="10"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W34"/>
  <sheetViews>
    <sheetView workbookViewId="0">
      <selection sqref="A1:W34"/>
    </sheetView>
  </sheetViews>
  <sheetFormatPr baseColWidth="10"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FAQ!Impression_des_titres</vt:lpstr>
      <vt:lpstr>SymbolTable</vt:lpstr>
      <vt:lpstr>UseSymbols</vt:lpstr>
      <vt:lpstr>YesNo</vt:lpstr>
      <vt:lpstr>FAQ!Zone_d_impression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Loic</cp:lastModifiedBy>
  <cp:lastPrinted>2014-08-03T08:06:29Z</cp:lastPrinted>
  <dcterms:created xsi:type="dcterms:W3CDTF">2014-06-30T14:14:02Z</dcterms:created>
  <dcterms:modified xsi:type="dcterms:W3CDTF">2017-11-12T19:04:07Z</dcterms:modified>
</cp:coreProperties>
</file>